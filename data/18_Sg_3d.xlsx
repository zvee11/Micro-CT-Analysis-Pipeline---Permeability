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00864\Desktop\SHELL\THESIS\data\"/>
    </mc:Choice>
  </mc:AlternateContent>
  <xr:revisionPtr revIDLastSave="0" documentId="13_ncr:1_{B0D4E919-AD15-41F3-8DDA-3E9DA3D6A46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Sheet1 (2)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7" i="1"/>
  <c r="G22" i="1"/>
  <c r="H22" i="1" s="1"/>
  <c r="I22" i="1" s="1"/>
  <c r="G10" i="1"/>
  <c r="H10" i="1"/>
  <c r="I10" i="1" s="1"/>
  <c r="G22" i="3"/>
  <c r="H22" i="3" s="1"/>
  <c r="I22" i="3" s="1"/>
  <c r="G21" i="3"/>
  <c r="H21" i="3" s="1"/>
  <c r="I21" i="3" s="1"/>
  <c r="G20" i="3"/>
  <c r="H20" i="3" s="1"/>
  <c r="I20" i="3" s="1"/>
  <c r="G19" i="3"/>
  <c r="H19" i="3" s="1"/>
  <c r="I19" i="3" s="1"/>
  <c r="G18" i="3"/>
  <c r="H18" i="3" s="1"/>
  <c r="I18" i="3" s="1"/>
  <c r="G17" i="3"/>
  <c r="H17" i="3" s="1"/>
  <c r="I17" i="3" s="1"/>
  <c r="G16" i="3"/>
  <c r="H16" i="3" s="1"/>
  <c r="I16" i="3" s="1"/>
  <c r="G15" i="3"/>
  <c r="H15" i="3" s="1"/>
  <c r="I15" i="3" s="1"/>
  <c r="G14" i="3"/>
  <c r="H14" i="3" s="1"/>
  <c r="I14" i="3" s="1"/>
  <c r="G13" i="3"/>
  <c r="H13" i="3" s="1"/>
  <c r="I13" i="3" s="1"/>
  <c r="H12" i="3"/>
  <c r="I12" i="3" s="1"/>
  <c r="G12" i="3"/>
  <c r="G11" i="3"/>
  <c r="H11" i="3" s="1"/>
  <c r="I11" i="3" s="1"/>
  <c r="G10" i="3"/>
  <c r="H10" i="3" s="1"/>
  <c r="I10" i="3" s="1"/>
  <c r="H9" i="3"/>
  <c r="I9" i="3" s="1"/>
  <c r="G9" i="3"/>
  <c r="G8" i="3"/>
  <c r="H8" i="3" s="1"/>
  <c r="I8" i="3" s="1"/>
  <c r="G7" i="3"/>
  <c r="H7" i="3" s="1"/>
  <c r="I7" i="3" s="1"/>
  <c r="G15" i="1"/>
  <c r="H15" i="1" s="1"/>
  <c r="I15" i="1" s="1"/>
  <c r="J15" i="1" s="1"/>
  <c r="G16" i="1"/>
  <c r="H16" i="1" s="1"/>
  <c r="I16" i="1" s="1"/>
  <c r="J16" i="1" s="1"/>
  <c r="G17" i="1"/>
  <c r="H17" i="1" s="1"/>
  <c r="I17" i="1" s="1"/>
  <c r="J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14" i="1"/>
  <c r="H14" i="1" s="1"/>
  <c r="I14" i="1" s="1"/>
  <c r="J14" i="1" s="1"/>
  <c r="G8" i="1"/>
  <c r="H8" i="1" s="1"/>
  <c r="I8" i="1" s="1"/>
  <c r="G9" i="1"/>
  <c r="H9" i="1" s="1"/>
  <c r="I9" i="1" s="1"/>
  <c r="G11" i="1"/>
  <c r="H11" i="1" s="1"/>
  <c r="I11" i="1" s="1"/>
  <c r="J11" i="1" s="1"/>
  <c r="G12" i="1"/>
  <c r="H12" i="1" s="1"/>
  <c r="I12" i="1" s="1"/>
  <c r="J13" i="1" s="1"/>
  <c r="G13" i="1"/>
  <c r="H13" i="1" s="1"/>
  <c r="I13" i="1" s="1"/>
  <c r="G7" i="1"/>
  <c r="H7" i="1" s="1"/>
  <c r="I7" i="1" s="1"/>
  <c r="J12" i="1" l="1"/>
</calcChain>
</file>

<file path=xl/sharedStrings.xml><?xml version="1.0" encoding="utf-8"?>
<sst xmlns="http://schemas.openxmlformats.org/spreadsheetml/2006/main" count="37" uniqueCount="20">
  <si>
    <t>NameGas Volumewater volumeTotal VolumeFraction</t>
  </si>
  <si>
    <t>10_0_sub_registered_filtered_thresholded_VolFraction3d</t>
  </si>
  <si>
    <t>10_1_sub_registered_filtered_thresholded_VolFraction3d</t>
  </si>
  <si>
    <t>10_3_sub_registered_filtered_thresholded_VolFraction3d</t>
  </si>
  <si>
    <t>10_4_sub_registered_filtered_VolFraction3d</t>
  </si>
  <si>
    <t>11_2_sub_registered_filtered_thresholded_VolFraction3d</t>
  </si>
  <si>
    <t>8_0_sub_registered_filtered_thresholded_VolFraction3d</t>
  </si>
  <si>
    <t>8_2_sub_registered_filtered_thresholded_VolFraction3d</t>
  </si>
  <si>
    <t>8_3_sub_registered_filtered_thresholded_VolFraction3d</t>
  </si>
  <si>
    <t>8_4_sub_registered_filtered_thresholded_VolFraction3d</t>
  </si>
  <si>
    <t>9_0_sub_registered_filtered_thresholded_VolFraction3d</t>
  </si>
  <si>
    <t>9_1_sub_registered_filtered_thresholded_VolFraction3d</t>
  </si>
  <si>
    <t>9_2_sub_registered_filtered_thresholded_VolFraction3d</t>
  </si>
  <si>
    <t>9_3_sub_registered_filtered_thresholded_VolFraction3d</t>
  </si>
  <si>
    <t>9_5_sub_registered_filtered_thresholded_VolFraction3d</t>
  </si>
  <si>
    <t>9_6_sub_registered_filtered_thresholded_VolFraction3d</t>
  </si>
  <si>
    <t>9_7_sub_registered_filtered_thresholded_VolFraction3d</t>
  </si>
  <si>
    <t>Sg</t>
  </si>
  <si>
    <t>Time</t>
  </si>
  <si>
    <t>12_0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</si>
</sst>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2" fontId="0" fillId="0" borderId="0" xfId="0" applyNumberFormat="1"/>
    <xf numFmtId="0" fontId="1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071936581221973E-2"/>
          <c:y val="3.8545767787823343E-2"/>
          <c:w val="0.88581679104335476"/>
          <c:h val="0.87944528308238112"/>
        </c:manualLayout>
      </c:layout>
      <c:scatterChart>
        <c:scatterStyle val="smoothMarker"/>
        <c:varyColors val="0"/>
        <c:ser>
          <c:idx val="1"/>
          <c:order val="0"/>
          <c:xVal>
            <c:numRef>
              <c:f>Sheet1!$I$6:$I$21</c:f>
              <c:numCache>
                <c:formatCode>General</c:formatCode>
                <c:ptCount val="16"/>
                <c:pt idx="0">
                  <c:v>0</c:v>
                </c:pt>
                <c:pt idx="1">
                  <c:v>0.45</c:v>
                </c:pt>
                <c:pt idx="2">
                  <c:v>0.9</c:v>
                </c:pt>
                <c:pt idx="3">
                  <c:v>1.1500000000000008</c:v>
                </c:pt>
                <c:pt idx="4">
                  <c:v>1.4199999999999997</c:v>
                </c:pt>
                <c:pt idx="5">
                  <c:v>2.8599999999999994</c:v>
                </c:pt>
                <c:pt idx="6">
                  <c:v>3.7199999999999993</c:v>
                </c:pt>
                <c:pt idx="7">
                  <c:v>4.5899999999999981</c:v>
                </c:pt>
                <c:pt idx="8">
                  <c:v>6.31</c:v>
                </c:pt>
                <c:pt idx="9">
                  <c:v>7.18</c:v>
                </c:pt>
                <c:pt idx="10">
                  <c:v>8.0399999999999991</c:v>
                </c:pt>
                <c:pt idx="11">
                  <c:v>10.6</c:v>
                </c:pt>
                <c:pt idx="12">
                  <c:v>11.17</c:v>
                </c:pt>
                <c:pt idx="13">
                  <c:v>12.3</c:v>
                </c:pt>
                <c:pt idx="14">
                  <c:v>12.86</c:v>
                </c:pt>
                <c:pt idx="15">
                  <c:v>14.959999999999997</c:v>
                </c:pt>
              </c:numCache>
            </c:numRef>
          </c:xVal>
          <c:yVal>
            <c:numRef>
              <c:f>Sheet1!$E$6:$E$21</c:f>
              <c:numCache>
                <c:formatCode>General</c:formatCode>
                <c:ptCount val="16"/>
                <c:pt idx="0">
                  <c:v>1</c:v>
                </c:pt>
                <c:pt idx="1">
                  <c:v>0.64915756932840374</c:v>
                </c:pt>
                <c:pt idx="2">
                  <c:v>0.40990406401468432</c:v>
                </c:pt>
                <c:pt idx="3">
                  <c:v>0.40762038603837436</c:v>
                </c:pt>
                <c:pt idx="4">
                  <c:v>0.400696214557409</c:v>
                </c:pt>
                <c:pt idx="5">
                  <c:v>0.36924825318978838</c:v>
                </c:pt>
                <c:pt idx="6">
                  <c:v>0.34420675636434034</c:v>
                </c:pt>
                <c:pt idx="7">
                  <c:v>0.31260439188934847</c:v>
                </c:pt>
                <c:pt idx="8">
                  <c:v>0.26987325072193852</c:v>
                </c:pt>
                <c:pt idx="9">
                  <c:v>0.23995522990561999</c:v>
                </c:pt>
                <c:pt idx="10">
                  <c:v>0.21069217112980429</c:v>
                </c:pt>
                <c:pt idx="11">
                  <c:v>0.13503580027561837</c:v>
                </c:pt>
                <c:pt idx="12">
                  <c:v>0.11823068227975575</c:v>
                </c:pt>
                <c:pt idx="13">
                  <c:v>9.398995182410888E-2</c:v>
                </c:pt>
                <c:pt idx="14">
                  <c:v>8.0252702766652181E-2</c:v>
                </c:pt>
                <c:pt idx="15">
                  <c:v>3.8002928266085027E-2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E5-4206-BF74-FA00A4A7E1CD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0.12247255921432698"/>
                  <c:y val="-0.17227336978580196"/>
                </c:manualLayout>
              </c:layout>
              <c:numFmt formatCode="General" sourceLinked="0"/>
            </c:trendlineLbl>
          </c:trendline>
          <c:xVal>
            <c:numRef>
              <c:f>Sheet1!$I$6:$I$8</c:f>
              <c:numCache>
                <c:formatCode>General</c:formatCode>
                <c:ptCount val="3"/>
                <c:pt idx="0">
                  <c:v>0</c:v>
                </c:pt>
                <c:pt idx="1">
                  <c:v>0.45</c:v>
                </c:pt>
                <c:pt idx="2">
                  <c:v>0.9</c:v>
                </c:pt>
              </c:numCache>
            </c:numRef>
          </c:xVal>
          <c:yVal>
            <c:numRef>
              <c:f>Sheet1!$E$6:$E$8</c:f>
              <c:numCache>
                <c:formatCode>General</c:formatCode>
                <c:ptCount val="3"/>
                <c:pt idx="0">
                  <c:v>1</c:v>
                </c:pt>
                <c:pt idx="1">
                  <c:v>0.64915756932840374</c:v>
                </c:pt>
                <c:pt idx="2">
                  <c:v>0.40990406401468432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E5-4206-BF74-FA00A4A7E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012832"/>
        <c:axId val="800956432"/>
      </c:scatterChart>
      <c:valAx>
        <c:axId val="46801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PV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00956432"/>
        <c:crosses val="autoZero"/>
        <c:crossBetween val="midCat"/>
      </c:valAx>
      <c:valAx>
        <c:axId val="8009564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68012832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(2)'!$I$7:$I$22</c:f>
              <c:numCache>
                <c:formatCode>General</c:formatCode>
                <c:ptCount val="16"/>
                <c:pt idx="0">
                  <c:v>0.24999999999999911</c:v>
                </c:pt>
                <c:pt idx="1">
                  <c:v>0.80000000000000027</c:v>
                </c:pt>
                <c:pt idx="2">
                  <c:v>1.0500000000000012</c:v>
                </c:pt>
                <c:pt idx="3">
                  <c:v>1.32</c:v>
                </c:pt>
                <c:pt idx="4">
                  <c:v>1.8999999999999997</c:v>
                </c:pt>
                <c:pt idx="5">
                  <c:v>2.76</c:v>
                </c:pt>
                <c:pt idx="6">
                  <c:v>3.62</c:v>
                </c:pt>
                <c:pt idx="7">
                  <c:v>4.4899999999999984</c:v>
                </c:pt>
                <c:pt idx="8">
                  <c:v>6.21</c:v>
                </c:pt>
                <c:pt idx="9">
                  <c:v>7.08</c:v>
                </c:pt>
                <c:pt idx="10">
                  <c:v>7.94</c:v>
                </c:pt>
                <c:pt idx="11">
                  <c:v>10.5</c:v>
                </c:pt>
                <c:pt idx="12">
                  <c:v>11.07</c:v>
                </c:pt>
                <c:pt idx="13">
                  <c:v>12.2</c:v>
                </c:pt>
                <c:pt idx="14">
                  <c:v>12.76</c:v>
                </c:pt>
                <c:pt idx="15">
                  <c:v>14.860000000000003</c:v>
                </c:pt>
              </c:numCache>
            </c:numRef>
          </c:xVal>
          <c:yVal>
            <c:numRef>
              <c:f>'Sheet1 (2)'!$E$7:$E$22</c:f>
              <c:numCache>
                <c:formatCode>General</c:formatCode>
                <c:ptCount val="16"/>
                <c:pt idx="0">
                  <c:v>0.64915756932840374</c:v>
                </c:pt>
                <c:pt idx="1">
                  <c:v>0.40990406401468432</c:v>
                </c:pt>
                <c:pt idx="2">
                  <c:v>0.40762038603837436</c:v>
                </c:pt>
                <c:pt idx="3">
                  <c:v>0.400696214557409</c:v>
                </c:pt>
                <c:pt idx="4">
                  <c:v>0.36574208513033407</c:v>
                </c:pt>
                <c:pt idx="5">
                  <c:v>0.36924825318978838</c:v>
                </c:pt>
                <c:pt idx="6">
                  <c:v>0.34420675636434034</c:v>
                </c:pt>
                <c:pt idx="7">
                  <c:v>0.31260439188934847</c:v>
                </c:pt>
                <c:pt idx="8">
                  <c:v>0.26987325072193852</c:v>
                </c:pt>
                <c:pt idx="9">
                  <c:v>0.23995522990561999</c:v>
                </c:pt>
                <c:pt idx="10">
                  <c:v>0.21069217112980429</c:v>
                </c:pt>
                <c:pt idx="11">
                  <c:v>0.13503580027561837</c:v>
                </c:pt>
                <c:pt idx="12">
                  <c:v>0.11823068227975575</c:v>
                </c:pt>
                <c:pt idx="13">
                  <c:v>9.398995182410888E-2</c:v>
                </c:pt>
                <c:pt idx="14">
                  <c:v>8.0252702766652181E-2</c:v>
                </c:pt>
                <c:pt idx="15">
                  <c:v>3.8002928266085027E-2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86-4A9F-BA34-F709479E6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012832"/>
        <c:axId val="800956432"/>
      </c:scatterChart>
      <c:valAx>
        <c:axId val="46801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00956432"/>
        <c:crosses val="autoZero"/>
        <c:crossBetween val="midCat"/>
      </c:valAx>
      <c:valAx>
        <c:axId val="80095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6801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24</xdr:row>
      <xdr:rowOff>80961</xdr:rowOff>
    </xdr:from>
    <xdr:to>
      <xdr:col>10</xdr:col>
      <xdr:colOff>476250</xdr:colOff>
      <xdr:row>43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D29970-ACD9-4357-85EE-EADF3EACC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25</xdr:row>
      <xdr:rowOff>80962</xdr:rowOff>
    </xdr:from>
    <xdr:to>
      <xdr:col>9</xdr:col>
      <xdr:colOff>323850</xdr:colOff>
      <xdr:row>39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BEA46-70E2-4C37-9563-5792F818C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="81" workbookViewId="0">
      <selection activeCell="L22" sqref="L22"/>
    </sheetView>
  </sheetViews>
  <sheetFormatPr defaultRowHeight="14.4" x14ac:dyDescent="0.3"/>
  <cols>
    <col min="1" max="1" width="52.33203125" customWidth="1"/>
    <col min="2" max="3" width="11.5546875" customWidth="1"/>
    <col min="4" max="4" width="12.5546875" customWidth="1"/>
    <col min="5" max="5" width="13.6640625" customWidth="1"/>
    <col min="6" max="6" width="11.5546875" bestFit="1" customWidth="1"/>
    <col min="11" max="11" width="9.44140625" bestFit="1" customWidth="1"/>
  </cols>
  <sheetData>
    <row r="1" spans="1:11" x14ac:dyDescent="0.3">
      <c r="A1" t="s">
        <v>0</v>
      </c>
    </row>
    <row r="5" spans="1:11" x14ac:dyDescent="0.3">
      <c r="E5" s="3" t="s">
        <v>17</v>
      </c>
      <c r="F5" s="1">
        <v>0.67708333333333337</v>
      </c>
    </row>
    <row r="6" spans="1:11" x14ac:dyDescent="0.3">
      <c r="E6">
        <v>1</v>
      </c>
      <c r="F6" s="1">
        <v>0.67708333333333337</v>
      </c>
      <c r="G6">
        <v>0</v>
      </c>
      <c r="H6">
        <v>0</v>
      </c>
      <c r="I6">
        <v>0</v>
      </c>
    </row>
    <row r="7" spans="1:11" x14ac:dyDescent="0.3">
      <c r="A7" t="s">
        <v>6</v>
      </c>
      <c r="B7">
        <v>1.81074E-8</v>
      </c>
      <c r="C7">
        <v>9.7862900000000005E-9</v>
      </c>
      <c r="D7">
        <v>2.7893689999999999E-8</v>
      </c>
      <c r="E7">
        <v>0.64915756932840374</v>
      </c>
      <c r="F7" s="1">
        <v>0.70833333333333337</v>
      </c>
      <c r="G7" s="1">
        <f>F7-$F$5</f>
        <v>3.125E-2</v>
      </c>
      <c r="H7" s="2">
        <f>G7*1440</f>
        <v>45</v>
      </c>
      <c r="I7">
        <f>H7/100</f>
        <v>0.45</v>
      </c>
      <c r="K7" s="4">
        <f xml:space="preserve"> 1 - E7</f>
        <v>0.35084243067159626</v>
      </c>
    </row>
    <row r="8" spans="1:11" x14ac:dyDescent="0.3">
      <c r="A8" t="s">
        <v>7</v>
      </c>
      <c r="B8">
        <v>1.14337E-8</v>
      </c>
      <c r="C8">
        <v>1.6459900000000001E-8</v>
      </c>
      <c r="D8">
        <v>2.7893600000000003E-8</v>
      </c>
      <c r="E8">
        <v>0.40990406401468432</v>
      </c>
      <c r="F8" s="1">
        <v>0.73958333333333337</v>
      </c>
      <c r="G8" s="1">
        <f t="shared" ref="G8:G13" si="0">F8-$F$5</f>
        <v>6.25E-2</v>
      </c>
      <c r="H8" s="2">
        <f t="shared" ref="H8:H22" si="1">G8*1440</f>
        <v>90</v>
      </c>
      <c r="I8">
        <f t="shared" ref="I8:I22" si="2">H8/100</f>
        <v>0.9</v>
      </c>
      <c r="K8" s="4">
        <f t="shared" ref="K8:K21" si="3" xml:space="preserve"> 1 - E8</f>
        <v>0.59009593598531573</v>
      </c>
    </row>
    <row r="9" spans="1:11" x14ac:dyDescent="0.3">
      <c r="A9" t="s">
        <v>8</v>
      </c>
      <c r="B9">
        <v>1.137E-8</v>
      </c>
      <c r="C9">
        <v>1.6523600000000001E-8</v>
      </c>
      <c r="D9">
        <v>2.7893600000000003E-8</v>
      </c>
      <c r="E9">
        <v>0.40762038603837436</v>
      </c>
      <c r="F9" s="1">
        <v>0.75694444444444453</v>
      </c>
      <c r="G9" s="1">
        <f t="shared" si="0"/>
        <v>7.986111111111116E-2</v>
      </c>
      <c r="H9" s="2">
        <f t="shared" si="1"/>
        <v>115.00000000000007</v>
      </c>
      <c r="I9">
        <f t="shared" si="2"/>
        <v>1.1500000000000008</v>
      </c>
      <c r="K9" s="4">
        <f t="shared" si="3"/>
        <v>0.59237961396162564</v>
      </c>
    </row>
    <row r="10" spans="1:11" x14ac:dyDescent="0.3">
      <c r="A10" t="s">
        <v>9</v>
      </c>
      <c r="B10">
        <v>1.1176899999999999E-8</v>
      </c>
      <c r="C10">
        <v>1.6716799999999999E-8</v>
      </c>
      <c r="D10">
        <v>2.7893699999999999E-8</v>
      </c>
      <c r="E10">
        <v>0.400696214557409</v>
      </c>
      <c r="F10" s="1">
        <v>0.77569444444444446</v>
      </c>
      <c r="G10" s="1">
        <f t="shared" si="0"/>
        <v>9.8611111111111094E-2</v>
      </c>
      <c r="H10" s="2">
        <f t="shared" si="1"/>
        <v>141.99999999999997</v>
      </c>
      <c r="I10">
        <f t="shared" si="2"/>
        <v>1.4199999999999997</v>
      </c>
      <c r="K10" s="4">
        <f t="shared" si="3"/>
        <v>0.599303785442591</v>
      </c>
    </row>
    <row r="11" spans="1:11" x14ac:dyDescent="0.3">
      <c r="A11" t="s">
        <v>11</v>
      </c>
      <c r="B11">
        <v>1.02997E-8</v>
      </c>
      <c r="C11">
        <v>1.7593999999999999E-8</v>
      </c>
      <c r="D11">
        <v>2.7893699999999999E-8</v>
      </c>
      <c r="E11">
        <v>0.36924825318978838</v>
      </c>
      <c r="F11" s="1">
        <v>0.87569444444444444</v>
      </c>
      <c r="G11" s="1">
        <f t="shared" si="0"/>
        <v>0.19861111111111107</v>
      </c>
      <c r="H11" s="2">
        <f t="shared" si="1"/>
        <v>285.99999999999994</v>
      </c>
      <c r="I11">
        <f t="shared" si="2"/>
        <v>2.8599999999999994</v>
      </c>
      <c r="J11">
        <f t="shared" ref="J11:J17" si="4">I11-I10</f>
        <v>1.4399999999999997</v>
      </c>
      <c r="K11" s="4">
        <f t="shared" si="3"/>
        <v>0.63075174681021162</v>
      </c>
    </row>
    <row r="12" spans="1:11" x14ac:dyDescent="0.3">
      <c r="A12" t="s">
        <v>12</v>
      </c>
      <c r="B12">
        <v>9.6012000000000003E-9</v>
      </c>
      <c r="C12">
        <v>1.82925E-8</v>
      </c>
      <c r="D12">
        <v>2.7893700000000002E-8</v>
      </c>
      <c r="E12">
        <v>0.34420675636434034</v>
      </c>
      <c r="F12" s="1">
        <v>0.93541666666666667</v>
      </c>
      <c r="G12" s="1">
        <f t="shared" si="0"/>
        <v>0.2583333333333333</v>
      </c>
      <c r="H12" s="2">
        <f t="shared" si="1"/>
        <v>371.99999999999994</v>
      </c>
      <c r="I12">
        <f t="shared" si="2"/>
        <v>3.7199999999999993</v>
      </c>
      <c r="J12">
        <f t="shared" si="4"/>
        <v>0.85999999999999988</v>
      </c>
      <c r="K12" s="4">
        <f t="shared" si="3"/>
        <v>0.65579324363565972</v>
      </c>
    </row>
    <row r="13" spans="1:11" x14ac:dyDescent="0.3">
      <c r="A13" t="s">
        <v>13</v>
      </c>
      <c r="B13">
        <v>8.7196900000000001E-9</v>
      </c>
      <c r="C13">
        <v>1.9174E-8</v>
      </c>
      <c r="D13">
        <v>2.7893689999999999E-8</v>
      </c>
      <c r="E13">
        <v>0.31260439188934847</v>
      </c>
      <c r="F13" s="1">
        <v>0.99583333333333324</v>
      </c>
      <c r="G13" s="1">
        <f t="shared" si="0"/>
        <v>0.31874999999999987</v>
      </c>
      <c r="H13" s="2">
        <f t="shared" si="1"/>
        <v>458.99999999999983</v>
      </c>
      <c r="I13">
        <f t="shared" si="2"/>
        <v>4.5899999999999981</v>
      </c>
      <c r="J13">
        <f t="shared" si="4"/>
        <v>0.86999999999999877</v>
      </c>
      <c r="K13" s="4">
        <f t="shared" si="3"/>
        <v>0.68739560811065159</v>
      </c>
    </row>
    <row r="14" spans="1:11" x14ac:dyDescent="0.3">
      <c r="A14" t="s">
        <v>14</v>
      </c>
      <c r="B14">
        <v>7.5277499999999994E-9</v>
      </c>
      <c r="C14">
        <v>2.03659E-8</v>
      </c>
      <c r="D14">
        <v>2.7893649999999999E-8</v>
      </c>
      <c r="E14">
        <v>0.26987325072193852</v>
      </c>
      <c r="F14" s="1">
        <v>0.11527777777777777</v>
      </c>
      <c r="G14" s="1">
        <f>F14-$F$5+1</f>
        <v>0.43819444444444444</v>
      </c>
      <c r="H14" s="2">
        <f t="shared" si="1"/>
        <v>631</v>
      </c>
      <c r="I14">
        <f t="shared" si="2"/>
        <v>6.31</v>
      </c>
      <c r="J14">
        <f>I14-I13</f>
        <v>1.7200000000000015</v>
      </c>
      <c r="K14" s="4">
        <f t="shared" si="3"/>
        <v>0.73012674927806143</v>
      </c>
    </row>
    <row r="15" spans="1:11" x14ac:dyDescent="0.3">
      <c r="A15" t="s">
        <v>15</v>
      </c>
      <c r="B15">
        <v>6.6932199999999998E-9</v>
      </c>
      <c r="C15">
        <v>2.12004E-8</v>
      </c>
      <c r="D15">
        <v>2.7893619999999999E-8</v>
      </c>
      <c r="E15">
        <v>0.23995522990561999</v>
      </c>
      <c r="F15" s="1">
        <v>0.17569444444444446</v>
      </c>
      <c r="G15" s="1">
        <f t="shared" ref="G15:G22" si="5">F15-$F$5+1</f>
        <v>0.49861111111111112</v>
      </c>
      <c r="H15" s="2">
        <f t="shared" si="1"/>
        <v>718</v>
      </c>
      <c r="I15">
        <f t="shared" si="2"/>
        <v>7.18</v>
      </c>
      <c r="J15">
        <f t="shared" si="4"/>
        <v>0.87000000000000011</v>
      </c>
      <c r="K15" s="4">
        <f t="shared" si="3"/>
        <v>0.76004477009437998</v>
      </c>
    </row>
    <row r="16" spans="1:11" x14ac:dyDescent="0.3">
      <c r="A16" t="s">
        <v>16</v>
      </c>
      <c r="B16">
        <v>5.8769799999999997E-9</v>
      </c>
      <c r="C16">
        <v>2.2016700000000002E-8</v>
      </c>
      <c r="D16">
        <v>2.7893680000000002E-8</v>
      </c>
      <c r="E16">
        <v>0.21069217112980429</v>
      </c>
      <c r="F16" s="1">
        <v>0.23541666666666669</v>
      </c>
      <c r="G16" s="1">
        <f t="shared" si="5"/>
        <v>0.55833333333333335</v>
      </c>
      <c r="H16" s="2">
        <f t="shared" si="1"/>
        <v>804</v>
      </c>
      <c r="I16">
        <f t="shared" si="2"/>
        <v>8.0399999999999991</v>
      </c>
      <c r="J16">
        <f t="shared" si="4"/>
        <v>0.85999999999999943</v>
      </c>
      <c r="K16" s="4">
        <f t="shared" si="3"/>
        <v>0.78930782887019568</v>
      </c>
    </row>
    <row r="17" spans="1:11" x14ac:dyDescent="0.3">
      <c r="A17" t="s">
        <v>1</v>
      </c>
      <c r="B17">
        <v>3.7666400000000001E-9</v>
      </c>
      <c r="C17">
        <v>2.4127000000000002E-8</v>
      </c>
      <c r="D17">
        <v>2.7893640000000003E-8</v>
      </c>
      <c r="E17">
        <v>0.13503580027561837</v>
      </c>
      <c r="F17" s="1">
        <v>0.41319444444444442</v>
      </c>
      <c r="G17" s="1">
        <f t="shared" si="5"/>
        <v>0.73611111111111105</v>
      </c>
      <c r="H17" s="2">
        <f t="shared" si="1"/>
        <v>1060</v>
      </c>
      <c r="I17">
        <f t="shared" si="2"/>
        <v>10.6</v>
      </c>
      <c r="J17">
        <f t="shared" si="4"/>
        <v>2.5600000000000005</v>
      </c>
      <c r="K17" s="4">
        <f t="shared" si="3"/>
        <v>0.86496419972438165</v>
      </c>
    </row>
    <row r="18" spans="1:11" x14ac:dyDescent="0.3">
      <c r="A18" t="s">
        <v>2</v>
      </c>
      <c r="B18">
        <v>3.2978900000000001E-9</v>
      </c>
      <c r="C18">
        <v>2.45958E-8</v>
      </c>
      <c r="D18">
        <v>2.7893689999999999E-8</v>
      </c>
      <c r="E18">
        <v>0.11823068227975575</v>
      </c>
      <c r="F18" s="1">
        <v>0.45277777777777778</v>
      </c>
      <c r="G18" s="1">
        <f t="shared" si="5"/>
        <v>0.77569444444444446</v>
      </c>
      <c r="H18" s="2">
        <f t="shared" si="1"/>
        <v>1117</v>
      </c>
      <c r="I18">
        <f t="shared" si="2"/>
        <v>11.17</v>
      </c>
      <c r="K18" s="4">
        <f t="shared" si="3"/>
        <v>0.88176931772024425</v>
      </c>
    </row>
    <row r="19" spans="1:11" x14ac:dyDescent="0.3">
      <c r="A19" t="s">
        <v>3</v>
      </c>
      <c r="B19">
        <v>2.6217199999999999E-9</v>
      </c>
      <c r="C19">
        <v>2.5271900000000001E-8</v>
      </c>
      <c r="D19">
        <v>2.7893619999999999E-8</v>
      </c>
      <c r="E19">
        <v>9.398995182410888E-2</v>
      </c>
      <c r="F19" s="1">
        <v>0.53125</v>
      </c>
      <c r="G19" s="1">
        <f t="shared" si="5"/>
        <v>0.85416666666666663</v>
      </c>
      <c r="H19" s="2">
        <f t="shared" si="1"/>
        <v>1230</v>
      </c>
      <c r="I19">
        <f t="shared" si="2"/>
        <v>12.3</v>
      </c>
      <c r="K19" s="4">
        <f t="shared" si="3"/>
        <v>0.90601004817589115</v>
      </c>
    </row>
    <row r="20" spans="1:11" x14ac:dyDescent="0.3">
      <c r="A20" t="s">
        <v>4</v>
      </c>
      <c r="B20">
        <v>2.23854E-9</v>
      </c>
      <c r="C20">
        <v>2.5655099999999999E-8</v>
      </c>
      <c r="D20">
        <v>2.7893639999999999E-8</v>
      </c>
      <c r="E20">
        <v>8.0252702766652181E-2</v>
      </c>
      <c r="F20" s="1">
        <v>0.57013888888888886</v>
      </c>
      <c r="G20" s="1">
        <f t="shared" si="5"/>
        <v>0.89305555555555549</v>
      </c>
      <c r="H20" s="2">
        <f t="shared" si="1"/>
        <v>1286</v>
      </c>
      <c r="I20">
        <f t="shared" si="2"/>
        <v>12.86</v>
      </c>
      <c r="K20" s="4">
        <f t="shared" si="3"/>
        <v>0.9197472972333478</v>
      </c>
    </row>
    <row r="21" spans="1:11" x14ac:dyDescent="0.3">
      <c r="A21" t="s">
        <v>5</v>
      </c>
      <c r="B21">
        <v>1.06004E-9</v>
      </c>
      <c r="C21">
        <v>2.6833599999999999E-8</v>
      </c>
      <c r="D21">
        <v>2.7893639999999999E-8</v>
      </c>
      <c r="E21">
        <v>3.8002928266085027E-2</v>
      </c>
      <c r="F21" s="1">
        <v>0.71597222222222223</v>
      </c>
      <c r="G21" s="1">
        <f t="shared" si="5"/>
        <v>1.0388888888888888</v>
      </c>
      <c r="H21" s="2">
        <f t="shared" si="1"/>
        <v>1495.9999999999998</v>
      </c>
      <c r="I21">
        <f t="shared" si="2"/>
        <v>14.959999999999997</v>
      </c>
      <c r="K21" s="4">
        <f t="shared" si="3"/>
        <v>0.96199707173391502</v>
      </c>
    </row>
    <row r="22" spans="1:11" x14ac:dyDescent="0.3">
      <c r="A22" s="3" t="s">
        <v>19</v>
      </c>
      <c r="E22">
        <v>0</v>
      </c>
      <c r="F22" s="1">
        <v>0.82500000000000007</v>
      </c>
      <c r="G22" s="1">
        <f t="shared" si="5"/>
        <v>1.1479166666666667</v>
      </c>
      <c r="H22" s="2">
        <f t="shared" si="1"/>
        <v>1653</v>
      </c>
      <c r="I22">
        <f t="shared" si="2"/>
        <v>16.53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F277-0329-40F2-9095-5413A64633EE}">
  <dimension ref="A1:I22"/>
  <sheetViews>
    <sheetView workbookViewId="0">
      <selection activeCell="N34" sqref="N34"/>
    </sheetView>
  </sheetViews>
  <sheetFormatPr defaultRowHeight="14.4" x14ac:dyDescent="0.3"/>
  <cols>
    <col min="1" max="1" width="52.33203125" customWidth="1"/>
    <col min="2" max="3" width="11.5546875" customWidth="1"/>
    <col min="4" max="4" width="12.5546875" customWidth="1"/>
    <col min="5" max="5" width="13.6640625" customWidth="1"/>
    <col min="6" max="6" width="11.5546875" bestFit="1" customWidth="1"/>
  </cols>
  <sheetData>
    <row r="1" spans="1:9" x14ac:dyDescent="0.3">
      <c r="A1" t="s">
        <v>0</v>
      </c>
    </row>
    <row r="5" spans="1:9" x14ac:dyDescent="0.3">
      <c r="F5" s="1">
        <v>0.68402777777777779</v>
      </c>
    </row>
    <row r="6" spans="1:9" x14ac:dyDescent="0.3">
      <c r="E6" t="s">
        <v>17</v>
      </c>
      <c r="F6" t="s">
        <v>18</v>
      </c>
    </row>
    <row r="7" spans="1:9" x14ac:dyDescent="0.3">
      <c r="A7" t="s">
        <v>6</v>
      </c>
      <c r="B7">
        <v>1.81074E-8</v>
      </c>
      <c r="C7">
        <v>9.7862900000000005E-9</v>
      </c>
      <c r="D7">
        <v>2.7893689999999999E-8</v>
      </c>
      <c r="E7">
        <v>0.64915756932840374</v>
      </c>
      <c r="F7" s="1">
        <v>0.70138888888888884</v>
      </c>
      <c r="G7" s="1">
        <f>F7-$F$5</f>
        <v>1.7361111111111049E-2</v>
      </c>
      <c r="H7" s="2">
        <f>G7*1440</f>
        <v>24.999999999999911</v>
      </c>
      <c r="I7">
        <f>H7/100</f>
        <v>0.24999999999999911</v>
      </c>
    </row>
    <row r="8" spans="1:9" x14ac:dyDescent="0.3">
      <c r="A8" t="s">
        <v>7</v>
      </c>
      <c r="B8">
        <v>1.14337E-8</v>
      </c>
      <c r="C8">
        <v>1.6459900000000001E-8</v>
      </c>
      <c r="D8">
        <v>2.7893600000000003E-8</v>
      </c>
      <c r="E8">
        <v>0.40990406401468432</v>
      </c>
      <c r="F8" s="1">
        <v>0.73958333333333337</v>
      </c>
      <c r="G8" s="1">
        <f t="shared" ref="G8:G14" si="0">F8-$F$5</f>
        <v>5.555555555555558E-2</v>
      </c>
      <c r="H8" s="2">
        <f t="shared" ref="H8:H22" si="1">G8*1440</f>
        <v>80.000000000000028</v>
      </c>
      <c r="I8">
        <f t="shared" ref="I8:I22" si="2">H8/100</f>
        <v>0.80000000000000027</v>
      </c>
    </row>
    <row r="9" spans="1:9" x14ac:dyDescent="0.3">
      <c r="A9" t="s">
        <v>8</v>
      </c>
      <c r="B9">
        <v>1.137E-8</v>
      </c>
      <c r="C9">
        <v>1.6523600000000001E-8</v>
      </c>
      <c r="D9">
        <v>2.7893600000000003E-8</v>
      </c>
      <c r="E9">
        <v>0.40762038603837436</v>
      </c>
      <c r="F9" s="1">
        <v>0.75694444444444453</v>
      </c>
      <c r="G9" s="1">
        <f t="shared" si="0"/>
        <v>7.2916666666666741E-2</v>
      </c>
      <c r="H9" s="2">
        <f t="shared" si="1"/>
        <v>105.00000000000011</v>
      </c>
      <c r="I9">
        <f t="shared" si="2"/>
        <v>1.0500000000000012</v>
      </c>
    </row>
    <row r="10" spans="1:9" x14ac:dyDescent="0.3">
      <c r="A10" t="s">
        <v>9</v>
      </c>
      <c r="B10">
        <v>1.1176899999999999E-8</v>
      </c>
      <c r="C10">
        <v>1.6716799999999999E-8</v>
      </c>
      <c r="D10">
        <v>2.7893699999999999E-8</v>
      </c>
      <c r="E10">
        <v>0.400696214557409</v>
      </c>
      <c r="F10" s="1">
        <v>0.77569444444444446</v>
      </c>
      <c r="G10" s="1">
        <f t="shared" si="0"/>
        <v>9.1666666666666674E-2</v>
      </c>
      <c r="H10" s="2">
        <f t="shared" si="1"/>
        <v>132</v>
      </c>
      <c r="I10">
        <f t="shared" si="2"/>
        <v>1.32</v>
      </c>
    </row>
    <row r="11" spans="1:9" x14ac:dyDescent="0.3">
      <c r="A11" t="s">
        <v>10</v>
      </c>
      <c r="B11">
        <v>1.0201900000000001E-8</v>
      </c>
      <c r="C11">
        <v>1.76918E-8</v>
      </c>
      <c r="D11">
        <v>2.7893700000000002E-8</v>
      </c>
      <c r="E11">
        <v>0.36574208513033407</v>
      </c>
      <c r="F11" s="1">
        <v>0.81597222222222221</v>
      </c>
      <c r="G11" s="1">
        <f t="shared" si="0"/>
        <v>0.13194444444444442</v>
      </c>
      <c r="H11" s="2">
        <f t="shared" si="1"/>
        <v>189.99999999999997</v>
      </c>
      <c r="I11">
        <f t="shared" si="2"/>
        <v>1.8999999999999997</v>
      </c>
    </row>
    <row r="12" spans="1:9" x14ac:dyDescent="0.3">
      <c r="A12" t="s">
        <v>11</v>
      </c>
      <c r="B12">
        <v>1.02997E-8</v>
      </c>
      <c r="C12">
        <v>1.7593999999999999E-8</v>
      </c>
      <c r="D12">
        <v>2.7893699999999999E-8</v>
      </c>
      <c r="E12">
        <v>0.36924825318978838</v>
      </c>
      <c r="F12" s="1">
        <v>0.87569444444444444</v>
      </c>
      <c r="G12" s="1">
        <f t="shared" si="0"/>
        <v>0.19166666666666665</v>
      </c>
      <c r="H12" s="2">
        <f t="shared" si="1"/>
        <v>276</v>
      </c>
      <c r="I12">
        <f t="shared" si="2"/>
        <v>2.76</v>
      </c>
    </row>
    <row r="13" spans="1:9" x14ac:dyDescent="0.3">
      <c r="A13" t="s">
        <v>12</v>
      </c>
      <c r="B13">
        <v>9.6012000000000003E-9</v>
      </c>
      <c r="C13">
        <v>1.82925E-8</v>
      </c>
      <c r="D13">
        <v>2.7893700000000002E-8</v>
      </c>
      <c r="E13">
        <v>0.34420675636434034</v>
      </c>
      <c r="F13" s="1">
        <v>0.93541666666666667</v>
      </c>
      <c r="G13" s="1">
        <f t="shared" si="0"/>
        <v>0.25138888888888888</v>
      </c>
      <c r="H13" s="2">
        <f t="shared" si="1"/>
        <v>362</v>
      </c>
      <c r="I13">
        <f t="shared" si="2"/>
        <v>3.62</v>
      </c>
    </row>
    <row r="14" spans="1:9" x14ac:dyDescent="0.3">
      <c r="A14" t="s">
        <v>13</v>
      </c>
      <c r="B14">
        <v>8.7196900000000001E-9</v>
      </c>
      <c r="C14">
        <v>1.9174E-8</v>
      </c>
      <c r="D14">
        <v>2.7893689999999999E-8</v>
      </c>
      <c r="E14">
        <v>0.31260439188934847</v>
      </c>
      <c r="F14" s="1">
        <v>0.99583333333333324</v>
      </c>
      <c r="G14" s="1">
        <f t="shared" si="0"/>
        <v>0.31180555555555545</v>
      </c>
      <c r="H14" s="2">
        <f t="shared" si="1"/>
        <v>448.99999999999983</v>
      </c>
      <c r="I14">
        <f t="shared" si="2"/>
        <v>4.4899999999999984</v>
      </c>
    </row>
    <row r="15" spans="1:9" x14ac:dyDescent="0.3">
      <c r="A15" t="s">
        <v>14</v>
      </c>
      <c r="B15">
        <v>7.5277499999999994E-9</v>
      </c>
      <c r="C15">
        <v>2.03659E-8</v>
      </c>
      <c r="D15">
        <v>2.7893649999999999E-8</v>
      </c>
      <c r="E15">
        <v>0.26987325072193852</v>
      </c>
      <c r="F15" s="1">
        <v>0.11527777777777777</v>
      </c>
      <c r="G15" s="1">
        <f>F15-$F$5+1</f>
        <v>0.43125000000000002</v>
      </c>
      <c r="H15" s="2">
        <f t="shared" si="1"/>
        <v>621</v>
      </c>
      <c r="I15">
        <f t="shared" si="2"/>
        <v>6.21</v>
      </c>
    </row>
    <row r="16" spans="1:9" x14ac:dyDescent="0.3">
      <c r="A16" t="s">
        <v>15</v>
      </c>
      <c r="B16">
        <v>6.6932199999999998E-9</v>
      </c>
      <c r="C16">
        <v>2.12004E-8</v>
      </c>
      <c r="D16">
        <v>2.7893619999999999E-8</v>
      </c>
      <c r="E16">
        <v>0.23995522990561999</v>
      </c>
      <c r="F16" s="1">
        <v>0.17569444444444446</v>
      </c>
      <c r="G16" s="1">
        <f t="shared" ref="G16:G22" si="3">F16-$F$5+1</f>
        <v>0.4916666666666667</v>
      </c>
      <c r="H16" s="2">
        <f t="shared" si="1"/>
        <v>708</v>
      </c>
      <c r="I16">
        <f t="shared" si="2"/>
        <v>7.08</v>
      </c>
    </row>
    <row r="17" spans="1:9" x14ac:dyDescent="0.3">
      <c r="A17" t="s">
        <v>16</v>
      </c>
      <c r="B17">
        <v>5.8769799999999997E-9</v>
      </c>
      <c r="C17">
        <v>2.2016700000000002E-8</v>
      </c>
      <c r="D17">
        <v>2.7893680000000002E-8</v>
      </c>
      <c r="E17">
        <v>0.21069217112980429</v>
      </c>
      <c r="F17" s="1">
        <v>0.23541666666666669</v>
      </c>
      <c r="G17" s="1">
        <f t="shared" si="3"/>
        <v>0.55138888888888893</v>
      </c>
      <c r="H17" s="2">
        <f t="shared" si="1"/>
        <v>794</v>
      </c>
      <c r="I17">
        <f t="shared" si="2"/>
        <v>7.94</v>
      </c>
    </row>
    <row r="18" spans="1:9" x14ac:dyDescent="0.3">
      <c r="A18" t="s">
        <v>1</v>
      </c>
      <c r="B18">
        <v>3.7666400000000001E-9</v>
      </c>
      <c r="C18">
        <v>2.4127000000000002E-8</v>
      </c>
      <c r="D18">
        <v>2.7893640000000003E-8</v>
      </c>
      <c r="E18">
        <v>0.13503580027561837</v>
      </c>
      <c r="F18" s="1">
        <v>0.41319444444444442</v>
      </c>
      <c r="G18" s="1">
        <f t="shared" si="3"/>
        <v>0.72916666666666663</v>
      </c>
      <c r="H18" s="2">
        <f t="shared" si="1"/>
        <v>1050</v>
      </c>
      <c r="I18">
        <f t="shared" si="2"/>
        <v>10.5</v>
      </c>
    </row>
    <row r="19" spans="1:9" x14ac:dyDescent="0.3">
      <c r="A19" t="s">
        <v>2</v>
      </c>
      <c r="B19">
        <v>3.2978900000000001E-9</v>
      </c>
      <c r="C19">
        <v>2.45958E-8</v>
      </c>
      <c r="D19">
        <v>2.7893689999999999E-8</v>
      </c>
      <c r="E19">
        <v>0.11823068227975575</v>
      </c>
      <c r="F19" s="1">
        <v>0.45277777777777778</v>
      </c>
      <c r="G19" s="1">
        <f t="shared" si="3"/>
        <v>0.76875000000000004</v>
      </c>
      <c r="H19" s="2">
        <f t="shared" si="1"/>
        <v>1107</v>
      </c>
      <c r="I19">
        <f t="shared" si="2"/>
        <v>11.07</v>
      </c>
    </row>
    <row r="20" spans="1:9" x14ac:dyDescent="0.3">
      <c r="A20" t="s">
        <v>3</v>
      </c>
      <c r="B20">
        <v>2.6217199999999999E-9</v>
      </c>
      <c r="C20">
        <v>2.5271900000000001E-8</v>
      </c>
      <c r="D20">
        <v>2.7893619999999999E-8</v>
      </c>
      <c r="E20">
        <v>9.398995182410888E-2</v>
      </c>
      <c r="F20" s="1">
        <v>0.53125</v>
      </c>
      <c r="G20" s="1">
        <f t="shared" si="3"/>
        <v>0.84722222222222221</v>
      </c>
      <c r="H20" s="2">
        <f t="shared" si="1"/>
        <v>1220</v>
      </c>
      <c r="I20">
        <f t="shared" si="2"/>
        <v>12.2</v>
      </c>
    </row>
    <row r="21" spans="1:9" x14ac:dyDescent="0.3">
      <c r="A21" t="s">
        <v>4</v>
      </c>
      <c r="B21">
        <v>2.23854E-9</v>
      </c>
      <c r="C21">
        <v>2.5655099999999999E-8</v>
      </c>
      <c r="D21">
        <v>2.7893639999999999E-8</v>
      </c>
      <c r="E21">
        <v>8.0252702766652181E-2</v>
      </c>
      <c r="F21" s="1">
        <v>0.57013888888888886</v>
      </c>
      <c r="G21" s="1">
        <f t="shared" si="3"/>
        <v>0.88611111111111107</v>
      </c>
      <c r="H21" s="2">
        <f t="shared" si="1"/>
        <v>1276</v>
      </c>
      <c r="I21">
        <f t="shared" si="2"/>
        <v>12.76</v>
      </c>
    </row>
    <row r="22" spans="1:9" x14ac:dyDescent="0.3">
      <c r="A22" t="s">
        <v>5</v>
      </c>
      <c r="B22">
        <v>1.06004E-9</v>
      </c>
      <c r="C22">
        <v>2.6833599999999999E-8</v>
      </c>
      <c r="D22">
        <v>2.7893639999999999E-8</v>
      </c>
      <c r="E22">
        <v>3.8002928266085027E-2</v>
      </c>
      <c r="F22" s="1">
        <v>0.71597222222222223</v>
      </c>
      <c r="G22" s="1">
        <f t="shared" si="3"/>
        <v>1.0319444444444446</v>
      </c>
      <c r="H22" s="2">
        <f t="shared" si="1"/>
        <v>1486.0000000000002</v>
      </c>
      <c r="I22">
        <f t="shared" si="2"/>
        <v>14.860000000000003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61A6-553C-4821-B19C-E8C8D15890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Radeva, Sveta</cp:lastModifiedBy>
  <dcterms:modified xsi:type="dcterms:W3CDTF">2026-06-11T10:08:18Z</dcterms:modified>
</cp:coreProperties>
</file>