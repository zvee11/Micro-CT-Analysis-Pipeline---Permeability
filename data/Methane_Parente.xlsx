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700CA575-863B-4498-88CC-3FD76327287F}" xr6:coauthVersionLast="47" xr6:coauthVersionMax="47" xr10:uidLastSave="{00000000-0000-0000-0000-000000000000}"/>
  <bookViews>
    <workbookView xWindow="57480" yWindow="-120" windowWidth="38640" windowHeight="21120" activeTab="1" xr2:uid="{00000000-000D-0000-FFFF-FFFF00000000}"/>
  </bookViews>
  <sheets>
    <sheet name="Sample 5" sheetId="4" r:id="rId1"/>
    <sheet name="Complete tabl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3" i="3" l="1"/>
  <c r="BJ33" i="3" s="1"/>
  <c r="BB34" i="3"/>
  <c r="BJ34" i="3" s="1"/>
  <c r="BB35" i="3"/>
  <c r="BJ35" i="3" s="1"/>
  <c r="BB36" i="3"/>
  <c r="BI36" i="3" s="1"/>
  <c r="BB37" i="3"/>
  <c r="BI37" i="3" s="1"/>
  <c r="BB38" i="3"/>
  <c r="BB6" i="3"/>
  <c r="BJ6" i="3" s="1"/>
  <c r="BB7" i="3"/>
  <c r="BJ7" i="3" s="1"/>
  <c r="BB8" i="3"/>
  <c r="BJ8" i="3" s="1"/>
  <c r="BB9" i="3"/>
  <c r="BJ9" i="3" s="1"/>
  <c r="BB10" i="3"/>
  <c r="BI10" i="3" s="1"/>
  <c r="BB11" i="3"/>
  <c r="BI11" i="3" s="1"/>
  <c r="BB12" i="3"/>
  <c r="BI12" i="3" s="1"/>
  <c r="BB13" i="3"/>
  <c r="BI13" i="3" s="1"/>
  <c r="BB14" i="3"/>
  <c r="BJ14" i="3" s="1"/>
  <c r="BB15" i="3"/>
  <c r="BJ15" i="3" s="1"/>
  <c r="BB16" i="3"/>
  <c r="BJ16" i="3" s="1"/>
  <c r="BB17" i="3"/>
  <c r="BJ17" i="3" s="1"/>
  <c r="BB18" i="3"/>
  <c r="BI18" i="3" s="1"/>
  <c r="BB19" i="3"/>
  <c r="BI19" i="3" s="1"/>
  <c r="BB20" i="3"/>
  <c r="BI20" i="3" s="1"/>
  <c r="BB21" i="3"/>
  <c r="BI21" i="3" s="1"/>
  <c r="BB22" i="3"/>
  <c r="BJ22" i="3" s="1"/>
  <c r="BB23" i="3"/>
  <c r="BJ23" i="3" s="1"/>
  <c r="BB24" i="3"/>
  <c r="BJ24" i="3" s="1"/>
  <c r="BB25" i="3"/>
  <c r="BJ25" i="3" s="1"/>
  <c r="BB26" i="3"/>
  <c r="BI26" i="3" s="1"/>
  <c r="BB27" i="3"/>
  <c r="BI27" i="3" s="1"/>
  <c r="BB28" i="3"/>
  <c r="BI28" i="3" s="1"/>
  <c r="BB29" i="3"/>
  <c r="BI29" i="3" s="1"/>
  <c r="BB30" i="3"/>
  <c r="BJ30" i="3" s="1"/>
  <c r="BB31" i="3"/>
  <c r="BJ31" i="3" s="1"/>
  <c r="BB32" i="3"/>
  <c r="BJ32" i="3" s="1"/>
  <c r="BB5" i="3"/>
  <c r="BI5" i="3" s="1"/>
  <c r="BA44" i="3"/>
  <c r="BA45" i="3" s="1"/>
  <c r="BA39" i="3"/>
  <c r="BA40" i="3" s="1"/>
  <c r="BA41" i="3" s="1"/>
  <c r="BA42" i="3" s="1"/>
  <c r="BA43" i="3" s="1"/>
  <c r="BA29" i="3"/>
  <c r="BA30" i="3" s="1"/>
  <c r="BA31" i="3" s="1"/>
  <c r="BA32" i="3" s="1"/>
  <c r="BA33" i="3" s="1"/>
  <c r="BA34" i="3" s="1"/>
  <c r="BA35" i="3" s="1"/>
  <c r="BA36" i="3" s="1"/>
  <c r="BA37" i="3" s="1"/>
  <c r="BA38" i="3" s="1"/>
  <c r="BA7" i="3"/>
  <c r="BA8" i="3" s="1"/>
  <c r="BA9" i="3" s="1"/>
  <c r="BA10" i="3" s="1"/>
  <c r="BA11" i="3" s="1"/>
  <c r="BA12" i="3" s="1"/>
  <c r="BA13" i="3" s="1"/>
  <c r="BA14" i="3" s="1"/>
  <c r="BA15" i="3" s="1"/>
  <c r="BA16" i="3" s="1"/>
  <c r="BA17" i="3" s="1"/>
  <c r="BA18" i="3" s="1"/>
  <c r="BA19" i="3" s="1"/>
  <c r="BA20" i="3" s="1"/>
  <c r="BA21" i="3" s="1"/>
  <c r="BA22" i="3" s="1"/>
  <c r="BA23" i="3" s="1"/>
  <c r="BA24" i="3" s="1"/>
  <c r="BA25" i="3" s="1"/>
  <c r="BA26" i="3" s="1"/>
  <c r="BA27" i="3" s="1"/>
  <c r="BA28" i="3" s="1"/>
  <c r="BA6" i="3"/>
  <c r="L33" i="3"/>
  <c r="L32" i="3"/>
  <c r="L30" i="3"/>
  <c r="L31" i="3"/>
  <c r="L34" i="3"/>
  <c r="L35" i="3"/>
  <c r="L36" i="3"/>
  <c r="L29" i="3"/>
  <c r="L26" i="3"/>
  <c r="L27" i="3"/>
  <c r="L28" i="3"/>
  <c r="L25" i="3"/>
  <c r="L24" i="3"/>
  <c r="L22" i="3"/>
  <c r="L23" i="3"/>
  <c r="L21" i="3"/>
  <c r="L18" i="3"/>
  <c r="L19" i="3"/>
  <c r="L20" i="3"/>
  <c r="L17" i="3"/>
  <c r="L14" i="3"/>
  <c r="L15" i="3"/>
  <c r="L16" i="3"/>
  <c r="L13" i="3"/>
  <c r="L12" i="3"/>
  <c r="L10" i="3"/>
  <c r="L11" i="3"/>
  <c r="L9" i="3"/>
  <c r="L6" i="3"/>
  <c r="L7" i="3"/>
  <c r="L8" i="3"/>
  <c r="L5" i="3"/>
  <c r="K34" i="3"/>
  <c r="K35" i="3"/>
  <c r="K36" i="3"/>
  <c r="K33" i="3"/>
  <c r="K30" i="3"/>
  <c r="K31" i="3"/>
  <c r="K32" i="3"/>
  <c r="K29" i="3"/>
  <c r="K26" i="3"/>
  <c r="K27" i="3"/>
  <c r="K28" i="3"/>
  <c r="K25" i="3"/>
  <c r="K22" i="3"/>
  <c r="K23" i="3"/>
  <c r="K24" i="3"/>
  <c r="K21" i="3"/>
  <c r="K20" i="3"/>
  <c r="K18" i="3"/>
  <c r="K19" i="3"/>
  <c r="K17" i="3"/>
  <c r="K16" i="3"/>
  <c r="K14" i="3"/>
  <c r="K15" i="3"/>
  <c r="K13" i="3"/>
  <c r="K12" i="3"/>
  <c r="K10" i="3"/>
  <c r="K11" i="3"/>
  <c r="K9" i="3"/>
  <c r="K7" i="3"/>
  <c r="K8" i="3"/>
  <c r="K6" i="3"/>
  <c r="K5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AU6" i="4"/>
  <c r="AU7" i="4"/>
  <c r="AU8" i="4"/>
  <c r="AU5" i="4"/>
  <c r="AS6" i="4"/>
  <c r="AS7" i="4"/>
  <c r="AS8" i="4"/>
  <c r="AS5" i="4"/>
  <c r="AO6" i="4"/>
  <c r="AO7" i="4"/>
  <c r="AO8" i="4"/>
  <c r="AO5" i="4"/>
  <c r="AM6" i="4"/>
  <c r="AM7" i="4"/>
  <c r="AM8" i="4"/>
  <c r="AM5" i="4"/>
  <c r="AI8" i="4"/>
  <c r="AI6" i="4"/>
  <c r="AI7" i="4"/>
  <c r="AI5" i="4"/>
  <c r="AG6" i="4"/>
  <c r="AG7" i="4"/>
  <c r="AG8" i="4"/>
  <c r="AG5" i="4"/>
  <c r="AC8" i="4"/>
  <c r="AC6" i="4"/>
  <c r="AC7" i="4"/>
  <c r="AC5" i="4"/>
  <c r="AA6" i="4"/>
  <c r="AA7" i="4"/>
  <c r="AA8" i="4"/>
  <c r="AA5" i="4"/>
  <c r="W6" i="4"/>
  <c r="W7" i="4"/>
  <c r="W8" i="4"/>
  <c r="W5" i="4"/>
  <c r="U6" i="4"/>
  <c r="U7" i="4"/>
  <c r="U8" i="4"/>
  <c r="U5" i="4"/>
  <c r="Q6" i="4"/>
  <c r="Q7" i="4"/>
  <c r="Q8" i="4"/>
  <c r="Q5" i="4"/>
  <c r="O6" i="4"/>
  <c r="O7" i="4"/>
  <c r="O8" i="4"/>
  <c r="O5" i="4"/>
  <c r="K8" i="4"/>
  <c r="K6" i="4"/>
  <c r="K7" i="4"/>
  <c r="K5" i="4"/>
  <c r="I6" i="4"/>
  <c r="I7" i="4"/>
  <c r="I8" i="4"/>
  <c r="I5" i="4"/>
  <c r="E6" i="4"/>
  <c r="E7" i="4"/>
  <c r="E8" i="4"/>
  <c r="E5" i="4"/>
  <c r="C6" i="4"/>
  <c r="C7" i="4"/>
  <c r="C8" i="4"/>
  <c r="C5" i="4"/>
  <c r="AT8" i="4"/>
  <c r="AN8" i="4"/>
  <c r="AH8" i="4"/>
  <c r="V8" i="4"/>
  <c r="AB8" i="4"/>
  <c r="P8" i="4"/>
  <c r="J8" i="4"/>
  <c r="D8" i="4"/>
  <c r="AT7" i="4"/>
  <c r="AN7" i="4"/>
  <c r="AH7" i="4"/>
  <c r="AB7" i="4"/>
  <c r="V7" i="4"/>
  <c r="P7" i="4"/>
  <c r="J7" i="4"/>
  <c r="D7" i="4"/>
  <c r="AT6" i="4"/>
  <c r="AN6" i="4"/>
  <c r="AH6" i="4"/>
  <c r="AB6" i="4"/>
  <c r="V6" i="4"/>
  <c r="P6" i="4"/>
  <c r="J6" i="4"/>
  <c r="D6" i="4"/>
  <c r="AT5" i="4"/>
  <c r="AN5" i="4"/>
  <c r="AH5" i="4"/>
  <c r="AB5" i="4"/>
  <c r="V5" i="4"/>
  <c r="P5" i="4"/>
  <c r="J5" i="4"/>
  <c r="D5" i="4"/>
  <c r="BI35" i="3" l="1"/>
  <c r="BJ36" i="3"/>
  <c r="BI33" i="3"/>
  <c r="BI34" i="3"/>
  <c r="BJ37" i="3"/>
  <c r="BI8" i="3"/>
  <c r="BI7" i="3"/>
  <c r="BI32" i="3"/>
  <c r="BJ27" i="3"/>
  <c r="BI31" i="3"/>
  <c r="BJ26" i="3"/>
  <c r="BI24" i="3"/>
  <c r="BJ19" i="3"/>
  <c r="BI23" i="3"/>
  <c r="BJ18" i="3"/>
  <c r="BI16" i="3"/>
  <c r="BJ11" i="3"/>
  <c r="BI15" i="3"/>
  <c r="BJ10" i="3"/>
  <c r="BJ29" i="3"/>
  <c r="BJ21" i="3"/>
  <c r="BJ13" i="3"/>
  <c r="BI25" i="3"/>
  <c r="BI17" i="3"/>
  <c r="BI9" i="3"/>
  <c r="BJ28" i="3"/>
  <c r="BJ20" i="3"/>
  <c r="BJ12" i="3"/>
  <c r="BI30" i="3"/>
  <c r="BI22" i="3"/>
  <c r="BI14" i="3"/>
  <c r="BI6" i="3"/>
  <c r="BA5" i="3"/>
  <c r="BJ5" i="3" l="1"/>
</calcChain>
</file>

<file path=xl/sharedStrings.xml><?xml version="1.0" encoding="utf-8"?>
<sst xmlns="http://schemas.openxmlformats.org/spreadsheetml/2006/main" count="160" uniqueCount="51">
  <si>
    <t xml:space="preserve">Volume of gas </t>
  </si>
  <si>
    <t>Sg</t>
  </si>
  <si>
    <t>Sample</t>
  </si>
  <si>
    <t xml:space="preserve">Total Pore Volume </t>
  </si>
  <si>
    <t>Section 2</t>
  </si>
  <si>
    <t>Section 1</t>
  </si>
  <si>
    <t>Section 3</t>
  </si>
  <si>
    <t>Section 4</t>
  </si>
  <si>
    <t>Section 5</t>
  </si>
  <si>
    <t>[Darcy]</t>
  </si>
  <si>
    <t>[mDarcy]</t>
  </si>
  <si>
    <t>Section</t>
  </si>
  <si>
    <t>Scan</t>
  </si>
  <si>
    <t>Abs perm (GD)</t>
  </si>
  <si>
    <t>Abs perm (AR)</t>
  </si>
  <si>
    <t>Eff perm H2 (GD)</t>
  </si>
  <si>
    <t>Eff perm H2 (AR)</t>
  </si>
  <si>
    <t>Eff perm brine (GD)</t>
  </si>
  <si>
    <t>Eff perm brine (AR)</t>
  </si>
  <si>
    <t>Rel perm H2</t>
  </si>
  <si>
    <t>Rel perm brine</t>
  </si>
  <si>
    <t>Sw</t>
  </si>
  <si>
    <t xml:space="preserve">Sample 4 </t>
  </si>
  <si>
    <t>Swc</t>
  </si>
  <si>
    <t>Snr</t>
  </si>
  <si>
    <t>krw0</t>
  </si>
  <si>
    <t>krn0</t>
  </si>
  <si>
    <t>nw</t>
  </si>
  <si>
    <t>nn</t>
  </si>
  <si>
    <t>Sred</t>
  </si>
  <si>
    <t>krw</t>
  </si>
  <si>
    <t>krn</t>
  </si>
  <si>
    <t>Section 6</t>
  </si>
  <si>
    <t>Section 7</t>
  </si>
  <si>
    <t>Section 8</t>
  </si>
  <si>
    <t>Experiment number</t>
  </si>
  <si>
    <t xml:space="preserve"> Gas Volume Calculations Section 1</t>
  </si>
  <si>
    <t xml:space="preserve"> Gas Volume Calculations Section 2</t>
  </si>
  <si>
    <t xml:space="preserve"> Gas Volume Calculations Section 3</t>
  </si>
  <si>
    <t>Dry</t>
  </si>
  <si>
    <t xml:space="preserve"> Gas Volume Calculations Section 4</t>
  </si>
  <si>
    <t xml:space="preserve"> Gas Volume Calculations Section 5</t>
  </si>
  <si>
    <t xml:space="preserve"> Gas Volume Calculations Section 6</t>
  </si>
  <si>
    <t xml:space="preserve"> Gas Volume Calculations Section 7</t>
  </si>
  <si>
    <t xml:space="preserve"> Gas Volume Calculations Section 8</t>
  </si>
  <si>
    <t>8_0</t>
  </si>
  <si>
    <t>8_2</t>
  </si>
  <si>
    <t>8_3</t>
  </si>
  <si>
    <t>8_4</t>
  </si>
  <si>
    <t xml:space="preserve"> </t>
  </si>
  <si>
    <t>8 (DISPLACEMENT)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</si>
</sst>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8"/>
      <name val="Calibri"/>
      <family val="2"/>
      <scheme val="minor"/>
    </font>
    <font>
      <b/>
      <sz val="3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FF7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11" fontId="0" fillId="0" borderId="0" xfId="0" applyNumberFormat="1"/>
    <xf numFmtId="11" fontId="0" fillId="0" borderId="1" xfId="0" applyNumberFormat="1" applyBorder="1"/>
    <xf numFmtId="0" fontId="0" fillId="0" borderId="2" xfId="0" applyBorder="1" applyAlignment="1">
      <alignment horizontal="center"/>
    </xf>
    <xf numFmtId="11" fontId="0" fillId="0" borderId="2" xfId="0" applyNumberFormat="1" applyBorder="1"/>
    <xf numFmtId="11" fontId="0" fillId="0" borderId="4" xfId="0" applyNumberFormat="1" applyBorder="1"/>
    <xf numFmtId="0" fontId="2" fillId="2" borderId="6" xfId="0" applyFont="1" applyFill="1" applyBorder="1" applyAlignment="1">
      <alignment horizontal="center" wrapText="1" readingOrder="1"/>
    </xf>
    <xf numFmtId="0" fontId="2" fillId="2" borderId="7" xfId="0" applyFont="1" applyFill="1" applyBorder="1" applyAlignment="1">
      <alignment horizontal="center" wrapText="1" readingOrder="1"/>
    </xf>
    <xf numFmtId="0" fontId="3" fillId="2" borderId="7" xfId="0" applyFont="1" applyFill="1" applyBorder="1" applyAlignment="1">
      <alignment horizontal="center" wrapText="1" readingOrder="1"/>
    </xf>
    <xf numFmtId="0" fontId="3" fillId="2" borderId="8" xfId="0" applyFont="1" applyFill="1" applyBorder="1" applyAlignment="1">
      <alignment horizont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wrapText="1" readingOrder="1"/>
    </xf>
    <xf numFmtId="0" fontId="2" fillId="2" borderId="9" xfId="0" applyFont="1" applyFill="1" applyBorder="1" applyAlignment="1">
      <alignment horizontal="center" wrapText="1" readingOrder="1"/>
    </xf>
    <xf numFmtId="0" fontId="0" fillId="0" borderId="4" xfId="0" applyBorder="1" applyAlignment="1">
      <alignment horizontal="center"/>
    </xf>
    <xf numFmtId="11" fontId="0" fillId="0" borderId="4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left"/>
    </xf>
    <xf numFmtId="11" fontId="0" fillId="0" borderId="3" xfId="0" applyNumberFormat="1" applyBorder="1" applyAlignment="1">
      <alignment horizontal="center"/>
    </xf>
    <xf numFmtId="11" fontId="0" fillId="0" borderId="3" xfId="0" applyNumberFormat="1" applyBorder="1"/>
    <xf numFmtId="0" fontId="6" fillId="0" borderId="12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wrapText="1" readingOrder="1"/>
    </xf>
    <xf numFmtId="0" fontId="1" fillId="2" borderId="24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3" fillId="2" borderId="17" xfId="0" applyFont="1" applyFill="1" applyBorder="1" applyAlignment="1">
      <alignment horizontal="center" wrapText="1" readingOrder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20" xfId="0" applyFont="1" applyFill="1" applyBorder="1" applyAlignment="1">
      <alignment horizontal="center" vertical="center" wrapText="1" readingOrder="1"/>
    </xf>
    <xf numFmtId="0" fontId="3" fillId="2" borderId="21" xfId="0" applyFont="1" applyFill="1" applyBorder="1" applyAlignment="1">
      <alignment horizontal="center" vertical="center" wrapText="1" readingOrder="1"/>
    </xf>
    <xf numFmtId="0" fontId="3" fillId="2" borderId="22" xfId="0" applyFont="1" applyFill="1" applyBorder="1" applyAlignment="1">
      <alignment horizontal="center" vertical="center" wrapText="1" readingOrder="1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 readingOrder="1"/>
    </xf>
    <xf numFmtId="0" fontId="9" fillId="2" borderId="19" xfId="0" applyFont="1" applyFill="1" applyBorder="1" applyAlignment="1">
      <alignment horizontal="center" vertical="center" wrapText="1" readingOrder="1"/>
    </xf>
    <xf numFmtId="0" fontId="9" fillId="2" borderId="2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6D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Methane - Relative permeability curves  (logarithmic)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9.0587881775985854E-2"/>
          <c:y val="7.3077077022413534E-2"/>
          <c:w val="0.87453259154017382"/>
          <c:h val="0.69269900668073292"/>
        </c:manualLayout>
      </c:layout>
      <c:scatterChart>
        <c:scatterStyle val="lineMarker"/>
        <c:varyColors val="0"/>
        <c:ser>
          <c:idx val="0"/>
          <c:order val="0"/>
          <c:tx>
            <c:v>Methane - section 1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'Complete tables'!$N$5:$N$8</c:f>
              <c:numCache>
                <c:formatCode>0.0000</c:formatCode>
                <c:ptCount val="4"/>
                <c:pt idx="0">
                  <c:v>0.29989093469959083</c:v>
                </c:pt>
                <c:pt idx="1">
                  <c:v>0.55359512053192939</c:v>
                </c:pt>
                <c:pt idx="2">
                  <c:v>0.55602993552132318</c:v>
                </c:pt>
                <c:pt idx="3">
                  <c:v>0.56361065981327518</c:v>
                </c:pt>
              </c:numCache>
            </c:numRef>
          </c:xVal>
          <c:yVal>
            <c:numRef>
              <c:f>'Complete tables'!$K$5:$K$8</c:f>
              <c:numCache>
                <c:formatCode>0.0000</c:formatCode>
                <c:ptCount val="4"/>
                <c:pt idx="0">
                  <c:v>0.19911764912010202</c:v>
                </c:pt>
                <c:pt idx="1">
                  <c:v>7.853991604000363E-3</c:v>
                </c:pt>
                <c:pt idx="2">
                  <c:v>6.8397961972709491E-3</c:v>
                </c:pt>
                <c:pt idx="3">
                  <c:v>7.2510985583830343E-3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F-4D4D-8877-0355117D5449}"/>
            </c:ext>
          </c:extLst>
        </c:ser>
        <c:ser>
          <c:idx val="1"/>
          <c:order val="1"/>
          <c:tx>
            <c:v>Methane - section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'Complete tables'!$N$9:$N$12</c:f>
              <c:numCache>
                <c:formatCode>0.0000</c:formatCode>
                <c:ptCount val="4"/>
                <c:pt idx="0">
                  <c:v>0.2755072715149175</c:v>
                </c:pt>
                <c:pt idx="1">
                  <c:v>0.53775302741060771</c:v>
                </c:pt>
                <c:pt idx="2">
                  <c:v>0.5296188221463245</c:v>
                </c:pt>
                <c:pt idx="3">
                  <c:v>0.54958161421162122</c:v>
                </c:pt>
              </c:numCache>
            </c:numRef>
          </c:xVal>
          <c:yVal>
            <c:numRef>
              <c:f>'Complete tables'!$K$9:$K$12</c:f>
              <c:numCache>
                <c:formatCode>0.0000</c:formatCode>
                <c:ptCount val="4"/>
                <c:pt idx="0">
                  <c:v>0.22428087120242546</c:v>
                </c:pt>
                <c:pt idx="1">
                  <c:v>2.7653964949403594E-2</c:v>
                </c:pt>
                <c:pt idx="2">
                  <c:v>3.5430851578186949E-2</c:v>
                </c:pt>
                <c:pt idx="3">
                  <c:v>2.8245251787512159E-2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3F-4D4D-8877-0355117D5449}"/>
            </c:ext>
          </c:extLst>
        </c:ser>
        <c:ser>
          <c:idx val="2"/>
          <c:order val="2"/>
          <c:tx>
            <c:v>Methane - section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'Complete tables'!$N$13:$N$16</c:f>
              <c:numCache>
                <c:formatCode>0.0000</c:formatCode>
                <c:ptCount val="4"/>
                <c:pt idx="0">
                  <c:v>0.29646501441322548</c:v>
                </c:pt>
                <c:pt idx="1">
                  <c:v>0.55582443075282606</c:v>
                </c:pt>
                <c:pt idx="2">
                  <c:v>0.55785461244194057</c:v>
                </c:pt>
                <c:pt idx="3">
                  <c:v>0.56388747353313629</c:v>
                </c:pt>
              </c:numCache>
            </c:numRef>
          </c:xVal>
          <c:yVal>
            <c:numRef>
              <c:f>'Complete tables'!$K$13:$K$16</c:f>
              <c:numCache>
                <c:formatCode>0.0000</c:formatCode>
                <c:ptCount val="4"/>
                <c:pt idx="0">
                  <c:v>0.19175514278843703</c:v>
                </c:pt>
                <c:pt idx="1">
                  <c:v>6.8499646581311807E-3</c:v>
                </c:pt>
                <c:pt idx="2">
                  <c:v>5.8565848824245256E-3</c:v>
                </c:pt>
                <c:pt idx="3">
                  <c:v>9.1286225415540215E-3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F-4D4D-8877-0355117D5449}"/>
            </c:ext>
          </c:extLst>
        </c:ser>
        <c:ser>
          <c:idx val="3"/>
          <c:order val="3"/>
          <c:tx>
            <c:v>Methane - section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'Complete tables'!$N$17:$N$20</c:f>
              <c:numCache>
                <c:formatCode>0.0000</c:formatCode>
                <c:ptCount val="4"/>
                <c:pt idx="0">
                  <c:v>0.27163827525087592</c:v>
                </c:pt>
                <c:pt idx="1">
                  <c:v>0.56258307097791693</c:v>
                </c:pt>
                <c:pt idx="2">
                  <c:v>0.55395556236935117</c:v>
                </c:pt>
                <c:pt idx="3">
                  <c:v>0.56297532913195902</c:v>
                </c:pt>
              </c:numCache>
            </c:numRef>
          </c:xVal>
          <c:yVal>
            <c:numRef>
              <c:f>'Complete tables'!$K$17:$K$20</c:f>
              <c:numCache>
                <c:formatCode>0.0000</c:formatCode>
                <c:ptCount val="4"/>
                <c:pt idx="0">
                  <c:v>0.21019945369272791</c:v>
                </c:pt>
                <c:pt idx="1">
                  <c:v>7.5815423731725338E-3</c:v>
                </c:pt>
                <c:pt idx="2">
                  <c:v>8.4340394097132745E-3</c:v>
                </c:pt>
                <c:pt idx="3">
                  <c:v>6.8759470185022929E-3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F-4D4D-8877-0355117D5449}"/>
            </c:ext>
          </c:extLst>
        </c:ser>
        <c:ser>
          <c:idx val="4"/>
          <c:order val="4"/>
          <c:tx>
            <c:v>Methane - section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'Complete tables'!$N$21:$N$24</c:f>
              <c:numCache>
                <c:formatCode>0.0000</c:formatCode>
                <c:ptCount val="4"/>
                <c:pt idx="0">
                  <c:v>0.38479382134660656</c:v>
                </c:pt>
                <c:pt idx="1">
                  <c:v>0.57789743700370644</c:v>
                </c:pt>
                <c:pt idx="2">
                  <c:v>0.58907465495578637</c:v>
                </c:pt>
                <c:pt idx="3">
                  <c:v>0.59613112013450964</c:v>
                </c:pt>
              </c:numCache>
            </c:numRef>
          </c:xVal>
          <c:yVal>
            <c:numRef>
              <c:f>'Complete tables'!$K$21:$K$24</c:f>
              <c:numCache>
                <c:formatCode>0.0000</c:formatCode>
                <c:ptCount val="4"/>
                <c:pt idx="0">
                  <c:v>0.14547168985948217</c:v>
                </c:pt>
                <c:pt idx="1">
                  <c:v>4.6188455599894367E-3</c:v>
                </c:pt>
                <c:pt idx="2">
                  <c:v>5.5989222591082228E-3</c:v>
                </c:pt>
                <c:pt idx="3">
                  <c:v>9.2705320819096056E-3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F-4D4D-8877-0355117D5449}"/>
            </c:ext>
          </c:extLst>
        </c:ser>
        <c:ser>
          <c:idx val="5"/>
          <c:order val="5"/>
          <c:tx>
            <c:v>Methane - section 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'Complete tables'!$N$25:$N$28</c:f>
              <c:numCache>
                <c:formatCode>0.0000</c:formatCode>
                <c:ptCount val="4"/>
                <c:pt idx="0">
                  <c:v>0.39429991904404726</c:v>
                </c:pt>
                <c:pt idx="1">
                  <c:v>0.58351890167820697</c:v>
                </c:pt>
                <c:pt idx="2">
                  <c:v>0.59507810251977133</c:v>
                </c:pt>
                <c:pt idx="3">
                  <c:v>0.60181585688893535</c:v>
                </c:pt>
              </c:numCache>
            </c:numRef>
          </c:xVal>
          <c:yVal>
            <c:numRef>
              <c:f>'Complete tables'!$K$25:$K$28</c:f>
              <c:numCache>
                <c:formatCode>0.0000</c:formatCode>
                <c:ptCount val="4"/>
                <c:pt idx="0">
                  <c:v>6.0275627957604216E-2</c:v>
                </c:pt>
                <c:pt idx="1">
                  <c:v>6.0275627957604216E-2</c:v>
                </c:pt>
                <c:pt idx="2">
                  <c:v>4.2594228232494216E-2</c:v>
                </c:pt>
                <c:pt idx="3">
                  <c:v>5.7830444528489858E-2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3F-4D4D-8877-0355117D5449}"/>
            </c:ext>
          </c:extLst>
        </c:ser>
        <c:ser>
          <c:idx val="6"/>
          <c:order val="6"/>
          <c:tx>
            <c:v>Methane - section 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'Complete tables'!$N$29:$N$32</c:f>
              <c:numCache>
                <c:formatCode>0.0000</c:formatCode>
                <c:ptCount val="4"/>
                <c:pt idx="0">
                  <c:v>0.36983912273869102</c:v>
                </c:pt>
                <c:pt idx="1">
                  <c:v>0.57477784250400332</c:v>
                </c:pt>
                <c:pt idx="2">
                  <c:v>0.58511519753244412</c:v>
                </c:pt>
                <c:pt idx="3">
                  <c:v>0.59505795176916898</c:v>
                </c:pt>
              </c:numCache>
            </c:numRef>
          </c:xVal>
          <c:yVal>
            <c:numRef>
              <c:f>'Complete tables'!$K$29:$K$32</c:f>
              <c:numCache>
                <c:formatCode>0.0000</c:formatCode>
                <c:ptCount val="4"/>
                <c:pt idx="0">
                  <c:v>0.21747526381559942</c:v>
                </c:pt>
                <c:pt idx="1">
                  <c:v>5.1629133410858209E-2</c:v>
                </c:pt>
                <c:pt idx="2">
                  <c:v>4.7902437166229488E-2</c:v>
                </c:pt>
                <c:pt idx="3">
                  <c:v>4.0467032705410064E-2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3F-4D4D-8877-0355117D5449}"/>
            </c:ext>
          </c:extLst>
        </c:ser>
        <c:ser>
          <c:idx val="7"/>
          <c:order val="7"/>
          <c:tx>
            <c:v>Methane - section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'Complete tables'!$N$33:$N$36</c:f>
              <c:numCache>
                <c:formatCode>0.0000</c:formatCode>
                <c:ptCount val="4"/>
                <c:pt idx="0">
                  <c:v>0.31182629916176918</c:v>
                </c:pt>
                <c:pt idx="1">
                  <c:v>0.50193197288862801</c:v>
                </c:pt>
                <c:pt idx="2">
                  <c:v>0.55824791214423941</c:v>
                </c:pt>
                <c:pt idx="3">
                  <c:v>0.51604450900552656</c:v>
                </c:pt>
              </c:numCache>
            </c:numRef>
          </c:xVal>
          <c:yVal>
            <c:numRef>
              <c:f>'Complete tables'!$K$33:$K$36</c:f>
              <c:numCache>
                <c:formatCode>0.0000</c:formatCode>
                <c:ptCount val="4"/>
                <c:pt idx="0">
                  <c:v>0.20806301930649274</c:v>
                </c:pt>
                <c:pt idx="1">
                  <c:v>6.7194248816111302E-2</c:v>
                </c:pt>
                <c:pt idx="2">
                  <c:v>2.1089481170532012E-2</c:v>
                </c:pt>
                <c:pt idx="3">
                  <c:v>2.9578461898731978E-2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3F-4D4D-8877-0355117D5449}"/>
            </c:ext>
          </c:extLst>
        </c:ser>
        <c:ser>
          <c:idx val="8"/>
          <c:order val="8"/>
          <c:tx>
            <c:v>Corey function - methane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'Complete tables'!$BB$5:$BB$31</c:f>
              <c:numCache>
                <c:formatCode>General</c:formatCode>
                <c:ptCount val="27"/>
                <c:pt idx="0">
                  <c:v>3.5714285714285719E-2</c:v>
                </c:pt>
                <c:pt idx="1">
                  <c:v>7.1428571428571438E-2</c:v>
                </c:pt>
                <c:pt idx="2">
                  <c:v>0.10714285714285716</c:v>
                </c:pt>
                <c:pt idx="3">
                  <c:v>0.14285714285714288</c:v>
                </c:pt>
                <c:pt idx="4">
                  <c:v>0.17857142857142858</c:v>
                </c:pt>
                <c:pt idx="5">
                  <c:v>0.2142857142857143</c:v>
                </c:pt>
                <c:pt idx="6">
                  <c:v>0.25</c:v>
                </c:pt>
                <c:pt idx="7">
                  <c:v>0.2857142857142857</c:v>
                </c:pt>
                <c:pt idx="8">
                  <c:v>0.3214285714285714</c:v>
                </c:pt>
                <c:pt idx="9">
                  <c:v>0.35714285714285715</c:v>
                </c:pt>
                <c:pt idx="10">
                  <c:v>0.39285714285714285</c:v>
                </c:pt>
                <c:pt idx="11">
                  <c:v>0.4285714285714286</c:v>
                </c:pt>
                <c:pt idx="12">
                  <c:v>0.46428571428571436</c:v>
                </c:pt>
                <c:pt idx="13">
                  <c:v>0.50000000000000011</c:v>
                </c:pt>
                <c:pt idx="14">
                  <c:v>0.53571428571428581</c:v>
                </c:pt>
                <c:pt idx="15">
                  <c:v>0.57142857142857162</c:v>
                </c:pt>
                <c:pt idx="16">
                  <c:v>0.60714285714285732</c:v>
                </c:pt>
                <c:pt idx="17">
                  <c:v>0.64285714285714313</c:v>
                </c:pt>
                <c:pt idx="18">
                  <c:v>0.67857142857142883</c:v>
                </c:pt>
                <c:pt idx="19">
                  <c:v>0.71428571428571452</c:v>
                </c:pt>
                <c:pt idx="20">
                  <c:v>0.75000000000000022</c:v>
                </c:pt>
                <c:pt idx="21">
                  <c:v>0.78571428571428603</c:v>
                </c:pt>
                <c:pt idx="22">
                  <c:v>0.82142857142857173</c:v>
                </c:pt>
                <c:pt idx="23">
                  <c:v>0.85714285714285743</c:v>
                </c:pt>
                <c:pt idx="24">
                  <c:v>0.89285714285714324</c:v>
                </c:pt>
                <c:pt idx="25">
                  <c:v>0.92857142857142894</c:v>
                </c:pt>
                <c:pt idx="26">
                  <c:v>0.96428571428571475</c:v>
                </c:pt>
              </c:numCache>
            </c:numRef>
          </c:xVal>
          <c:yVal>
            <c:numRef>
              <c:f>'Complete tables'!$BJ$5:$BJ$31</c:f>
              <c:numCache>
                <c:formatCode>General</c:formatCode>
                <c:ptCount val="27"/>
                <c:pt idx="0">
                  <c:v>0.85834934057074097</c:v>
                </c:pt>
                <c:pt idx="1">
                  <c:v>0.73252816886228367</c:v>
                </c:pt>
                <c:pt idx="2">
                  <c:v>0.62127561049174163</c:v>
                </c:pt>
                <c:pt idx="3">
                  <c:v>0.52338766549765525</c:v>
                </c:pt>
                <c:pt idx="4">
                  <c:v>0.43771676377224428</c:v>
                </c:pt>
                <c:pt idx="5">
                  <c:v>0.36317130601778047</c:v>
                </c:pt>
                <c:pt idx="6">
                  <c:v>0.29871518912065259</c:v>
                </c:pt>
                <c:pt idx="7">
                  <c:v>0.24336731469920611</c:v>
                </c:pt>
                <c:pt idx="8">
                  <c:v>0.1962010794196494</c:v>
                </c:pt>
                <c:pt idx="9">
                  <c:v>0.15634384548254887</c:v>
                </c:pt>
                <c:pt idx="10">
                  <c:v>0.12297638945330557</c:v>
                </c:pt>
                <c:pt idx="11">
                  <c:v>9.5332327333795527E-2</c:v>
                </c:pt>
                <c:pt idx="12">
                  <c:v>7.2697513436158642E-2</c:v>
                </c:pt>
                <c:pt idx="13">
                  <c:v>5.4409410206007716E-2</c:v>
                </c:pt>
                <c:pt idx="14">
                  <c:v>3.9856425627083664E-2</c:v>
                </c:pt>
                <c:pt idx="15">
                  <c:v>2.8477214188826656E-2</c:v>
                </c:pt>
                <c:pt idx="16">
                  <c:v>1.9759936564172961E-2</c:v>
                </c:pt>
                <c:pt idx="17">
                  <c:v>1.324147205620364E-2</c:v>
                </c:pt>
                <c:pt idx="18">
                  <c:v>8.5065764220446736E-3</c:v>
                </c:pt>
                <c:pt idx="19">
                  <c:v>5.1869757037978732E-3</c:v>
                </c:pt>
                <c:pt idx="20">
                  <c:v>2.9603839189656111E-3</c:v>
                </c:pt>
                <c:pt idx="21">
                  <c:v>1.5494284283242067E-3</c:v>
                </c:pt>
                <c:pt idx="22">
                  <c:v>7.2046068483737011E-4</c:v>
                </c:pt>
                <c:pt idx="23">
                  <c:v>2.8222028879653271E-4</c:v>
                </c:pt>
                <c:pt idx="24">
                  <c:v>8.4303486941540945E-5</c:v>
                </c:pt>
                <c:pt idx="25">
                  <c:v>1.5355439461588327E-5</c:v>
                </c:pt>
                <c:pt idx="26">
                  <c:v>8.3548040455905111E-7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D3F-4D4D-8877-0355117D5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142240"/>
        <c:axId val="532143416"/>
        <c:extLst/>
      </c:scatterChart>
      <c:valAx>
        <c:axId val="5321422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saturation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2143416"/>
        <c:crossesAt val="1.0000000000000005E-7"/>
        <c:crossBetween val="midCat"/>
      </c:valAx>
      <c:valAx>
        <c:axId val="5321434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Relative</a:t>
                </a:r>
                <a:r>
                  <a:rPr lang="en-GB" baseline="0"/>
                  <a:t> opermeability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2142240"/>
        <c:crossesAt val="1.0000000000000004E-5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6303058659303443E-2"/>
          <c:y val="0.85934064124269594"/>
          <c:w val="0.90920252581784011"/>
          <c:h val="0.110328295970329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</a:t>
            </a:r>
            <a:r>
              <a:rPr lang="en-GB" baseline="0"/>
              <a:t> r</a:t>
            </a:r>
            <a:r>
              <a:rPr lang="en-GB"/>
              <a:t>elative permeability (linear)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7.815578390624435E-2"/>
          <c:y val="7.9635239653985196E-2"/>
          <c:w val="0.8830745807081587"/>
          <c:h val="0.63125267645498995"/>
        </c:manualLayout>
      </c:layout>
      <c:scatterChart>
        <c:scatterStyle val="lineMarker"/>
        <c:varyColors val="0"/>
        <c:ser>
          <c:idx val="2"/>
          <c:order val="0"/>
          <c:tx>
            <c:v>Section 4.1 - brine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'Complete tables'!$N$5:$N$8</c:f>
              <c:numCache>
                <c:formatCode>0.0000</c:formatCode>
                <c:ptCount val="4"/>
                <c:pt idx="0">
                  <c:v>0.29989093469959083</c:v>
                </c:pt>
                <c:pt idx="1">
                  <c:v>0.55359512053192939</c:v>
                </c:pt>
                <c:pt idx="2">
                  <c:v>0.55602993552132318</c:v>
                </c:pt>
                <c:pt idx="3">
                  <c:v>0.56361065981327518</c:v>
                </c:pt>
              </c:numCache>
            </c:numRef>
          </c:xVal>
          <c:yVal>
            <c:numRef>
              <c:f>'Complete tables'!$L$5:$L$8</c:f>
              <c:numCache>
                <c:formatCode>0.0000</c:formatCode>
                <c:ptCount val="4"/>
                <c:pt idx="0">
                  <c:v>6.0046290131546666E-3</c:v>
                </c:pt>
                <c:pt idx="1">
                  <c:v>9.6809800472362567E-2</c:v>
                </c:pt>
                <c:pt idx="2">
                  <c:v>9.5252370573352854E-2</c:v>
                </c:pt>
                <c:pt idx="3">
                  <c:v>0.10952048890228261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369-4E93-8FC8-58778D4725E6}"/>
            </c:ext>
          </c:extLst>
        </c:ser>
        <c:ser>
          <c:idx val="3"/>
          <c:order val="1"/>
          <c:tx>
            <c:v>Section 4.2 - brine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'Complete tables'!$N$9:$N$12</c:f>
              <c:numCache>
                <c:formatCode>0.0000</c:formatCode>
                <c:ptCount val="4"/>
                <c:pt idx="0">
                  <c:v>0.2755072715149175</c:v>
                </c:pt>
                <c:pt idx="1">
                  <c:v>0.53775302741060771</c:v>
                </c:pt>
                <c:pt idx="2">
                  <c:v>0.5296188221463245</c:v>
                </c:pt>
                <c:pt idx="3">
                  <c:v>0.54958161421162122</c:v>
                </c:pt>
              </c:numCache>
            </c:numRef>
          </c:xVal>
          <c:yVal>
            <c:numRef>
              <c:f>'Complete tables'!$L$9:$L$12</c:f>
              <c:numCache>
                <c:formatCode>0.0000</c:formatCode>
                <c:ptCount val="4"/>
                <c:pt idx="0">
                  <c:v>1.3477372399788398E-2</c:v>
                </c:pt>
                <c:pt idx="1">
                  <c:v>0.11520864262839656</c:v>
                </c:pt>
                <c:pt idx="2">
                  <c:v>8.6309818376250694E-2</c:v>
                </c:pt>
                <c:pt idx="3">
                  <c:v>0.13730994351632225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A-485B-8954-0EB0791380A6}"/>
            </c:ext>
          </c:extLst>
        </c:ser>
        <c:ser>
          <c:idx val="4"/>
          <c:order val="2"/>
          <c:tx>
            <c:v>Section 4.3 - brine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'Complete tables'!$N$13:$N$16</c:f>
              <c:numCache>
                <c:formatCode>0.0000</c:formatCode>
                <c:ptCount val="4"/>
                <c:pt idx="0">
                  <c:v>0.29646501441322548</c:v>
                </c:pt>
                <c:pt idx="1">
                  <c:v>0.55582443075282606</c:v>
                </c:pt>
                <c:pt idx="2">
                  <c:v>0.55785461244194057</c:v>
                </c:pt>
                <c:pt idx="3">
                  <c:v>0.56388747353313629</c:v>
                </c:pt>
              </c:numCache>
            </c:numRef>
          </c:xVal>
          <c:yVal>
            <c:numRef>
              <c:f>'Complete tables'!$L$13:$L$16</c:f>
              <c:numCache>
                <c:formatCode>0.0000</c:formatCode>
                <c:ptCount val="4"/>
                <c:pt idx="0">
                  <c:v>5.4826715538034412E-3</c:v>
                </c:pt>
                <c:pt idx="1">
                  <c:v>0.10427381568304538</c:v>
                </c:pt>
                <c:pt idx="2">
                  <c:v>9.9158171258680622E-2</c:v>
                </c:pt>
                <c:pt idx="3">
                  <c:v>0.11174005873308508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2-4223-B393-ACB1CDDEE7C1}"/>
            </c:ext>
          </c:extLst>
        </c:ser>
        <c:ser>
          <c:idx val="0"/>
          <c:order val="5"/>
          <c:tx>
            <c:v>Section 4.1 - hydrogen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'Complete tables'!$N$5:$N$8</c:f>
              <c:numCache>
                <c:formatCode>0.0000</c:formatCode>
                <c:ptCount val="4"/>
                <c:pt idx="0">
                  <c:v>0.29989093469959083</c:v>
                </c:pt>
                <c:pt idx="1">
                  <c:v>0.55359512053192939</c:v>
                </c:pt>
                <c:pt idx="2">
                  <c:v>0.55602993552132318</c:v>
                </c:pt>
                <c:pt idx="3">
                  <c:v>0.56361065981327518</c:v>
                </c:pt>
              </c:numCache>
            </c:numRef>
          </c:xVal>
          <c:yVal>
            <c:numRef>
              <c:f>'Complete tables'!$K$5:$K$8</c:f>
              <c:numCache>
                <c:formatCode>0.0000</c:formatCode>
                <c:ptCount val="4"/>
                <c:pt idx="0">
                  <c:v>0.19911764912010202</c:v>
                </c:pt>
                <c:pt idx="1">
                  <c:v>7.853991604000363E-3</c:v>
                </c:pt>
                <c:pt idx="2">
                  <c:v>6.8397961972709491E-3</c:v>
                </c:pt>
                <c:pt idx="3">
                  <c:v>7.2510985583830343E-3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369-4E93-8FC8-58778D4725E6}"/>
            </c:ext>
          </c:extLst>
        </c:ser>
        <c:ser>
          <c:idx val="1"/>
          <c:order val="6"/>
          <c:tx>
            <c:v>Section 4.2 - hydrogen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'Complete tables'!$N$9:$N$12</c:f>
              <c:numCache>
                <c:formatCode>0.0000</c:formatCode>
                <c:ptCount val="4"/>
                <c:pt idx="0">
                  <c:v>0.2755072715149175</c:v>
                </c:pt>
                <c:pt idx="1">
                  <c:v>0.53775302741060771</c:v>
                </c:pt>
                <c:pt idx="2">
                  <c:v>0.5296188221463245</c:v>
                </c:pt>
                <c:pt idx="3">
                  <c:v>0.54958161421162122</c:v>
                </c:pt>
              </c:numCache>
            </c:numRef>
          </c:xVal>
          <c:yVal>
            <c:numRef>
              <c:f>'Complete tables'!$K$9:$K$12</c:f>
              <c:numCache>
                <c:formatCode>0.0000</c:formatCode>
                <c:ptCount val="4"/>
                <c:pt idx="0">
                  <c:v>0.22428087120242546</c:v>
                </c:pt>
                <c:pt idx="1">
                  <c:v>2.7653964949403594E-2</c:v>
                </c:pt>
                <c:pt idx="2">
                  <c:v>3.5430851578186949E-2</c:v>
                </c:pt>
                <c:pt idx="3">
                  <c:v>2.8245251787512159E-2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369-4E93-8FC8-58778D4725E6}"/>
            </c:ext>
          </c:extLst>
        </c:ser>
        <c:ser>
          <c:idx val="7"/>
          <c:order val="7"/>
          <c:tx>
            <c:v>Section 4.3 - hydrogen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'Complete tables'!$N$13:$N$16</c:f>
              <c:numCache>
                <c:formatCode>0.0000</c:formatCode>
                <c:ptCount val="4"/>
                <c:pt idx="0">
                  <c:v>0.29646501441322548</c:v>
                </c:pt>
                <c:pt idx="1">
                  <c:v>0.55582443075282606</c:v>
                </c:pt>
                <c:pt idx="2">
                  <c:v>0.55785461244194057</c:v>
                </c:pt>
                <c:pt idx="3">
                  <c:v>0.56388747353313629</c:v>
                </c:pt>
              </c:numCache>
            </c:numRef>
          </c:xVal>
          <c:yVal>
            <c:numRef>
              <c:f>'Complete tables'!$K$13:$K$16</c:f>
              <c:numCache>
                <c:formatCode>0.0000</c:formatCode>
                <c:ptCount val="4"/>
                <c:pt idx="0">
                  <c:v>0.19175514278843703</c:v>
                </c:pt>
                <c:pt idx="1">
                  <c:v>6.8499646581311807E-3</c:v>
                </c:pt>
                <c:pt idx="2">
                  <c:v>5.8565848824245256E-3</c:v>
                </c:pt>
                <c:pt idx="3">
                  <c:v>9.1286225415540215E-3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B2-4223-B393-ACB1CDDEE7C1}"/>
            </c:ext>
          </c:extLst>
        </c:ser>
        <c:ser>
          <c:idx val="10"/>
          <c:order val="10"/>
          <c:tx>
            <c:v>Corey function - hydrogen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'Complete tables'!$BA$5:$BA$19</c:f>
              <c:numCache>
                <c:formatCode>General</c:formatCode>
                <c:ptCount val="15"/>
                <c:pt idx="0">
                  <c:v>2.5000000000000001E-2</c:v>
                </c:pt>
                <c:pt idx="1">
                  <c:v>0.05</c:v>
                </c:pt>
                <c:pt idx="2">
                  <c:v>7.5000000000000011E-2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0.19999999999999998</c:v>
                </c:pt>
                <c:pt idx="8">
                  <c:v>0.22499999999999998</c:v>
                </c:pt>
                <c:pt idx="9">
                  <c:v>0.24999999999999997</c:v>
                </c:pt>
                <c:pt idx="10">
                  <c:v>0.27499999999999997</c:v>
                </c:pt>
                <c:pt idx="11">
                  <c:v>0.3</c:v>
                </c:pt>
                <c:pt idx="12">
                  <c:v>0.32500000000000001</c:v>
                </c:pt>
                <c:pt idx="13">
                  <c:v>0.35000000000000003</c:v>
                </c:pt>
                <c:pt idx="14">
                  <c:v>0.37500000000000006</c:v>
                </c:pt>
              </c:numCache>
            </c:numRef>
          </c:xVal>
          <c:yVal>
            <c:numRef>
              <c:f>'Complete tables'!$BJ$5:$BJ$19</c:f>
              <c:numCache>
                <c:formatCode>General</c:formatCode>
                <c:ptCount val="15"/>
                <c:pt idx="0">
                  <c:v>0.85834934057074097</c:v>
                </c:pt>
                <c:pt idx="1">
                  <c:v>0.73252816886228367</c:v>
                </c:pt>
                <c:pt idx="2">
                  <c:v>0.62127561049174163</c:v>
                </c:pt>
                <c:pt idx="3">
                  <c:v>0.52338766549765525</c:v>
                </c:pt>
                <c:pt idx="4">
                  <c:v>0.43771676377224428</c:v>
                </c:pt>
                <c:pt idx="5">
                  <c:v>0.36317130601778047</c:v>
                </c:pt>
                <c:pt idx="6">
                  <c:v>0.29871518912065259</c:v>
                </c:pt>
                <c:pt idx="7">
                  <c:v>0.24336731469920611</c:v>
                </c:pt>
                <c:pt idx="8">
                  <c:v>0.1962010794196494</c:v>
                </c:pt>
                <c:pt idx="9">
                  <c:v>0.15634384548254887</c:v>
                </c:pt>
                <c:pt idx="10">
                  <c:v>0.12297638945330557</c:v>
                </c:pt>
                <c:pt idx="11">
                  <c:v>9.5332327333795527E-2</c:v>
                </c:pt>
                <c:pt idx="12">
                  <c:v>7.2697513436158642E-2</c:v>
                </c:pt>
                <c:pt idx="13">
                  <c:v>5.4409410206007716E-2</c:v>
                </c:pt>
                <c:pt idx="14">
                  <c:v>3.9856425627083664E-2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0C-44F7-8B18-8CF11316A8ED}"/>
            </c:ext>
          </c:extLst>
        </c:ser>
        <c:ser>
          <c:idx val="11"/>
          <c:order val="11"/>
          <c:tx>
            <c:v>Corey function - brine</c:v>
          </c:tx>
          <c:spPr>
            <a:ln w="254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'Complete tables'!$BA$5:$BA$19</c:f>
              <c:numCache>
                <c:formatCode>General</c:formatCode>
                <c:ptCount val="15"/>
                <c:pt idx="0">
                  <c:v>2.5000000000000001E-2</c:v>
                </c:pt>
                <c:pt idx="1">
                  <c:v>0.05</c:v>
                </c:pt>
                <c:pt idx="2">
                  <c:v>7.5000000000000011E-2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0.19999999999999998</c:v>
                </c:pt>
                <c:pt idx="8">
                  <c:v>0.22499999999999998</c:v>
                </c:pt>
                <c:pt idx="9">
                  <c:v>0.24999999999999997</c:v>
                </c:pt>
                <c:pt idx="10">
                  <c:v>0.27499999999999997</c:v>
                </c:pt>
                <c:pt idx="11">
                  <c:v>0.3</c:v>
                </c:pt>
                <c:pt idx="12">
                  <c:v>0.32500000000000001</c:v>
                </c:pt>
                <c:pt idx="13">
                  <c:v>0.35000000000000003</c:v>
                </c:pt>
                <c:pt idx="14">
                  <c:v>0.37500000000000006</c:v>
                </c:pt>
              </c:numCache>
            </c:numRef>
          </c:xVal>
          <c:yVal>
            <c:numRef>
              <c:f>'Complete tables'!$BI$5:$BI$19</c:f>
              <c:numCache>
                <c:formatCode>General</c:formatCode>
                <c:ptCount val="15"/>
                <c:pt idx="0">
                  <c:v>1.4036070796592812E-5</c:v>
                </c:pt>
                <c:pt idx="1">
                  <c:v>1.2898569147734473E-4</c:v>
                </c:pt>
                <c:pt idx="2">
                  <c:v>4.7209952687263598E-4</c:v>
                </c:pt>
                <c:pt idx="3">
                  <c:v>1.185325212945448E-3</c:v>
                </c:pt>
                <c:pt idx="4">
                  <c:v>2.4207479010535807E-3</c:v>
                </c:pt>
                <c:pt idx="5">
                  <c:v>4.3383995993078054E-3</c:v>
                </c:pt>
                <c:pt idx="6">
                  <c:v>7.104921405517493E-3</c:v>
                </c:pt>
                <c:pt idx="7">
                  <c:v>1.0892648977975563E-2</c:v>
                </c:pt>
                <c:pt idx="8">
                  <c:v>1.5878942654483426E-2</c:v>
                </c:pt>
                <c:pt idx="9">
                  <c:v>2.2245673054422196E-2</c:v>
                </c:pt>
                <c:pt idx="10">
                  <c:v>3.0178812207100569E-2</c:v>
                </c:pt>
                <c:pt idx="11">
                  <c:v>3.9868099864357381E-2</c:v>
                </c:pt>
                <c:pt idx="12">
                  <c:v>5.1506765425769721E-2</c:v>
                </c:pt>
                <c:pt idx="13">
                  <c:v>6.5291292247209351E-2</c:v>
                </c:pt>
                <c:pt idx="14">
                  <c:v>8.1421215048497808E-2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0C-44F7-8B18-8CF11316A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140280"/>
        <c:axId val="532144984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3"/>
                <c:tx>
                  <c:v>Section 4.4 - brine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40000"/>
                        <a:lumOff val="60000"/>
                      </a:schemeClr>
                    </a:solidFill>
                    <a:ln w="19050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'Complete tables'!$N$17:$N$20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0.27163827525087592</c:v>
                      </c:pt>
                      <c:pt idx="1">
                        <c:v>0.56258307097791693</c:v>
                      </c:pt>
                      <c:pt idx="2">
                        <c:v>0.55395556236935117</c:v>
                      </c:pt>
                      <c:pt idx="3">
                        <c:v>0.56297532913195902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'Complete tables'!$L$17:$L$20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4.9162157054750974E-3</c:v>
                      </c:pt>
                      <c:pt idx="1">
                        <c:v>0.1241916198526001</c:v>
                      </c:pt>
                      <c:pt idx="2">
                        <c:v>9.5720936624920538E-2</c:v>
                      </c:pt>
                      <c:pt idx="3">
                        <c:v>0.11250906217251626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BB2-4223-B393-ACB1CDDEE7C1}"/>
                  </c:ext>
                </c:extLst>
              </c15:ser>
            </c15:filteredScatterSeries>
            <c15:filteredScatterSeries>
              <c15:ser>
                <c:idx val="6"/>
                <c:order val="4"/>
                <c:tx>
                  <c:v>Section 4.5 - brine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 w="19050">
                      <a:solidFill>
                        <a:schemeClr val="accent4">
                          <a:lumMod val="40000"/>
                          <a:lumOff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tables'!$N$21:$N$24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0.38479382134660656</c:v>
                      </c:pt>
                      <c:pt idx="1">
                        <c:v>0.57789743700370644</c:v>
                      </c:pt>
                      <c:pt idx="2">
                        <c:v>0.58907465495578637</c:v>
                      </c:pt>
                      <c:pt idx="3">
                        <c:v>0.59613112013450964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tables'!$L$21:$L$24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2.3801191477227621E-2</c:v>
                      </c:pt>
                      <c:pt idx="1">
                        <c:v>0.11721776943927338</c:v>
                      </c:pt>
                      <c:pt idx="2">
                        <c:v>0.14722877043244112</c:v>
                      </c:pt>
                      <c:pt idx="3">
                        <c:v>0.15071619867890873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BB2-4223-B393-ACB1CDDEE7C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Section 4.4 - hydrogen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6DC4"/>
                    </a:solidFill>
                    <a:ln w="19050">
                      <a:solidFill>
                        <a:srgbClr val="FF6DC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tables'!$N$17:$N$20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0.27163827525087592</c:v>
                      </c:pt>
                      <c:pt idx="1">
                        <c:v>0.56258307097791693</c:v>
                      </c:pt>
                      <c:pt idx="2">
                        <c:v>0.55395556236935117</c:v>
                      </c:pt>
                      <c:pt idx="3">
                        <c:v>0.56297532913195902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tables'!$K$17:$K$20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0.21019945369272791</c:v>
                      </c:pt>
                      <c:pt idx="1">
                        <c:v>7.5815423731725338E-3</c:v>
                      </c:pt>
                      <c:pt idx="2">
                        <c:v>8.4340394097132745E-3</c:v>
                      </c:pt>
                      <c:pt idx="3">
                        <c:v>6.8759470185022929E-3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BE3-4B53-ABD5-C70EB8F19D8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Section 4.5 - hydrogen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19050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tables'!$N$21:$N$24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0.38479382134660656</c:v>
                      </c:pt>
                      <c:pt idx="1">
                        <c:v>0.57789743700370644</c:v>
                      </c:pt>
                      <c:pt idx="2">
                        <c:v>0.58907465495578637</c:v>
                      </c:pt>
                      <c:pt idx="3">
                        <c:v>0.59613112013450964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tables'!$K$21:$K$24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0.14547168985948217</c:v>
                      </c:pt>
                      <c:pt idx="1">
                        <c:v>4.6188455599894367E-3</c:v>
                      </c:pt>
                      <c:pt idx="2">
                        <c:v>5.5989222591082228E-3</c:v>
                      </c:pt>
                      <c:pt idx="3">
                        <c:v>9.2705320819096056E-3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BE3-4B53-ABD5-C70EB8F19D8A}"/>
                  </c:ext>
                </c:extLst>
              </c15:ser>
            </c15:filteredScatterSeries>
          </c:ext>
        </c:extLst>
      </c:scatterChart>
      <c:valAx>
        <c:axId val="5321402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saturation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2144984"/>
        <c:crosses val="autoZero"/>
        <c:crossBetween val="midCat"/>
      </c:valAx>
      <c:valAx>
        <c:axId val="53214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Relative permeability</a:t>
                </a:r>
              </a:p>
            </c:rich>
          </c:tx>
          <c:layout>
            <c:manualLayout>
              <c:xMode val="edge"/>
              <c:yMode val="edge"/>
              <c:x val="1.5197773637281968E-2"/>
              <c:y val="0.31386467464499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2140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811365929598317E-2"/>
          <c:y val="0.79769237804790427"/>
          <c:w val="0.9418833683149872"/>
          <c:h val="0.17712628594950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7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</a:t>
            </a:r>
            <a:r>
              <a:rPr lang="en-GB" baseline="0"/>
              <a:t> r</a:t>
            </a:r>
            <a:r>
              <a:rPr lang="en-GB"/>
              <a:t>elative permeability (linear)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9.5901050792392001E-2"/>
          <c:y val="9.321874740876529E-2"/>
          <c:w val="0.86442140442743387"/>
          <c:h val="0.61359448559525831"/>
        </c:manualLayout>
      </c:layout>
      <c:scatterChart>
        <c:scatterStyle val="lineMarker"/>
        <c:varyColors val="0"/>
        <c:ser>
          <c:idx val="2"/>
          <c:order val="0"/>
          <c:tx>
            <c:v>Section 1 - brine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'Complete tables'!$N$5:$N$8</c:f>
              <c:numCache>
                <c:formatCode>0.0000</c:formatCode>
                <c:ptCount val="4"/>
                <c:pt idx="0">
                  <c:v>0.29989093469959083</c:v>
                </c:pt>
                <c:pt idx="1">
                  <c:v>0.55359512053192939</c:v>
                </c:pt>
                <c:pt idx="2">
                  <c:v>0.55602993552132318</c:v>
                </c:pt>
                <c:pt idx="3">
                  <c:v>0.56361065981327518</c:v>
                </c:pt>
              </c:numCache>
            </c:numRef>
          </c:xVal>
          <c:yVal>
            <c:numRef>
              <c:f>'Complete tables'!$L$5:$L$8</c:f>
              <c:numCache>
                <c:formatCode>0.0000</c:formatCode>
                <c:ptCount val="4"/>
                <c:pt idx="0">
                  <c:v>6.0046290131546666E-3</c:v>
                </c:pt>
                <c:pt idx="1">
                  <c:v>9.6809800472362567E-2</c:v>
                </c:pt>
                <c:pt idx="2">
                  <c:v>9.5252370573352854E-2</c:v>
                </c:pt>
                <c:pt idx="3">
                  <c:v>0.10952048890228261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90-4B48-81E4-383EB59165AD}"/>
            </c:ext>
          </c:extLst>
        </c:ser>
        <c:ser>
          <c:idx val="3"/>
          <c:order val="1"/>
          <c:tx>
            <c:v>Section 2 - brine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'Complete tables'!$N$9:$N$12</c:f>
              <c:numCache>
                <c:formatCode>0.0000</c:formatCode>
                <c:ptCount val="4"/>
                <c:pt idx="0">
                  <c:v>0.2755072715149175</c:v>
                </c:pt>
                <c:pt idx="1">
                  <c:v>0.53775302741060771</c:v>
                </c:pt>
                <c:pt idx="2">
                  <c:v>0.5296188221463245</c:v>
                </c:pt>
                <c:pt idx="3">
                  <c:v>0.54958161421162122</c:v>
                </c:pt>
              </c:numCache>
            </c:numRef>
          </c:xVal>
          <c:yVal>
            <c:numRef>
              <c:f>'Complete tables'!$L$9:$L$12</c:f>
              <c:numCache>
                <c:formatCode>0.0000</c:formatCode>
                <c:ptCount val="4"/>
                <c:pt idx="0">
                  <c:v>1.3477372399788398E-2</c:v>
                </c:pt>
                <c:pt idx="1">
                  <c:v>0.11520864262839656</c:v>
                </c:pt>
                <c:pt idx="2">
                  <c:v>8.6309818376250694E-2</c:v>
                </c:pt>
                <c:pt idx="3">
                  <c:v>0.13730994351632225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C-41C2-805B-24ABD0DB82E0}"/>
            </c:ext>
          </c:extLst>
        </c:ser>
        <c:ser>
          <c:idx val="4"/>
          <c:order val="2"/>
          <c:tx>
            <c:v>Section 3 - brine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'Complete tables'!$N$13:$N$16</c:f>
              <c:numCache>
                <c:formatCode>0.0000</c:formatCode>
                <c:ptCount val="4"/>
                <c:pt idx="0">
                  <c:v>0.29646501441322548</c:v>
                </c:pt>
                <c:pt idx="1">
                  <c:v>0.55582443075282606</c:v>
                </c:pt>
                <c:pt idx="2">
                  <c:v>0.55785461244194057</c:v>
                </c:pt>
                <c:pt idx="3">
                  <c:v>0.56388747353313629</c:v>
                </c:pt>
              </c:numCache>
            </c:numRef>
          </c:xVal>
          <c:yVal>
            <c:numRef>
              <c:f>'Complete tables'!$L$13:$L$16</c:f>
              <c:numCache>
                <c:formatCode>0.0000</c:formatCode>
                <c:ptCount val="4"/>
                <c:pt idx="0">
                  <c:v>5.4826715538034412E-3</c:v>
                </c:pt>
                <c:pt idx="1">
                  <c:v>0.10427381568304538</c:v>
                </c:pt>
                <c:pt idx="2">
                  <c:v>9.9158171258680622E-2</c:v>
                </c:pt>
                <c:pt idx="3">
                  <c:v>0.11174005873308508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8-4CB8-9F07-57AF23BA0101}"/>
            </c:ext>
          </c:extLst>
        </c:ser>
        <c:ser>
          <c:idx val="0"/>
          <c:order val="5"/>
          <c:tx>
            <c:v>Section 1 - hydrogen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'Complete tables'!$N$5:$N$8</c:f>
              <c:numCache>
                <c:formatCode>0.0000</c:formatCode>
                <c:ptCount val="4"/>
                <c:pt idx="0">
                  <c:v>0.29989093469959083</c:v>
                </c:pt>
                <c:pt idx="1">
                  <c:v>0.55359512053192939</c:v>
                </c:pt>
                <c:pt idx="2">
                  <c:v>0.55602993552132318</c:v>
                </c:pt>
                <c:pt idx="3">
                  <c:v>0.56361065981327518</c:v>
                </c:pt>
              </c:numCache>
            </c:numRef>
          </c:xVal>
          <c:yVal>
            <c:numRef>
              <c:f>'Complete tables'!$K$5:$K$8</c:f>
              <c:numCache>
                <c:formatCode>0.0000</c:formatCode>
                <c:ptCount val="4"/>
                <c:pt idx="0">
                  <c:v>0.19911764912010202</c:v>
                </c:pt>
                <c:pt idx="1">
                  <c:v>7.853991604000363E-3</c:v>
                </c:pt>
                <c:pt idx="2">
                  <c:v>6.8397961972709491E-3</c:v>
                </c:pt>
                <c:pt idx="3">
                  <c:v>7.2510985583830343E-3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90-4B48-81E4-383EB59165AD}"/>
            </c:ext>
          </c:extLst>
        </c:ser>
        <c:ser>
          <c:idx val="1"/>
          <c:order val="6"/>
          <c:tx>
            <c:v>Section 2 - hydrogen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'Complete tables'!$N$9:$N$12</c:f>
              <c:numCache>
                <c:formatCode>0.0000</c:formatCode>
                <c:ptCount val="4"/>
                <c:pt idx="0">
                  <c:v>0.2755072715149175</c:v>
                </c:pt>
                <c:pt idx="1">
                  <c:v>0.53775302741060771</c:v>
                </c:pt>
                <c:pt idx="2">
                  <c:v>0.5296188221463245</c:v>
                </c:pt>
                <c:pt idx="3">
                  <c:v>0.54958161421162122</c:v>
                </c:pt>
              </c:numCache>
            </c:numRef>
          </c:xVal>
          <c:yVal>
            <c:numRef>
              <c:f>'Complete tables'!$K$9:$K$12</c:f>
              <c:numCache>
                <c:formatCode>0.0000</c:formatCode>
                <c:ptCount val="4"/>
                <c:pt idx="0">
                  <c:v>0.22428087120242546</c:v>
                </c:pt>
                <c:pt idx="1">
                  <c:v>2.7653964949403594E-2</c:v>
                </c:pt>
                <c:pt idx="2">
                  <c:v>3.5430851578186949E-2</c:v>
                </c:pt>
                <c:pt idx="3">
                  <c:v>2.8245251787512159E-2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90-4B48-81E4-383EB59165AD}"/>
            </c:ext>
          </c:extLst>
        </c:ser>
        <c:ser>
          <c:idx val="7"/>
          <c:order val="7"/>
          <c:tx>
            <c:v>Section 3 - hydrogen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'Complete tables'!$N$13:$N$16</c:f>
              <c:numCache>
                <c:formatCode>0.0000</c:formatCode>
                <c:ptCount val="4"/>
                <c:pt idx="0">
                  <c:v>0.29646501441322548</c:v>
                </c:pt>
                <c:pt idx="1">
                  <c:v>0.55582443075282606</c:v>
                </c:pt>
                <c:pt idx="2">
                  <c:v>0.55785461244194057</c:v>
                </c:pt>
                <c:pt idx="3">
                  <c:v>0.56388747353313629</c:v>
                </c:pt>
              </c:numCache>
            </c:numRef>
          </c:xVal>
          <c:yVal>
            <c:numRef>
              <c:f>'Complete tables'!$K$13:$K$16</c:f>
              <c:numCache>
                <c:formatCode>0.0000</c:formatCode>
                <c:ptCount val="4"/>
                <c:pt idx="0">
                  <c:v>0.19175514278843703</c:v>
                </c:pt>
                <c:pt idx="1">
                  <c:v>6.8499646581311807E-3</c:v>
                </c:pt>
                <c:pt idx="2">
                  <c:v>5.8565848824245256E-3</c:v>
                </c:pt>
                <c:pt idx="3">
                  <c:v>9.1286225415540215E-3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08-4CB8-9F07-57AF23BA0101}"/>
            </c:ext>
          </c:extLst>
        </c:ser>
        <c:ser>
          <c:idx val="10"/>
          <c:order val="10"/>
          <c:tx>
            <c:v>Corey function - hydrogen 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'Complete tables'!$BA$5:$BA$19</c:f>
              <c:numCache>
                <c:formatCode>General</c:formatCode>
                <c:ptCount val="15"/>
                <c:pt idx="0">
                  <c:v>2.5000000000000001E-2</c:v>
                </c:pt>
                <c:pt idx="1">
                  <c:v>0.05</c:v>
                </c:pt>
                <c:pt idx="2">
                  <c:v>7.5000000000000011E-2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0.19999999999999998</c:v>
                </c:pt>
                <c:pt idx="8">
                  <c:v>0.22499999999999998</c:v>
                </c:pt>
                <c:pt idx="9">
                  <c:v>0.24999999999999997</c:v>
                </c:pt>
                <c:pt idx="10">
                  <c:v>0.27499999999999997</c:v>
                </c:pt>
                <c:pt idx="11">
                  <c:v>0.3</c:v>
                </c:pt>
                <c:pt idx="12">
                  <c:v>0.32500000000000001</c:v>
                </c:pt>
                <c:pt idx="13">
                  <c:v>0.35000000000000003</c:v>
                </c:pt>
                <c:pt idx="14">
                  <c:v>0.37500000000000006</c:v>
                </c:pt>
              </c:numCache>
            </c:numRef>
          </c:xVal>
          <c:yVal>
            <c:numRef>
              <c:f>'Complete tables'!$BJ$5:$BJ$19</c:f>
              <c:numCache>
                <c:formatCode>General</c:formatCode>
                <c:ptCount val="15"/>
                <c:pt idx="0">
                  <c:v>0.85834934057074097</c:v>
                </c:pt>
                <c:pt idx="1">
                  <c:v>0.73252816886228367</c:v>
                </c:pt>
                <c:pt idx="2">
                  <c:v>0.62127561049174163</c:v>
                </c:pt>
                <c:pt idx="3">
                  <c:v>0.52338766549765525</c:v>
                </c:pt>
                <c:pt idx="4">
                  <c:v>0.43771676377224428</c:v>
                </c:pt>
                <c:pt idx="5">
                  <c:v>0.36317130601778047</c:v>
                </c:pt>
                <c:pt idx="6">
                  <c:v>0.29871518912065259</c:v>
                </c:pt>
                <c:pt idx="7">
                  <c:v>0.24336731469920611</c:v>
                </c:pt>
                <c:pt idx="8">
                  <c:v>0.1962010794196494</c:v>
                </c:pt>
                <c:pt idx="9">
                  <c:v>0.15634384548254887</c:v>
                </c:pt>
                <c:pt idx="10">
                  <c:v>0.12297638945330557</c:v>
                </c:pt>
                <c:pt idx="11">
                  <c:v>9.5332327333795527E-2</c:v>
                </c:pt>
                <c:pt idx="12">
                  <c:v>7.2697513436158642E-2</c:v>
                </c:pt>
                <c:pt idx="13">
                  <c:v>5.4409410206007716E-2</c:v>
                </c:pt>
                <c:pt idx="14">
                  <c:v>3.9856425627083664E-2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C-4F72-B1FB-32A0C5822E3C}"/>
            </c:ext>
          </c:extLst>
        </c:ser>
        <c:ser>
          <c:idx val="11"/>
          <c:order val="11"/>
          <c:tx>
            <c:v>Corey function - brine</c:v>
          </c:tx>
          <c:spPr>
            <a:ln w="254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'Complete tables'!$BA$5:$BA$18</c:f>
              <c:numCache>
                <c:formatCode>General</c:formatCode>
                <c:ptCount val="14"/>
                <c:pt idx="0">
                  <c:v>2.5000000000000001E-2</c:v>
                </c:pt>
                <c:pt idx="1">
                  <c:v>0.05</c:v>
                </c:pt>
                <c:pt idx="2">
                  <c:v>7.5000000000000011E-2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0.19999999999999998</c:v>
                </c:pt>
                <c:pt idx="8">
                  <c:v>0.22499999999999998</c:v>
                </c:pt>
                <c:pt idx="9">
                  <c:v>0.24999999999999997</c:v>
                </c:pt>
                <c:pt idx="10">
                  <c:v>0.27499999999999997</c:v>
                </c:pt>
                <c:pt idx="11">
                  <c:v>0.3</c:v>
                </c:pt>
                <c:pt idx="12">
                  <c:v>0.32500000000000001</c:v>
                </c:pt>
                <c:pt idx="13">
                  <c:v>0.35000000000000003</c:v>
                </c:pt>
              </c:numCache>
            </c:numRef>
          </c:xVal>
          <c:yVal>
            <c:numRef>
              <c:f>'Complete tables'!$BI$5:$BI$18</c:f>
              <c:numCache>
                <c:formatCode>General</c:formatCode>
                <c:ptCount val="14"/>
                <c:pt idx="0">
                  <c:v>1.4036070796592812E-5</c:v>
                </c:pt>
                <c:pt idx="1">
                  <c:v>1.2898569147734473E-4</c:v>
                </c:pt>
                <c:pt idx="2">
                  <c:v>4.7209952687263598E-4</c:v>
                </c:pt>
                <c:pt idx="3">
                  <c:v>1.185325212945448E-3</c:v>
                </c:pt>
                <c:pt idx="4">
                  <c:v>2.4207479010535807E-3</c:v>
                </c:pt>
                <c:pt idx="5">
                  <c:v>4.3383995993078054E-3</c:v>
                </c:pt>
                <c:pt idx="6">
                  <c:v>7.104921405517493E-3</c:v>
                </c:pt>
                <c:pt idx="7">
                  <c:v>1.0892648977975563E-2</c:v>
                </c:pt>
                <c:pt idx="8">
                  <c:v>1.5878942654483426E-2</c:v>
                </c:pt>
                <c:pt idx="9">
                  <c:v>2.2245673054422196E-2</c:v>
                </c:pt>
                <c:pt idx="10">
                  <c:v>3.0178812207100569E-2</c:v>
                </c:pt>
                <c:pt idx="11">
                  <c:v>3.9868099864357381E-2</c:v>
                </c:pt>
                <c:pt idx="12">
                  <c:v>5.1506765425769721E-2</c:v>
                </c:pt>
                <c:pt idx="13">
                  <c:v>6.5291292247209351E-2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CC-4F72-B1FB-32A0C582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145376"/>
        <c:axId val="532141456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3"/>
                <c:tx>
                  <c:v>Section 4 - brine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40000"/>
                        <a:lumOff val="60000"/>
                      </a:schemeClr>
                    </a:solidFill>
                    <a:ln w="19050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'Complete tables'!$N$17:$N$20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0.27163827525087592</c:v>
                      </c:pt>
                      <c:pt idx="1">
                        <c:v>0.56258307097791693</c:v>
                      </c:pt>
                      <c:pt idx="2">
                        <c:v>0.55395556236935117</c:v>
                      </c:pt>
                      <c:pt idx="3">
                        <c:v>0.56297532913195902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'Complete tables'!$L$17:$L$20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4.9162157054750974E-3</c:v>
                      </c:pt>
                      <c:pt idx="1">
                        <c:v>0.1241916198526001</c:v>
                      </c:pt>
                      <c:pt idx="2">
                        <c:v>9.5720936624920538E-2</c:v>
                      </c:pt>
                      <c:pt idx="3">
                        <c:v>0.11250906217251626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008-4CB8-9F07-57AF23BA0101}"/>
                  </c:ext>
                </c:extLst>
              </c15:ser>
            </c15:filteredScatterSeries>
            <c15:filteredScatterSeries>
              <c15:ser>
                <c:idx val="6"/>
                <c:order val="4"/>
                <c:tx>
                  <c:v>Section 5 - brine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40000"/>
                        <a:lumOff val="60000"/>
                      </a:schemeClr>
                    </a:solidFill>
                    <a:ln w="19050">
                      <a:solidFill>
                        <a:schemeClr val="accent4">
                          <a:lumMod val="40000"/>
                          <a:lumOff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tables'!$N$21:$N$24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0.38479382134660656</c:v>
                      </c:pt>
                      <c:pt idx="1">
                        <c:v>0.57789743700370644</c:v>
                      </c:pt>
                      <c:pt idx="2">
                        <c:v>0.58907465495578637</c:v>
                      </c:pt>
                      <c:pt idx="3">
                        <c:v>0.59613112013450964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tables'!$L$21:$L$24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2.3801191477227621E-2</c:v>
                      </c:pt>
                      <c:pt idx="1">
                        <c:v>0.11721776943927338</c:v>
                      </c:pt>
                      <c:pt idx="2">
                        <c:v>0.14722877043244112</c:v>
                      </c:pt>
                      <c:pt idx="3">
                        <c:v>0.15071619867890873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08-4CB8-9F07-57AF23BA010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Section 4 - hydrogen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6DC4"/>
                    </a:solidFill>
                    <a:ln w="19050">
                      <a:solidFill>
                        <a:srgbClr val="FF6DC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tables'!$N$17:$N$20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0.27163827525087592</c:v>
                      </c:pt>
                      <c:pt idx="1">
                        <c:v>0.56258307097791693</c:v>
                      </c:pt>
                      <c:pt idx="2">
                        <c:v>0.55395556236935117</c:v>
                      </c:pt>
                      <c:pt idx="3">
                        <c:v>0.56297532913195902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tables'!$K$17:$K$20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0.21019945369272791</c:v>
                      </c:pt>
                      <c:pt idx="1">
                        <c:v>7.5815423731725338E-3</c:v>
                      </c:pt>
                      <c:pt idx="2">
                        <c:v>8.4340394097132745E-3</c:v>
                      </c:pt>
                      <c:pt idx="3">
                        <c:v>6.8759470185022929E-3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8EF-4B88-B7C6-8E5F62938319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Section 5 - hydrogen 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19050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tables'!$N$21:$N$24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0.38479382134660656</c:v>
                      </c:pt>
                      <c:pt idx="1">
                        <c:v>0.57789743700370644</c:v>
                      </c:pt>
                      <c:pt idx="2">
                        <c:v>0.58907465495578637</c:v>
                      </c:pt>
                      <c:pt idx="3">
                        <c:v>0.59613112013450964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'Complete tables'!$K$21:$K$24</c15:sqref>
                        </c15:formulaRef>
                      </c:ext>
                    </c:extLst>
                    <c:numCache>
                      <c:formatCode>0.0000</c:formatCode>
                      <c:ptCount val="4"/>
                      <c:pt idx="0">
                        <c:v>0.14547168985948217</c:v>
                      </c:pt>
                      <c:pt idx="1">
                        <c:v>4.6188455599894367E-3</c:v>
                      </c:pt>
                      <c:pt idx="2">
                        <c:v>5.5989222591082228E-3</c:v>
                      </c:pt>
                      <c:pt idx="3">
                        <c:v>9.2705320819096056E-3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8EF-4B88-B7C6-8E5F62938319}"/>
                  </c:ext>
                </c:extLst>
              </c15:ser>
            </c15:filteredScatterSeries>
          </c:ext>
        </c:extLst>
      </c:scatterChart>
      <c:valAx>
        <c:axId val="5321453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saturation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2141456"/>
        <c:crossesAt val="1.0000000000000005E-8"/>
        <c:crossBetween val="midCat"/>
      </c:valAx>
      <c:valAx>
        <c:axId val="5321414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Relative permeability</a:t>
                </a:r>
              </a:p>
            </c:rich>
          </c:tx>
          <c:layout>
            <c:manualLayout>
              <c:xMode val="edge"/>
              <c:yMode val="edge"/>
              <c:x val="1.5197773637281968E-2"/>
              <c:y val="0.31386467464499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2145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290084118348993E-2"/>
          <c:y val="0.80120601380679457"/>
          <c:w val="0.89326844793966653"/>
          <c:h val="0.180198460686995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Methane</a:t>
            </a:r>
            <a:r>
              <a:rPr lang="en-GB" baseline="0"/>
              <a:t> - </a:t>
            </a:r>
            <a:r>
              <a:rPr lang="en-GB"/>
              <a:t>Relative permeability curves  (linear)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9.0587881775985854E-2"/>
          <c:y val="7.3077077022413534E-2"/>
          <c:w val="0.87453259154017382"/>
          <c:h val="0.66310525448526214"/>
        </c:manualLayout>
      </c:layout>
      <c:scatterChart>
        <c:scatterStyle val="lineMarker"/>
        <c:varyColors val="0"/>
        <c:ser>
          <c:idx val="0"/>
          <c:order val="0"/>
          <c:tx>
            <c:v>Methane - section 1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'Complete tables'!$N$5:$N$8</c:f>
              <c:numCache>
                <c:formatCode>0.0000</c:formatCode>
                <c:ptCount val="4"/>
                <c:pt idx="0">
                  <c:v>0.29989093469959083</c:v>
                </c:pt>
                <c:pt idx="1">
                  <c:v>0.55359512053192939</c:v>
                </c:pt>
                <c:pt idx="2">
                  <c:v>0.55602993552132318</c:v>
                </c:pt>
                <c:pt idx="3">
                  <c:v>0.56361065981327518</c:v>
                </c:pt>
              </c:numCache>
            </c:numRef>
          </c:xVal>
          <c:yVal>
            <c:numRef>
              <c:f>'Complete tables'!$K$5:$K$8</c:f>
              <c:numCache>
                <c:formatCode>0.0000</c:formatCode>
                <c:ptCount val="4"/>
                <c:pt idx="0">
                  <c:v>0.19911764912010202</c:v>
                </c:pt>
                <c:pt idx="1">
                  <c:v>7.853991604000363E-3</c:v>
                </c:pt>
                <c:pt idx="2">
                  <c:v>6.8397961972709491E-3</c:v>
                </c:pt>
                <c:pt idx="3">
                  <c:v>7.2510985583830343E-3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0-455A-81A4-9305B43441D7}"/>
            </c:ext>
          </c:extLst>
        </c:ser>
        <c:ser>
          <c:idx val="1"/>
          <c:order val="1"/>
          <c:tx>
            <c:v>Methane - section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'Complete tables'!$N$9:$N$12</c:f>
              <c:numCache>
                <c:formatCode>0.0000</c:formatCode>
                <c:ptCount val="4"/>
                <c:pt idx="0">
                  <c:v>0.2755072715149175</c:v>
                </c:pt>
                <c:pt idx="1">
                  <c:v>0.53775302741060771</c:v>
                </c:pt>
                <c:pt idx="2">
                  <c:v>0.5296188221463245</c:v>
                </c:pt>
                <c:pt idx="3">
                  <c:v>0.54958161421162122</c:v>
                </c:pt>
              </c:numCache>
            </c:numRef>
          </c:xVal>
          <c:yVal>
            <c:numRef>
              <c:f>'Complete tables'!$K$9:$K$12</c:f>
              <c:numCache>
                <c:formatCode>0.0000</c:formatCode>
                <c:ptCount val="4"/>
                <c:pt idx="0">
                  <c:v>0.22428087120242546</c:v>
                </c:pt>
                <c:pt idx="1">
                  <c:v>2.7653964949403594E-2</c:v>
                </c:pt>
                <c:pt idx="2">
                  <c:v>3.5430851578186949E-2</c:v>
                </c:pt>
                <c:pt idx="3">
                  <c:v>2.8245251787512159E-2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20-455A-81A4-9305B43441D7}"/>
            </c:ext>
          </c:extLst>
        </c:ser>
        <c:ser>
          <c:idx val="2"/>
          <c:order val="2"/>
          <c:tx>
            <c:v>Methane - section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'Complete tables'!$N$13:$N$16</c:f>
              <c:numCache>
                <c:formatCode>0.0000</c:formatCode>
                <c:ptCount val="4"/>
                <c:pt idx="0">
                  <c:v>0.29646501441322548</c:v>
                </c:pt>
                <c:pt idx="1">
                  <c:v>0.55582443075282606</c:v>
                </c:pt>
                <c:pt idx="2">
                  <c:v>0.55785461244194057</c:v>
                </c:pt>
                <c:pt idx="3">
                  <c:v>0.56388747353313629</c:v>
                </c:pt>
              </c:numCache>
            </c:numRef>
          </c:xVal>
          <c:yVal>
            <c:numRef>
              <c:f>'Complete tables'!$K$13:$K$16</c:f>
              <c:numCache>
                <c:formatCode>0.0000</c:formatCode>
                <c:ptCount val="4"/>
                <c:pt idx="0">
                  <c:v>0.19175514278843703</c:v>
                </c:pt>
                <c:pt idx="1">
                  <c:v>6.8499646581311807E-3</c:v>
                </c:pt>
                <c:pt idx="2">
                  <c:v>5.8565848824245256E-3</c:v>
                </c:pt>
                <c:pt idx="3">
                  <c:v>9.1286225415540215E-3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20-455A-81A4-9305B43441D7}"/>
            </c:ext>
          </c:extLst>
        </c:ser>
        <c:ser>
          <c:idx val="3"/>
          <c:order val="3"/>
          <c:tx>
            <c:v>Methane - section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'Complete tables'!$N$17:$N$20</c:f>
              <c:numCache>
                <c:formatCode>0.0000</c:formatCode>
                <c:ptCount val="4"/>
                <c:pt idx="0">
                  <c:v>0.27163827525087592</c:v>
                </c:pt>
                <c:pt idx="1">
                  <c:v>0.56258307097791693</c:v>
                </c:pt>
                <c:pt idx="2">
                  <c:v>0.55395556236935117</c:v>
                </c:pt>
                <c:pt idx="3">
                  <c:v>0.56297532913195902</c:v>
                </c:pt>
              </c:numCache>
            </c:numRef>
          </c:xVal>
          <c:yVal>
            <c:numRef>
              <c:f>'Complete tables'!$K$17:$K$20</c:f>
              <c:numCache>
                <c:formatCode>0.0000</c:formatCode>
                <c:ptCount val="4"/>
                <c:pt idx="0">
                  <c:v>0.21019945369272791</c:v>
                </c:pt>
                <c:pt idx="1">
                  <c:v>7.5815423731725338E-3</c:v>
                </c:pt>
                <c:pt idx="2">
                  <c:v>8.4340394097132745E-3</c:v>
                </c:pt>
                <c:pt idx="3">
                  <c:v>6.8759470185022929E-3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20-455A-81A4-9305B43441D7}"/>
            </c:ext>
          </c:extLst>
        </c:ser>
        <c:ser>
          <c:idx val="4"/>
          <c:order val="4"/>
          <c:tx>
            <c:v>Methane - section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'Complete tables'!$N$21:$N$24</c:f>
              <c:numCache>
                <c:formatCode>0.0000</c:formatCode>
                <c:ptCount val="4"/>
                <c:pt idx="0">
                  <c:v>0.38479382134660656</c:v>
                </c:pt>
                <c:pt idx="1">
                  <c:v>0.57789743700370644</c:v>
                </c:pt>
                <c:pt idx="2">
                  <c:v>0.58907465495578637</c:v>
                </c:pt>
                <c:pt idx="3">
                  <c:v>0.59613112013450964</c:v>
                </c:pt>
              </c:numCache>
            </c:numRef>
          </c:xVal>
          <c:yVal>
            <c:numRef>
              <c:f>'Complete tables'!$K$21:$K$24</c:f>
              <c:numCache>
                <c:formatCode>0.0000</c:formatCode>
                <c:ptCount val="4"/>
                <c:pt idx="0">
                  <c:v>0.14547168985948217</c:v>
                </c:pt>
                <c:pt idx="1">
                  <c:v>4.6188455599894367E-3</c:v>
                </c:pt>
                <c:pt idx="2">
                  <c:v>5.5989222591082228E-3</c:v>
                </c:pt>
                <c:pt idx="3">
                  <c:v>9.2705320819096056E-3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20-455A-81A4-9305B43441D7}"/>
            </c:ext>
          </c:extLst>
        </c:ser>
        <c:ser>
          <c:idx val="5"/>
          <c:order val="5"/>
          <c:tx>
            <c:v>Methane - section 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'Complete tables'!$N$25:$N$28</c:f>
              <c:numCache>
                <c:formatCode>0.0000</c:formatCode>
                <c:ptCount val="4"/>
                <c:pt idx="0">
                  <c:v>0.39429991904404726</c:v>
                </c:pt>
                <c:pt idx="1">
                  <c:v>0.58351890167820697</c:v>
                </c:pt>
                <c:pt idx="2">
                  <c:v>0.59507810251977133</c:v>
                </c:pt>
                <c:pt idx="3">
                  <c:v>0.60181585688893535</c:v>
                </c:pt>
              </c:numCache>
            </c:numRef>
          </c:xVal>
          <c:yVal>
            <c:numRef>
              <c:f>'Complete tables'!$K$25:$K$28</c:f>
              <c:numCache>
                <c:formatCode>0.0000</c:formatCode>
                <c:ptCount val="4"/>
                <c:pt idx="0">
                  <c:v>6.0275627957604216E-2</c:v>
                </c:pt>
                <c:pt idx="1">
                  <c:v>6.0275627957604216E-2</c:v>
                </c:pt>
                <c:pt idx="2">
                  <c:v>4.2594228232494216E-2</c:v>
                </c:pt>
                <c:pt idx="3">
                  <c:v>5.7830444528489858E-2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20-455A-81A4-9305B43441D7}"/>
            </c:ext>
          </c:extLst>
        </c:ser>
        <c:ser>
          <c:idx val="6"/>
          <c:order val="6"/>
          <c:tx>
            <c:v>Methane - section 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'Complete tables'!$N$29:$N$32</c:f>
              <c:numCache>
                <c:formatCode>0.0000</c:formatCode>
                <c:ptCount val="4"/>
                <c:pt idx="0">
                  <c:v>0.36983912273869102</c:v>
                </c:pt>
                <c:pt idx="1">
                  <c:v>0.57477784250400332</c:v>
                </c:pt>
                <c:pt idx="2">
                  <c:v>0.58511519753244412</c:v>
                </c:pt>
                <c:pt idx="3">
                  <c:v>0.59505795176916898</c:v>
                </c:pt>
              </c:numCache>
            </c:numRef>
          </c:xVal>
          <c:yVal>
            <c:numRef>
              <c:f>'Complete tables'!$K$29:$K$32</c:f>
              <c:numCache>
                <c:formatCode>0.0000</c:formatCode>
                <c:ptCount val="4"/>
                <c:pt idx="0">
                  <c:v>0.21747526381559942</c:v>
                </c:pt>
                <c:pt idx="1">
                  <c:v>5.1629133410858209E-2</c:v>
                </c:pt>
                <c:pt idx="2">
                  <c:v>4.7902437166229488E-2</c:v>
                </c:pt>
                <c:pt idx="3">
                  <c:v>4.0467032705410064E-2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520-455A-81A4-9305B43441D7}"/>
            </c:ext>
          </c:extLst>
        </c:ser>
        <c:ser>
          <c:idx val="7"/>
          <c:order val="7"/>
          <c:tx>
            <c:v>Methane - section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'Complete tables'!$N$33:$N$36</c:f>
              <c:numCache>
                <c:formatCode>0.0000</c:formatCode>
                <c:ptCount val="4"/>
                <c:pt idx="0">
                  <c:v>0.31182629916176918</c:v>
                </c:pt>
                <c:pt idx="1">
                  <c:v>0.50193197288862801</c:v>
                </c:pt>
                <c:pt idx="2">
                  <c:v>0.55824791214423941</c:v>
                </c:pt>
                <c:pt idx="3">
                  <c:v>0.51604450900552656</c:v>
                </c:pt>
              </c:numCache>
            </c:numRef>
          </c:xVal>
          <c:yVal>
            <c:numRef>
              <c:f>'Complete tables'!$K$33:$K$36</c:f>
              <c:numCache>
                <c:formatCode>0.0000</c:formatCode>
                <c:ptCount val="4"/>
                <c:pt idx="0">
                  <c:v>0.20806301930649274</c:v>
                </c:pt>
                <c:pt idx="1">
                  <c:v>6.7194248816111302E-2</c:v>
                </c:pt>
                <c:pt idx="2">
                  <c:v>2.1089481170532012E-2</c:v>
                </c:pt>
                <c:pt idx="3">
                  <c:v>2.9578461898731978E-2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20-455A-81A4-9305B43441D7}"/>
            </c:ext>
          </c:extLst>
        </c:ser>
        <c:ser>
          <c:idx val="8"/>
          <c:order val="8"/>
          <c:tx>
            <c:v>Corey function - methane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'Complete tables'!$BB$5:$BB$31</c:f>
              <c:numCache>
                <c:formatCode>General</c:formatCode>
                <c:ptCount val="27"/>
                <c:pt idx="0">
                  <c:v>3.5714285714285719E-2</c:v>
                </c:pt>
                <c:pt idx="1">
                  <c:v>7.1428571428571438E-2</c:v>
                </c:pt>
                <c:pt idx="2">
                  <c:v>0.10714285714285716</c:v>
                </c:pt>
                <c:pt idx="3">
                  <c:v>0.14285714285714288</c:v>
                </c:pt>
                <c:pt idx="4">
                  <c:v>0.17857142857142858</c:v>
                </c:pt>
                <c:pt idx="5">
                  <c:v>0.2142857142857143</c:v>
                </c:pt>
                <c:pt idx="6">
                  <c:v>0.25</c:v>
                </c:pt>
                <c:pt idx="7">
                  <c:v>0.2857142857142857</c:v>
                </c:pt>
                <c:pt idx="8">
                  <c:v>0.3214285714285714</c:v>
                </c:pt>
                <c:pt idx="9">
                  <c:v>0.35714285714285715</c:v>
                </c:pt>
                <c:pt idx="10">
                  <c:v>0.39285714285714285</c:v>
                </c:pt>
                <c:pt idx="11">
                  <c:v>0.4285714285714286</c:v>
                </c:pt>
                <c:pt idx="12">
                  <c:v>0.46428571428571436</c:v>
                </c:pt>
                <c:pt idx="13">
                  <c:v>0.50000000000000011</c:v>
                </c:pt>
                <c:pt idx="14">
                  <c:v>0.53571428571428581</c:v>
                </c:pt>
                <c:pt idx="15">
                  <c:v>0.57142857142857162</c:v>
                </c:pt>
                <c:pt idx="16">
                  <c:v>0.60714285714285732</c:v>
                </c:pt>
                <c:pt idx="17">
                  <c:v>0.64285714285714313</c:v>
                </c:pt>
                <c:pt idx="18">
                  <c:v>0.67857142857142883</c:v>
                </c:pt>
                <c:pt idx="19">
                  <c:v>0.71428571428571452</c:v>
                </c:pt>
                <c:pt idx="20">
                  <c:v>0.75000000000000022</c:v>
                </c:pt>
                <c:pt idx="21">
                  <c:v>0.78571428571428603</c:v>
                </c:pt>
                <c:pt idx="22">
                  <c:v>0.82142857142857173</c:v>
                </c:pt>
                <c:pt idx="23">
                  <c:v>0.85714285714285743</c:v>
                </c:pt>
                <c:pt idx="24">
                  <c:v>0.89285714285714324</c:v>
                </c:pt>
                <c:pt idx="25">
                  <c:v>0.92857142857142894</c:v>
                </c:pt>
                <c:pt idx="26">
                  <c:v>0.96428571428571475</c:v>
                </c:pt>
              </c:numCache>
            </c:numRef>
          </c:xVal>
          <c:yVal>
            <c:numRef>
              <c:f>'Complete tables'!$BJ$5:$BJ$31</c:f>
              <c:numCache>
                <c:formatCode>General</c:formatCode>
                <c:ptCount val="27"/>
                <c:pt idx="0">
                  <c:v>0.85834934057074097</c:v>
                </c:pt>
                <c:pt idx="1">
                  <c:v>0.73252816886228367</c:v>
                </c:pt>
                <c:pt idx="2">
                  <c:v>0.62127561049174163</c:v>
                </c:pt>
                <c:pt idx="3">
                  <c:v>0.52338766549765525</c:v>
                </c:pt>
                <c:pt idx="4">
                  <c:v>0.43771676377224428</c:v>
                </c:pt>
                <c:pt idx="5">
                  <c:v>0.36317130601778047</c:v>
                </c:pt>
                <c:pt idx="6">
                  <c:v>0.29871518912065259</c:v>
                </c:pt>
                <c:pt idx="7">
                  <c:v>0.24336731469920611</c:v>
                </c:pt>
                <c:pt idx="8">
                  <c:v>0.1962010794196494</c:v>
                </c:pt>
                <c:pt idx="9">
                  <c:v>0.15634384548254887</c:v>
                </c:pt>
                <c:pt idx="10">
                  <c:v>0.12297638945330557</c:v>
                </c:pt>
                <c:pt idx="11">
                  <c:v>9.5332327333795527E-2</c:v>
                </c:pt>
                <c:pt idx="12">
                  <c:v>7.2697513436158642E-2</c:v>
                </c:pt>
                <c:pt idx="13">
                  <c:v>5.4409410206007716E-2</c:v>
                </c:pt>
                <c:pt idx="14">
                  <c:v>3.9856425627083664E-2</c:v>
                </c:pt>
                <c:pt idx="15">
                  <c:v>2.8477214188826656E-2</c:v>
                </c:pt>
                <c:pt idx="16">
                  <c:v>1.9759936564172961E-2</c:v>
                </c:pt>
                <c:pt idx="17">
                  <c:v>1.324147205620364E-2</c:v>
                </c:pt>
                <c:pt idx="18">
                  <c:v>8.5065764220446736E-3</c:v>
                </c:pt>
                <c:pt idx="19">
                  <c:v>5.1869757037978732E-3</c:v>
                </c:pt>
                <c:pt idx="20">
                  <c:v>2.9603839189656111E-3</c:v>
                </c:pt>
                <c:pt idx="21">
                  <c:v>1.5494284283242067E-3</c:v>
                </c:pt>
                <c:pt idx="22">
                  <c:v>7.2046068483737011E-4</c:v>
                </c:pt>
                <c:pt idx="23">
                  <c:v>2.8222028879653271E-4</c:v>
                </c:pt>
                <c:pt idx="24">
                  <c:v>8.4303486941540945E-5</c:v>
                </c:pt>
                <c:pt idx="25">
                  <c:v>1.5355439461588327E-5</c:v>
                </c:pt>
                <c:pt idx="26">
                  <c:v>8.3548040455905111E-7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520-455A-81A4-9305B4344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142240"/>
        <c:axId val="532143416"/>
        <c:extLst/>
      </c:scatterChart>
      <c:valAx>
        <c:axId val="5321422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Water saturation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2143416"/>
        <c:crosses val="autoZero"/>
        <c:crossBetween val="midCat"/>
      </c:valAx>
      <c:valAx>
        <c:axId val="53214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/>
                  <a:t>Relative permeability</a:t>
                </a:r>
              </a:p>
            </c:rich>
          </c:tx>
          <c:layout>
            <c:manualLayout>
              <c:xMode val="edge"/>
              <c:yMode val="edge"/>
              <c:x val="1.5197773637281968E-2"/>
              <c:y val="0.31386467464499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214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48095558971576"/>
          <c:y val="0.81603109848352451"/>
          <c:w val="0.73280116470818946"/>
          <c:h val="0.14217070211267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Brine - Relative permeability curves  (linear)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Brine - section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'Complete tables'!$N$5:$N$8</c:f>
              <c:numCache>
                <c:formatCode>0.0000</c:formatCode>
                <c:ptCount val="4"/>
                <c:pt idx="0">
                  <c:v>0.29989093469959083</c:v>
                </c:pt>
                <c:pt idx="1">
                  <c:v>0.55359512053192939</c:v>
                </c:pt>
                <c:pt idx="2">
                  <c:v>0.55602993552132318</c:v>
                </c:pt>
                <c:pt idx="3">
                  <c:v>0.56361065981327518</c:v>
                </c:pt>
              </c:numCache>
            </c:numRef>
          </c:xVal>
          <c:yVal>
            <c:numRef>
              <c:f>'Complete tables'!$L$5:$L$8</c:f>
              <c:numCache>
                <c:formatCode>0.0000</c:formatCode>
                <c:ptCount val="4"/>
                <c:pt idx="0">
                  <c:v>6.0046290131546666E-3</c:v>
                </c:pt>
                <c:pt idx="1">
                  <c:v>9.6809800472362567E-2</c:v>
                </c:pt>
                <c:pt idx="2">
                  <c:v>9.5252370573352854E-2</c:v>
                </c:pt>
                <c:pt idx="3">
                  <c:v>0.10952048890228261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78-47FE-B94C-747C061B9CC9}"/>
            </c:ext>
          </c:extLst>
        </c:ser>
        <c:ser>
          <c:idx val="1"/>
          <c:order val="1"/>
          <c:tx>
            <c:v>Brine - section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'Complete tables'!$N$9:$N$12</c:f>
              <c:numCache>
                <c:formatCode>0.0000</c:formatCode>
                <c:ptCount val="4"/>
                <c:pt idx="0">
                  <c:v>0.2755072715149175</c:v>
                </c:pt>
                <c:pt idx="1">
                  <c:v>0.53775302741060771</c:v>
                </c:pt>
                <c:pt idx="2">
                  <c:v>0.5296188221463245</c:v>
                </c:pt>
                <c:pt idx="3">
                  <c:v>0.54958161421162122</c:v>
                </c:pt>
              </c:numCache>
            </c:numRef>
          </c:xVal>
          <c:yVal>
            <c:numRef>
              <c:f>'Complete tables'!$L$9:$L$12</c:f>
              <c:numCache>
                <c:formatCode>0.0000</c:formatCode>
                <c:ptCount val="4"/>
                <c:pt idx="0">
                  <c:v>1.3477372399788398E-2</c:v>
                </c:pt>
                <c:pt idx="1">
                  <c:v>0.11520864262839656</c:v>
                </c:pt>
                <c:pt idx="2">
                  <c:v>8.6309818376250694E-2</c:v>
                </c:pt>
                <c:pt idx="3">
                  <c:v>0.13730994351632225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78-47FE-B94C-747C061B9CC9}"/>
            </c:ext>
          </c:extLst>
        </c:ser>
        <c:ser>
          <c:idx val="2"/>
          <c:order val="2"/>
          <c:tx>
            <c:v>Brine - section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'Complete tables'!$N$13:$N$16</c:f>
              <c:numCache>
                <c:formatCode>0.0000</c:formatCode>
                <c:ptCount val="4"/>
                <c:pt idx="0">
                  <c:v>0.29646501441322548</c:v>
                </c:pt>
                <c:pt idx="1">
                  <c:v>0.55582443075282606</c:v>
                </c:pt>
                <c:pt idx="2">
                  <c:v>0.55785461244194057</c:v>
                </c:pt>
                <c:pt idx="3">
                  <c:v>0.56388747353313629</c:v>
                </c:pt>
              </c:numCache>
            </c:numRef>
          </c:xVal>
          <c:yVal>
            <c:numRef>
              <c:f>'Complete tables'!$L$13:$L$16</c:f>
              <c:numCache>
                <c:formatCode>0.0000</c:formatCode>
                <c:ptCount val="4"/>
                <c:pt idx="0">
                  <c:v>5.4826715538034412E-3</c:v>
                </c:pt>
                <c:pt idx="1">
                  <c:v>0.10427381568304538</c:v>
                </c:pt>
                <c:pt idx="2">
                  <c:v>9.9158171258680622E-2</c:v>
                </c:pt>
                <c:pt idx="3">
                  <c:v>0.11174005873308508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78-47FE-B94C-747C061B9CC9}"/>
            </c:ext>
          </c:extLst>
        </c:ser>
        <c:ser>
          <c:idx val="3"/>
          <c:order val="3"/>
          <c:tx>
            <c:v>Brine - section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'Complete tables'!$N$17:$N$20</c:f>
              <c:numCache>
                <c:formatCode>0.0000</c:formatCode>
                <c:ptCount val="4"/>
                <c:pt idx="0">
                  <c:v>0.27163827525087592</c:v>
                </c:pt>
                <c:pt idx="1">
                  <c:v>0.56258307097791693</c:v>
                </c:pt>
                <c:pt idx="2">
                  <c:v>0.55395556236935117</c:v>
                </c:pt>
                <c:pt idx="3">
                  <c:v>0.56297532913195902</c:v>
                </c:pt>
              </c:numCache>
            </c:numRef>
          </c:xVal>
          <c:yVal>
            <c:numRef>
              <c:f>'Complete tables'!$L$17:$L$20</c:f>
              <c:numCache>
                <c:formatCode>0.0000</c:formatCode>
                <c:ptCount val="4"/>
                <c:pt idx="0">
                  <c:v>4.9162157054750974E-3</c:v>
                </c:pt>
                <c:pt idx="1">
                  <c:v>0.1241916198526001</c:v>
                </c:pt>
                <c:pt idx="2">
                  <c:v>9.5720936624920538E-2</c:v>
                </c:pt>
                <c:pt idx="3">
                  <c:v>0.11250906217251626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78-47FE-B94C-747C061B9CC9}"/>
            </c:ext>
          </c:extLst>
        </c:ser>
        <c:ser>
          <c:idx val="4"/>
          <c:order val="4"/>
          <c:tx>
            <c:v>Brine - section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'Complete tables'!$N$21:$N$24</c:f>
              <c:numCache>
                <c:formatCode>0.0000</c:formatCode>
                <c:ptCount val="4"/>
                <c:pt idx="0">
                  <c:v>0.38479382134660656</c:v>
                </c:pt>
                <c:pt idx="1">
                  <c:v>0.57789743700370644</c:v>
                </c:pt>
                <c:pt idx="2">
                  <c:v>0.58907465495578637</c:v>
                </c:pt>
                <c:pt idx="3">
                  <c:v>0.59613112013450964</c:v>
                </c:pt>
              </c:numCache>
            </c:numRef>
          </c:xVal>
          <c:yVal>
            <c:numRef>
              <c:f>'Complete tables'!$L$21:$L$24</c:f>
              <c:numCache>
                <c:formatCode>0.0000</c:formatCode>
                <c:ptCount val="4"/>
                <c:pt idx="0">
                  <c:v>2.3801191477227621E-2</c:v>
                </c:pt>
                <c:pt idx="1">
                  <c:v>0.11721776943927338</c:v>
                </c:pt>
                <c:pt idx="2">
                  <c:v>0.14722877043244112</c:v>
                </c:pt>
                <c:pt idx="3">
                  <c:v>0.15071619867890873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78-47FE-B94C-747C061B9CC9}"/>
            </c:ext>
          </c:extLst>
        </c:ser>
        <c:ser>
          <c:idx val="5"/>
          <c:order val="5"/>
          <c:tx>
            <c:v>Brine - section 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'Complete tables'!$N$25:$N$28</c:f>
              <c:numCache>
                <c:formatCode>0.0000</c:formatCode>
                <c:ptCount val="4"/>
                <c:pt idx="0">
                  <c:v>0.39429991904404726</c:v>
                </c:pt>
                <c:pt idx="1">
                  <c:v>0.58351890167820697</c:v>
                </c:pt>
                <c:pt idx="2">
                  <c:v>0.59507810251977133</c:v>
                </c:pt>
                <c:pt idx="3">
                  <c:v>0.60181585688893535</c:v>
                </c:pt>
              </c:numCache>
            </c:numRef>
          </c:xVal>
          <c:yVal>
            <c:numRef>
              <c:f>'Complete tables'!$L$25:$L$28</c:f>
              <c:numCache>
                <c:formatCode>0.0000</c:formatCode>
                <c:ptCount val="4"/>
                <c:pt idx="0">
                  <c:v>1.8468133976588228E-2</c:v>
                </c:pt>
                <c:pt idx="1">
                  <c:v>9.1178729233352088E-2</c:v>
                </c:pt>
                <c:pt idx="2">
                  <c:v>0.11285249107529957</c:v>
                </c:pt>
                <c:pt idx="3">
                  <c:v>0.11680864704308762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78-47FE-B94C-747C061B9CC9}"/>
            </c:ext>
          </c:extLst>
        </c:ser>
        <c:ser>
          <c:idx val="6"/>
          <c:order val="6"/>
          <c:tx>
            <c:v>Brine - section 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'Complete tables'!$N$29:$N$32</c:f>
              <c:numCache>
                <c:formatCode>0.0000</c:formatCode>
                <c:ptCount val="4"/>
                <c:pt idx="0">
                  <c:v>0.36983912273869102</c:v>
                </c:pt>
                <c:pt idx="1">
                  <c:v>0.57477784250400332</c:v>
                </c:pt>
                <c:pt idx="2">
                  <c:v>0.58511519753244412</c:v>
                </c:pt>
                <c:pt idx="3">
                  <c:v>0.59505795176916898</c:v>
                </c:pt>
              </c:numCache>
            </c:numRef>
          </c:xVal>
          <c:yVal>
            <c:numRef>
              <c:f>'Complete tables'!$L$29:$L$32</c:f>
              <c:numCache>
                <c:formatCode>0.0000</c:formatCode>
                <c:ptCount val="4"/>
                <c:pt idx="0">
                  <c:v>1.5586097581879919E-2</c:v>
                </c:pt>
                <c:pt idx="1">
                  <c:v>9.781487779250915E-2</c:v>
                </c:pt>
                <c:pt idx="2">
                  <c:v>0.11977804889146129</c:v>
                </c:pt>
                <c:pt idx="3">
                  <c:v>0.12617120582219574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278-47FE-B94C-747C061B9CC9}"/>
            </c:ext>
          </c:extLst>
        </c:ser>
        <c:ser>
          <c:idx val="7"/>
          <c:order val="7"/>
          <c:tx>
            <c:v>Brine - section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'Complete tables'!$N$33:$N$36</c:f>
              <c:numCache>
                <c:formatCode>0.0000</c:formatCode>
                <c:ptCount val="4"/>
                <c:pt idx="0">
                  <c:v>0.31182629916176918</c:v>
                </c:pt>
                <c:pt idx="1">
                  <c:v>0.50193197288862801</c:v>
                </c:pt>
                <c:pt idx="2">
                  <c:v>0.55824791214423941</c:v>
                </c:pt>
                <c:pt idx="3">
                  <c:v>0.51604450900552656</c:v>
                </c:pt>
              </c:numCache>
            </c:numRef>
          </c:xVal>
          <c:yVal>
            <c:numRef>
              <c:f>'Complete tables'!$L$33:$L$36</c:f>
              <c:numCache>
                <c:formatCode>0.0000</c:formatCode>
                <c:ptCount val="4"/>
                <c:pt idx="0">
                  <c:v>1.9229626706447643E-2</c:v>
                </c:pt>
                <c:pt idx="1">
                  <c:v>0.12442425082506854</c:v>
                </c:pt>
                <c:pt idx="2">
                  <c:v>0.16389527581467253</c:v>
                </c:pt>
                <c:pt idx="3">
                  <c:v>9.5615576786131862E-2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278-47FE-B94C-747C061B9CC9}"/>
            </c:ext>
          </c:extLst>
        </c:ser>
        <c:ser>
          <c:idx val="8"/>
          <c:order val="8"/>
          <c:tx>
            <c:v>Corey function - brine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'Complete tables'!$BB$5:$BB$32</c:f>
              <c:numCache>
                <c:formatCode>General</c:formatCode>
                <c:ptCount val="28"/>
                <c:pt idx="0">
                  <c:v>3.5714285714285719E-2</c:v>
                </c:pt>
                <c:pt idx="1">
                  <c:v>7.1428571428571438E-2</c:v>
                </c:pt>
                <c:pt idx="2">
                  <c:v>0.10714285714285716</c:v>
                </c:pt>
                <c:pt idx="3">
                  <c:v>0.14285714285714288</c:v>
                </c:pt>
                <c:pt idx="4">
                  <c:v>0.17857142857142858</c:v>
                </c:pt>
                <c:pt idx="5">
                  <c:v>0.2142857142857143</c:v>
                </c:pt>
                <c:pt idx="6">
                  <c:v>0.25</c:v>
                </c:pt>
                <c:pt idx="7">
                  <c:v>0.2857142857142857</c:v>
                </c:pt>
                <c:pt idx="8">
                  <c:v>0.3214285714285714</c:v>
                </c:pt>
                <c:pt idx="9">
                  <c:v>0.35714285714285715</c:v>
                </c:pt>
                <c:pt idx="10">
                  <c:v>0.39285714285714285</c:v>
                </c:pt>
                <c:pt idx="11">
                  <c:v>0.4285714285714286</c:v>
                </c:pt>
                <c:pt idx="12">
                  <c:v>0.46428571428571436</c:v>
                </c:pt>
                <c:pt idx="13">
                  <c:v>0.50000000000000011</c:v>
                </c:pt>
                <c:pt idx="14">
                  <c:v>0.53571428571428581</c:v>
                </c:pt>
                <c:pt idx="15">
                  <c:v>0.57142857142857162</c:v>
                </c:pt>
                <c:pt idx="16">
                  <c:v>0.60714285714285732</c:v>
                </c:pt>
                <c:pt idx="17">
                  <c:v>0.64285714285714313</c:v>
                </c:pt>
                <c:pt idx="18">
                  <c:v>0.67857142857142883</c:v>
                </c:pt>
                <c:pt idx="19">
                  <c:v>0.71428571428571452</c:v>
                </c:pt>
                <c:pt idx="20">
                  <c:v>0.75000000000000022</c:v>
                </c:pt>
                <c:pt idx="21">
                  <c:v>0.78571428571428603</c:v>
                </c:pt>
                <c:pt idx="22">
                  <c:v>0.82142857142857173</c:v>
                </c:pt>
                <c:pt idx="23">
                  <c:v>0.85714285714285743</c:v>
                </c:pt>
                <c:pt idx="24">
                  <c:v>0.89285714285714324</c:v>
                </c:pt>
                <c:pt idx="25">
                  <c:v>0.92857142857142894</c:v>
                </c:pt>
                <c:pt idx="26">
                  <c:v>0.96428571428571475</c:v>
                </c:pt>
                <c:pt idx="27">
                  <c:v>1.0000000000000004</c:v>
                </c:pt>
              </c:numCache>
            </c:numRef>
          </c:xVal>
          <c:yVal>
            <c:numRef>
              <c:f>'Complete tables'!$BI$5:$BI$32</c:f>
              <c:numCache>
                <c:formatCode>General</c:formatCode>
                <c:ptCount val="28"/>
                <c:pt idx="0">
                  <c:v>1.4036070796592812E-5</c:v>
                </c:pt>
                <c:pt idx="1">
                  <c:v>1.2898569147734473E-4</c:v>
                </c:pt>
                <c:pt idx="2">
                  <c:v>4.7209952687263598E-4</c:v>
                </c:pt>
                <c:pt idx="3">
                  <c:v>1.185325212945448E-3</c:v>
                </c:pt>
                <c:pt idx="4">
                  <c:v>2.4207479010535807E-3</c:v>
                </c:pt>
                <c:pt idx="5">
                  <c:v>4.3383995993078054E-3</c:v>
                </c:pt>
                <c:pt idx="6">
                  <c:v>7.104921405517493E-3</c:v>
                </c:pt>
                <c:pt idx="7">
                  <c:v>1.0892648977975563E-2</c:v>
                </c:pt>
                <c:pt idx="8">
                  <c:v>1.5878942654483426E-2</c:v>
                </c:pt>
                <c:pt idx="9">
                  <c:v>2.2245673054422196E-2</c:v>
                </c:pt>
                <c:pt idx="10">
                  <c:v>3.0178812207100569E-2</c:v>
                </c:pt>
                <c:pt idx="11">
                  <c:v>3.9868099864357381E-2</c:v>
                </c:pt>
                <c:pt idx="12">
                  <c:v>5.1506765425769721E-2</c:v>
                </c:pt>
                <c:pt idx="13">
                  <c:v>6.5291292247209351E-2</c:v>
                </c:pt>
                <c:pt idx="14">
                  <c:v>8.1421215048497808E-2</c:v>
                </c:pt>
                <c:pt idx="15">
                  <c:v>0.10009894370048546</c:v>
                </c:pt>
                <c:pt idx="16">
                  <c:v>0.12152960840091376</c:v>
                </c:pt>
                <c:pt idx="17">
                  <c:v>0.14592092245037921</c:v>
                </c:pt>
                <c:pt idx="18">
                  <c:v>0.17348305969737438</c:v>
                </c:pt>
                <c:pt idx="19">
                  <c:v>0.20442854434733329</c:v>
                </c:pt>
                <c:pt idx="20">
                  <c:v>0.23897215129652227</c:v>
                </c:pt>
                <c:pt idx="21">
                  <c:v>0.27733081550448729</c:v>
                </c:pt>
                <c:pt idx="22">
                  <c:v>0.31972354919016144</c:v>
                </c:pt>
                <c:pt idx="23">
                  <c:v>0.36637136584835911</c:v>
                </c:pt>
                <c:pt idx="24">
                  <c:v>0.41749721025045106</c:v>
                </c:pt>
                <c:pt idx="25">
                  <c:v>0.47332589372639922</c:v>
                </c:pt>
                <c:pt idx="26">
                  <c:v>0.53408403413290628</c:v>
                </c:pt>
                <c:pt idx="27">
                  <c:v>0.60000000000000075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278-47FE-B94C-747C061B9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156527"/>
        <c:axId val="1588153167"/>
      </c:scatterChart>
      <c:valAx>
        <c:axId val="158815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/>
                  <a:t>Water saturation</a:t>
                </a:r>
                <a:endParaRPr lang="en-GB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53167"/>
        <c:crosses val="autoZero"/>
        <c:crossBetween val="midCat"/>
      </c:valAx>
      <c:valAx>
        <c:axId val="158815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0"/>
                  <a:t>Relative permeability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5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Brine - Relative permeability curves  (logarithmic)</a:t>
            </a:r>
            <a:endParaRPr lang="en-GB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Brine - section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'Complete tables'!$N$5:$N$8</c:f>
              <c:numCache>
                <c:formatCode>0.0000</c:formatCode>
                <c:ptCount val="4"/>
                <c:pt idx="0">
                  <c:v>0.29989093469959083</c:v>
                </c:pt>
                <c:pt idx="1">
                  <c:v>0.55359512053192939</c:v>
                </c:pt>
                <c:pt idx="2">
                  <c:v>0.55602993552132318</c:v>
                </c:pt>
                <c:pt idx="3">
                  <c:v>0.56361065981327518</c:v>
                </c:pt>
              </c:numCache>
            </c:numRef>
          </c:xVal>
          <c:yVal>
            <c:numRef>
              <c:f>'Complete tables'!$L$5:$L$8</c:f>
              <c:numCache>
                <c:formatCode>0.0000</c:formatCode>
                <c:ptCount val="4"/>
                <c:pt idx="0">
                  <c:v>6.0046290131546666E-3</c:v>
                </c:pt>
                <c:pt idx="1">
                  <c:v>9.6809800472362567E-2</c:v>
                </c:pt>
                <c:pt idx="2">
                  <c:v>9.5252370573352854E-2</c:v>
                </c:pt>
                <c:pt idx="3">
                  <c:v>0.10952048890228261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7-49BE-8DE8-06A5A59D3AC1}"/>
            </c:ext>
          </c:extLst>
        </c:ser>
        <c:ser>
          <c:idx val="1"/>
          <c:order val="1"/>
          <c:tx>
            <c:v>Brine - section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'Complete tables'!$N$9:$N$12</c:f>
              <c:numCache>
                <c:formatCode>0.0000</c:formatCode>
                <c:ptCount val="4"/>
                <c:pt idx="0">
                  <c:v>0.2755072715149175</c:v>
                </c:pt>
                <c:pt idx="1">
                  <c:v>0.53775302741060771</c:v>
                </c:pt>
                <c:pt idx="2">
                  <c:v>0.5296188221463245</c:v>
                </c:pt>
                <c:pt idx="3">
                  <c:v>0.54958161421162122</c:v>
                </c:pt>
              </c:numCache>
            </c:numRef>
          </c:xVal>
          <c:yVal>
            <c:numRef>
              <c:f>'Complete tables'!$L$9:$L$12</c:f>
              <c:numCache>
                <c:formatCode>0.0000</c:formatCode>
                <c:ptCount val="4"/>
                <c:pt idx="0">
                  <c:v>1.3477372399788398E-2</c:v>
                </c:pt>
                <c:pt idx="1">
                  <c:v>0.11520864262839656</c:v>
                </c:pt>
                <c:pt idx="2">
                  <c:v>8.6309818376250694E-2</c:v>
                </c:pt>
                <c:pt idx="3">
                  <c:v>0.13730994351632225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D7-49BE-8DE8-06A5A59D3AC1}"/>
            </c:ext>
          </c:extLst>
        </c:ser>
        <c:ser>
          <c:idx val="2"/>
          <c:order val="2"/>
          <c:tx>
            <c:v>Brine - section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'Complete tables'!$N$13:$N$16</c:f>
              <c:numCache>
                <c:formatCode>0.0000</c:formatCode>
                <c:ptCount val="4"/>
                <c:pt idx="0">
                  <c:v>0.29646501441322548</c:v>
                </c:pt>
                <c:pt idx="1">
                  <c:v>0.55582443075282606</c:v>
                </c:pt>
                <c:pt idx="2">
                  <c:v>0.55785461244194057</c:v>
                </c:pt>
                <c:pt idx="3">
                  <c:v>0.56388747353313629</c:v>
                </c:pt>
              </c:numCache>
            </c:numRef>
          </c:xVal>
          <c:yVal>
            <c:numRef>
              <c:f>'Complete tables'!$L$13:$L$16</c:f>
              <c:numCache>
                <c:formatCode>0.0000</c:formatCode>
                <c:ptCount val="4"/>
                <c:pt idx="0">
                  <c:v>5.4826715538034412E-3</c:v>
                </c:pt>
                <c:pt idx="1">
                  <c:v>0.10427381568304538</c:v>
                </c:pt>
                <c:pt idx="2">
                  <c:v>9.9158171258680622E-2</c:v>
                </c:pt>
                <c:pt idx="3">
                  <c:v>0.11174005873308508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D7-49BE-8DE8-06A5A59D3AC1}"/>
            </c:ext>
          </c:extLst>
        </c:ser>
        <c:ser>
          <c:idx val="3"/>
          <c:order val="3"/>
          <c:tx>
            <c:v>Brine - section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'Complete tables'!$N$17:$N$20</c:f>
              <c:numCache>
                <c:formatCode>0.0000</c:formatCode>
                <c:ptCount val="4"/>
                <c:pt idx="0">
                  <c:v>0.27163827525087592</c:v>
                </c:pt>
                <c:pt idx="1">
                  <c:v>0.56258307097791693</c:v>
                </c:pt>
                <c:pt idx="2">
                  <c:v>0.55395556236935117</c:v>
                </c:pt>
                <c:pt idx="3">
                  <c:v>0.56297532913195902</c:v>
                </c:pt>
              </c:numCache>
            </c:numRef>
          </c:xVal>
          <c:yVal>
            <c:numRef>
              <c:f>'Complete tables'!$L$17:$L$20</c:f>
              <c:numCache>
                <c:formatCode>0.0000</c:formatCode>
                <c:ptCount val="4"/>
                <c:pt idx="0">
                  <c:v>4.9162157054750974E-3</c:v>
                </c:pt>
                <c:pt idx="1">
                  <c:v>0.1241916198526001</c:v>
                </c:pt>
                <c:pt idx="2">
                  <c:v>9.5720936624920538E-2</c:v>
                </c:pt>
                <c:pt idx="3">
                  <c:v>0.11250906217251626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D7-49BE-8DE8-06A5A59D3AC1}"/>
            </c:ext>
          </c:extLst>
        </c:ser>
        <c:ser>
          <c:idx val="4"/>
          <c:order val="4"/>
          <c:tx>
            <c:v>Brine - section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'Complete tables'!$N$21:$N$24</c:f>
              <c:numCache>
                <c:formatCode>0.0000</c:formatCode>
                <c:ptCount val="4"/>
                <c:pt idx="0">
                  <c:v>0.38479382134660656</c:v>
                </c:pt>
                <c:pt idx="1">
                  <c:v>0.57789743700370644</c:v>
                </c:pt>
                <c:pt idx="2">
                  <c:v>0.58907465495578637</c:v>
                </c:pt>
                <c:pt idx="3">
                  <c:v>0.59613112013450964</c:v>
                </c:pt>
              </c:numCache>
            </c:numRef>
          </c:xVal>
          <c:yVal>
            <c:numRef>
              <c:f>'Complete tables'!$L$21:$L$24</c:f>
              <c:numCache>
                <c:formatCode>0.0000</c:formatCode>
                <c:ptCount val="4"/>
                <c:pt idx="0">
                  <c:v>2.3801191477227621E-2</c:v>
                </c:pt>
                <c:pt idx="1">
                  <c:v>0.11721776943927338</c:v>
                </c:pt>
                <c:pt idx="2">
                  <c:v>0.14722877043244112</c:v>
                </c:pt>
                <c:pt idx="3">
                  <c:v>0.15071619867890873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D7-49BE-8DE8-06A5A59D3AC1}"/>
            </c:ext>
          </c:extLst>
        </c:ser>
        <c:ser>
          <c:idx val="5"/>
          <c:order val="5"/>
          <c:tx>
            <c:v>Brine - section 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'Complete tables'!$N$25:$N$28</c:f>
              <c:numCache>
                <c:formatCode>0.0000</c:formatCode>
                <c:ptCount val="4"/>
                <c:pt idx="0">
                  <c:v>0.39429991904404726</c:v>
                </c:pt>
                <c:pt idx="1">
                  <c:v>0.58351890167820697</c:v>
                </c:pt>
                <c:pt idx="2">
                  <c:v>0.59507810251977133</c:v>
                </c:pt>
                <c:pt idx="3">
                  <c:v>0.60181585688893535</c:v>
                </c:pt>
              </c:numCache>
            </c:numRef>
          </c:xVal>
          <c:yVal>
            <c:numRef>
              <c:f>'Complete tables'!$L$25:$L$28</c:f>
              <c:numCache>
                <c:formatCode>0.0000</c:formatCode>
                <c:ptCount val="4"/>
                <c:pt idx="0">
                  <c:v>1.8468133976588228E-2</c:v>
                </c:pt>
                <c:pt idx="1">
                  <c:v>9.1178729233352088E-2</c:v>
                </c:pt>
                <c:pt idx="2">
                  <c:v>0.11285249107529957</c:v>
                </c:pt>
                <c:pt idx="3">
                  <c:v>0.11680864704308762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D7-49BE-8DE8-06A5A59D3AC1}"/>
            </c:ext>
          </c:extLst>
        </c:ser>
        <c:ser>
          <c:idx val="6"/>
          <c:order val="6"/>
          <c:tx>
            <c:v>Brine - section 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'Complete tables'!$N$29:$N$32</c:f>
              <c:numCache>
                <c:formatCode>0.0000</c:formatCode>
                <c:ptCount val="4"/>
                <c:pt idx="0">
                  <c:v>0.36983912273869102</c:v>
                </c:pt>
                <c:pt idx="1">
                  <c:v>0.57477784250400332</c:v>
                </c:pt>
                <c:pt idx="2">
                  <c:v>0.58511519753244412</c:v>
                </c:pt>
                <c:pt idx="3">
                  <c:v>0.59505795176916898</c:v>
                </c:pt>
              </c:numCache>
            </c:numRef>
          </c:xVal>
          <c:yVal>
            <c:numRef>
              <c:f>'Complete tables'!$L$29:$L$32</c:f>
              <c:numCache>
                <c:formatCode>0.0000</c:formatCode>
                <c:ptCount val="4"/>
                <c:pt idx="0">
                  <c:v>1.5586097581879919E-2</c:v>
                </c:pt>
                <c:pt idx="1">
                  <c:v>9.781487779250915E-2</c:v>
                </c:pt>
                <c:pt idx="2">
                  <c:v>0.11977804889146129</c:v>
                </c:pt>
                <c:pt idx="3">
                  <c:v>0.12617120582219574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7D7-49BE-8DE8-06A5A59D3AC1}"/>
            </c:ext>
          </c:extLst>
        </c:ser>
        <c:ser>
          <c:idx val="7"/>
          <c:order val="7"/>
          <c:tx>
            <c:v>Brine - section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'Complete tables'!$N$33:$N$36</c:f>
              <c:numCache>
                <c:formatCode>0.0000</c:formatCode>
                <c:ptCount val="4"/>
                <c:pt idx="0">
                  <c:v>0.31182629916176918</c:v>
                </c:pt>
                <c:pt idx="1">
                  <c:v>0.50193197288862801</c:v>
                </c:pt>
                <c:pt idx="2">
                  <c:v>0.55824791214423941</c:v>
                </c:pt>
                <c:pt idx="3">
                  <c:v>0.51604450900552656</c:v>
                </c:pt>
              </c:numCache>
            </c:numRef>
          </c:xVal>
          <c:yVal>
            <c:numRef>
              <c:f>'Complete tables'!$L$33:$L$36</c:f>
              <c:numCache>
                <c:formatCode>0.0000</c:formatCode>
                <c:ptCount val="4"/>
                <c:pt idx="0">
                  <c:v>1.9229626706447643E-2</c:v>
                </c:pt>
                <c:pt idx="1">
                  <c:v>0.12442425082506854</c:v>
                </c:pt>
                <c:pt idx="2">
                  <c:v>0.16389527581467253</c:v>
                </c:pt>
                <c:pt idx="3">
                  <c:v>9.5615576786131862E-2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7D7-49BE-8DE8-06A5A59D3AC1}"/>
            </c:ext>
          </c:extLst>
        </c:ser>
        <c:ser>
          <c:idx val="8"/>
          <c:order val="8"/>
          <c:tx>
            <c:v>Corey function - brine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'Complete tables'!$BB$5:$BB$32</c:f>
              <c:numCache>
                <c:formatCode>General</c:formatCode>
                <c:ptCount val="28"/>
                <c:pt idx="0">
                  <c:v>3.5714285714285719E-2</c:v>
                </c:pt>
                <c:pt idx="1">
                  <c:v>7.1428571428571438E-2</c:v>
                </c:pt>
                <c:pt idx="2">
                  <c:v>0.10714285714285716</c:v>
                </c:pt>
                <c:pt idx="3">
                  <c:v>0.14285714285714288</c:v>
                </c:pt>
                <c:pt idx="4">
                  <c:v>0.17857142857142858</c:v>
                </c:pt>
                <c:pt idx="5">
                  <c:v>0.2142857142857143</c:v>
                </c:pt>
                <c:pt idx="6">
                  <c:v>0.25</c:v>
                </c:pt>
                <c:pt idx="7">
                  <c:v>0.2857142857142857</c:v>
                </c:pt>
                <c:pt idx="8">
                  <c:v>0.3214285714285714</c:v>
                </c:pt>
                <c:pt idx="9">
                  <c:v>0.35714285714285715</c:v>
                </c:pt>
                <c:pt idx="10">
                  <c:v>0.39285714285714285</c:v>
                </c:pt>
                <c:pt idx="11">
                  <c:v>0.4285714285714286</c:v>
                </c:pt>
                <c:pt idx="12">
                  <c:v>0.46428571428571436</c:v>
                </c:pt>
                <c:pt idx="13">
                  <c:v>0.50000000000000011</c:v>
                </c:pt>
                <c:pt idx="14">
                  <c:v>0.53571428571428581</c:v>
                </c:pt>
                <c:pt idx="15">
                  <c:v>0.57142857142857162</c:v>
                </c:pt>
                <c:pt idx="16">
                  <c:v>0.60714285714285732</c:v>
                </c:pt>
                <c:pt idx="17">
                  <c:v>0.64285714285714313</c:v>
                </c:pt>
                <c:pt idx="18">
                  <c:v>0.67857142857142883</c:v>
                </c:pt>
                <c:pt idx="19">
                  <c:v>0.71428571428571452</c:v>
                </c:pt>
                <c:pt idx="20">
                  <c:v>0.75000000000000022</c:v>
                </c:pt>
                <c:pt idx="21">
                  <c:v>0.78571428571428603</c:v>
                </c:pt>
                <c:pt idx="22">
                  <c:v>0.82142857142857173</c:v>
                </c:pt>
                <c:pt idx="23">
                  <c:v>0.85714285714285743</c:v>
                </c:pt>
                <c:pt idx="24">
                  <c:v>0.89285714285714324</c:v>
                </c:pt>
                <c:pt idx="25">
                  <c:v>0.92857142857142894</c:v>
                </c:pt>
                <c:pt idx="26">
                  <c:v>0.96428571428571475</c:v>
                </c:pt>
                <c:pt idx="27">
                  <c:v>1.0000000000000004</c:v>
                </c:pt>
              </c:numCache>
            </c:numRef>
          </c:xVal>
          <c:yVal>
            <c:numRef>
              <c:f>'Complete tables'!$BI$5:$BI$32</c:f>
              <c:numCache>
                <c:formatCode>General</c:formatCode>
                <c:ptCount val="28"/>
                <c:pt idx="0">
                  <c:v>1.4036070796592812E-5</c:v>
                </c:pt>
                <c:pt idx="1">
                  <c:v>1.2898569147734473E-4</c:v>
                </c:pt>
                <c:pt idx="2">
                  <c:v>4.7209952687263598E-4</c:v>
                </c:pt>
                <c:pt idx="3">
                  <c:v>1.185325212945448E-3</c:v>
                </c:pt>
                <c:pt idx="4">
                  <c:v>2.4207479010535807E-3</c:v>
                </c:pt>
                <c:pt idx="5">
                  <c:v>4.3383995993078054E-3</c:v>
                </c:pt>
                <c:pt idx="6">
                  <c:v>7.104921405517493E-3</c:v>
                </c:pt>
                <c:pt idx="7">
                  <c:v>1.0892648977975563E-2</c:v>
                </c:pt>
                <c:pt idx="8">
                  <c:v>1.5878942654483426E-2</c:v>
                </c:pt>
                <c:pt idx="9">
                  <c:v>2.2245673054422196E-2</c:v>
                </c:pt>
                <c:pt idx="10">
                  <c:v>3.0178812207100569E-2</c:v>
                </c:pt>
                <c:pt idx="11">
                  <c:v>3.9868099864357381E-2</c:v>
                </c:pt>
                <c:pt idx="12">
                  <c:v>5.1506765425769721E-2</c:v>
                </c:pt>
                <c:pt idx="13">
                  <c:v>6.5291292247209351E-2</c:v>
                </c:pt>
                <c:pt idx="14">
                  <c:v>8.1421215048497808E-2</c:v>
                </c:pt>
                <c:pt idx="15">
                  <c:v>0.10009894370048546</c:v>
                </c:pt>
                <c:pt idx="16">
                  <c:v>0.12152960840091376</c:v>
                </c:pt>
                <c:pt idx="17">
                  <c:v>0.14592092245037921</c:v>
                </c:pt>
                <c:pt idx="18">
                  <c:v>0.17348305969737438</c:v>
                </c:pt>
                <c:pt idx="19">
                  <c:v>0.20442854434733329</c:v>
                </c:pt>
                <c:pt idx="20">
                  <c:v>0.23897215129652227</c:v>
                </c:pt>
                <c:pt idx="21">
                  <c:v>0.27733081550448729</c:v>
                </c:pt>
                <c:pt idx="22">
                  <c:v>0.31972354919016144</c:v>
                </c:pt>
                <c:pt idx="23">
                  <c:v>0.36637136584835911</c:v>
                </c:pt>
                <c:pt idx="24">
                  <c:v>0.41749721025045106</c:v>
                </c:pt>
                <c:pt idx="25">
                  <c:v>0.47332589372639922</c:v>
                </c:pt>
                <c:pt idx="26">
                  <c:v>0.53408403413290628</c:v>
                </c:pt>
                <c:pt idx="27">
                  <c:v>0.60000000000000075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7D7-49BE-8DE8-06A5A59D3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156527"/>
        <c:axId val="1588153167"/>
      </c:scatterChart>
      <c:valAx>
        <c:axId val="158815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/>
                  <a:t>Water saturation</a:t>
                </a:r>
                <a:endParaRPr lang="en-GB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53167"/>
        <c:crossesAt val="1.0000000000000005E-7"/>
        <c:crossBetween val="midCat"/>
      </c:valAx>
      <c:valAx>
        <c:axId val="158815316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0"/>
                  <a:t>Relative permeability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56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571498</xdr:colOff>
      <xdr:row>41</xdr:row>
      <xdr:rowOff>30390</xdr:rowOff>
    </xdr:from>
    <xdr:to>
      <xdr:col>29</xdr:col>
      <xdr:colOff>204106</xdr:colOff>
      <xdr:row>75</xdr:row>
      <xdr:rowOff>81643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ADF2EB-786E-4192-A8A6-639310CCA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559451</xdr:colOff>
      <xdr:row>3</xdr:row>
      <xdr:rowOff>197244</xdr:rowOff>
    </xdr:from>
    <xdr:to>
      <xdr:col>28</xdr:col>
      <xdr:colOff>532754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2B893B-2CA5-0E1E-DB4F-E309B175C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406778</xdr:colOff>
      <xdr:row>4</xdr:row>
      <xdr:rowOff>435891</xdr:rowOff>
    </xdr:from>
    <xdr:to>
      <xdr:col>43</xdr:col>
      <xdr:colOff>64577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10F0A5-ECA3-48C6-A41C-C9BAB2111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507438</xdr:colOff>
      <xdr:row>16</xdr:row>
      <xdr:rowOff>152851</xdr:rowOff>
    </xdr:from>
    <xdr:to>
      <xdr:col>29</xdr:col>
      <xdr:colOff>136071</xdr:colOff>
      <xdr:row>40</xdr:row>
      <xdr:rowOff>13607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4C63D9-41A2-4915-AC66-5DBB75EAA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459012</xdr:colOff>
      <xdr:row>16</xdr:row>
      <xdr:rowOff>139702</xdr:rowOff>
    </xdr:from>
    <xdr:to>
      <xdr:col>44</xdr:col>
      <xdr:colOff>68036</xdr:colOff>
      <xdr:row>38</xdr:row>
      <xdr:rowOff>136072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347E4B-2419-67C3-D816-87D5349ED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435428</xdr:colOff>
      <xdr:row>41</xdr:row>
      <xdr:rowOff>54428</xdr:rowOff>
    </xdr:from>
    <xdr:to>
      <xdr:col>44</xdr:col>
      <xdr:colOff>81643</xdr:colOff>
      <xdr:row>75</xdr:row>
      <xdr:rowOff>40820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1B92CA1-8D09-4803-9E41-F69BDF4A2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V2322"/>
  <sheetViews>
    <sheetView topLeftCell="M1" zoomScale="80" zoomScaleNormal="80" workbookViewId="0">
      <selection activeCell="AU5" sqref="AU5:AU8"/>
    </sheetView>
  </sheetViews>
  <sheetFormatPr defaultRowHeight="15" x14ac:dyDescent="0.25"/>
  <cols>
    <col min="2" max="2" width="18.140625" bestFit="1" customWidth="1"/>
    <col min="3" max="3" width="20" customWidth="1"/>
    <col min="4" max="4" width="18.140625" bestFit="1" customWidth="1"/>
    <col min="5" max="5" width="20.140625" customWidth="1"/>
    <col min="6" max="6" width="20.85546875" customWidth="1"/>
    <col min="9" max="9" width="19.140625" customWidth="1"/>
    <col min="10" max="10" width="19.42578125" customWidth="1"/>
    <col min="13" max="13" width="14.140625" bestFit="1" customWidth="1"/>
    <col min="14" max="14" width="11.42578125" customWidth="1"/>
    <col min="15" max="15" width="17.28515625" bestFit="1" customWidth="1"/>
    <col min="16" max="16" width="21.85546875" customWidth="1"/>
    <col min="17" max="17" width="8.42578125" bestFit="1" customWidth="1"/>
    <col min="20" max="20" width="17.28515625" bestFit="1" customWidth="1"/>
    <col min="21" max="21" width="17.5703125" customWidth="1"/>
    <col min="22" max="22" width="15.140625" bestFit="1" customWidth="1"/>
    <col min="27" max="27" width="17.28515625" bestFit="1" customWidth="1"/>
    <col min="28" max="28" width="15.140625" bestFit="1" customWidth="1"/>
    <col min="33" max="33" width="17.28515625" bestFit="1" customWidth="1"/>
    <col min="34" max="34" width="15.140625" bestFit="1" customWidth="1"/>
    <col min="39" max="39" width="17.28515625" bestFit="1" customWidth="1"/>
    <col min="40" max="40" width="15.140625" bestFit="1" customWidth="1"/>
    <col min="45" max="45" width="19.140625" bestFit="1" customWidth="1"/>
    <col min="46" max="46" width="15.140625" bestFit="1" customWidth="1"/>
  </cols>
  <sheetData>
    <row r="3" spans="2:48" x14ac:dyDescent="0.25">
      <c r="B3" s="45" t="s">
        <v>5</v>
      </c>
      <c r="C3" s="46"/>
      <c r="D3" s="46"/>
      <c r="E3" s="47"/>
      <c r="H3" s="6" t="s">
        <v>4</v>
      </c>
      <c r="I3" s="32"/>
      <c r="J3" s="32"/>
      <c r="K3" s="29"/>
      <c r="N3" s="6" t="s">
        <v>6</v>
      </c>
      <c r="O3" s="32"/>
      <c r="P3" s="32"/>
      <c r="Q3" s="29"/>
      <c r="T3" s="6" t="s">
        <v>7</v>
      </c>
      <c r="U3" s="32"/>
      <c r="V3" s="32"/>
      <c r="W3" s="29"/>
      <c r="Z3" s="6" t="s">
        <v>8</v>
      </c>
      <c r="AA3" s="32"/>
      <c r="AB3" s="32"/>
      <c r="AC3" s="29"/>
      <c r="AF3" s="6" t="s">
        <v>32</v>
      </c>
      <c r="AG3" s="32"/>
      <c r="AH3" s="32"/>
      <c r="AI3" s="29"/>
      <c r="AL3" s="6" t="s">
        <v>33</v>
      </c>
      <c r="AM3" s="32"/>
      <c r="AN3" s="32"/>
      <c r="AO3" s="29"/>
      <c r="AR3" s="6" t="s">
        <v>34</v>
      </c>
      <c r="AS3" s="32"/>
      <c r="AT3" s="32"/>
      <c r="AU3" s="29"/>
    </row>
    <row r="4" spans="2:48" x14ac:dyDescent="0.25">
      <c r="B4" s="2" t="s">
        <v>2</v>
      </c>
      <c r="C4" s="2" t="s">
        <v>3</v>
      </c>
      <c r="D4" s="2" t="s">
        <v>0</v>
      </c>
      <c r="E4" s="2" t="s">
        <v>1</v>
      </c>
      <c r="H4" s="2" t="s">
        <v>2</v>
      </c>
      <c r="I4" s="2" t="s">
        <v>3</v>
      </c>
      <c r="J4" s="2" t="s">
        <v>0</v>
      </c>
      <c r="K4" s="2" t="s">
        <v>1</v>
      </c>
      <c r="N4" s="2" t="s">
        <v>2</v>
      </c>
      <c r="O4" s="2" t="s">
        <v>3</v>
      </c>
      <c r="P4" s="2" t="s">
        <v>0</v>
      </c>
      <c r="Q4" s="2" t="s">
        <v>1</v>
      </c>
      <c r="T4" s="2" t="s">
        <v>2</v>
      </c>
      <c r="U4" s="2" t="s">
        <v>3</v>
      </c>
      <c r="V4" s="2" t="s">
        <v>0</v>
      </c>
      <c r="W4" s="2" t="s">
        <v>1</v>
      </c>
      <c r="Z4" s="2" t="s">
        <v>2</v>
      </c>
      <c r="AA4" s="2" t="s">
        <v>3</v>
      </c>
      <c r="AB4" s="2" t="s">
        <v>0</v>
      </c>
      <c r="AC4" s="2" t="s">
        <v>1</v>
      </c>
      <c r="AF4" s="2" t="s">
        <v>2</v>
      </c>
      <c r="AG4" s="2" t="s">
        <v>3</v>
      </c>
      <c r="AH4" s="2" t="s">
        <v>0</v>
      </c>
      <c r="AI4" s="2" t="s">
        <v>1</v>
      </c>
      <c r="AL4" s="2" t="s">
        <v>2</v>
      </c>
      <c r="AM4" s="2" t="s">
        <v>3</v>
      </c>
      <c r="AN4" s="2" t="s">
        <v>0</v>
      </c>
      <c r="AO4" s="2" t="s">
        <v>1</v>
      </c>
      <c r="AR4" s="2" t="s">
        <v>2</v>
      </c>
      <c r="AS4" s="2" t="s">
        <v>3</v>
      </c>
      <c r="AT4" s="2" t="s">
        <v>0</v>
      </c>
      <c r="AU4" s="2" t="s">
        <v>1</v>
      </c>
    </row>
    <row r="5" spans="2:48" x14ac:dyDescent="0.25">
      <c r="B5" s="2" t="s">
        <v>45</v>
      </c>
      <c r="C5" s="3">
        <f>SUM($B$14:$B$201)</f>
        <v>7.2196966486529988E-9</v>
      </c>
      <c r="D5" s="3">
        <f>SUM(C14:C2290)</f>
        <v>5.0545750724409474E-9</v>
      </c>
      <c r="E5" s="3">
        <f>D5/C5</f>
        <v>0.70010906530040917</v>
      </c>
      <c r="H5" s="2" t="s">
        <v>45</v>
      </c>
      <c r="I5" s="3">
        <f>SUM($H$14:$H$167)</f>
        <v>3.1934515852530034E-9</v>
      </c>
      <c r="J5" s="3">
        <f>SUM(I14:I2259)</f>
        <v>2.3136324522849607E-9</v>
      </c>
      <c r="K5" s="3">
        <f>J5/I5</f>
        <v>0.7244927284850825</v>
      </c>
      <c r="N5" s="2" t="s">
        <v>45</v>
      </c>
      <c r="O5" s="3">
        <f>SUM($N$14:$N$130)</f>
        <v>2.5845125621669978E-9</v>
      </c>
      <c r="P5" s="3">
        <f>SUM(O14:O987)</f>
        <v>1.8182950081729966E-9</v>
      </c>
      <c r="Q5" s="3">
        <f>P5/O5</f>
        <v>0.70353498558677452</v>
      </c>
      <c r="T5" s="2" t="s">
        <v>45</v>
      </c>
      <c r="U5" s="3">
        <f>SUM($T$14:$T$134)</f>
        <v>2.5209307488149994E-9</v>
      </c>
      <c r="V5" s="3">
        <f>SUM(U14:U1512)</f>
        <v>1.8361494681799938E-9</v>
      </c>
      <c r="W5" s="3">
        <f>V5/U5</f>
        <v>0.72836172474912408</v>
      </c>
      <c r="Z5" s="2" t="s">
        <v>45</v>
      </c>
      <c r="AA5" s="3">
        <f>SUM($Z$14:$Z$135)</f>
        <v>2.1413477224489981E-9</v>
      </c>
      <c r="AB5" s="3">
        <f>SUM(AA14:AA619)</f>
        <v>1.3173703494959954E-9</v>
      </c>
      <c r="AC5" s="3">
        <f>AB5/AA5</f>
        <v>0.61520617865339344</v>
      </c>
      <c r="AF5" s="2" t="s">
        <v>45</v>
      </c>
      <c r="AG5" s="3">
        <f>SUM($AF$14:$AF$143)</f>
        <v>1.2717250464360013E-9</v>
      </c>
      <c r="AH5" s="3">
        <f>SUM(AG14:AG423)</f>
        <v>7.7028396357999872E-10</v>
      </c>
      <c r="AI5" s="3">
        <f>AH5/AG5</f>
        <v>0.60570008095595274</v>
      </c>
      <c r="AL5" s="2" t="s">
        <v>45</v>
      </c>
      <c r="AM5" s="3">
        <f>SUM($AL$14:$AL$118)</f>
        <v>9.3900633191900074E-10</v>
      </c>
      <c r="AN5" s="3">
        <f>SUM(AM14:AM322)</f>
        <v>5.9172505387600142E-10</v>
      </c>
      <c r="AO5" s="3">
        <f>AN5/AM5</f>
        <v>0.63016087726130898</v>
      </c>
      <c r="AR5" s="2" t="s">
        <v>45</v>
      </c>
      <c r="AS5" s="3">
        <f>SUM($AR$14:$AR$84)</f>
        <v>8.5331209055900031E-10</v>
      </c>
      <c r="AT5" s="3">
        <f>SUM(AS14:AS981)</f>
        <v>5.8722693932999483E-10</v>
      </c>
      <c r="AU5" s="3">
        <f>AT5/AS5</f>
        <v>0.68817370083823082</v>
      </c>
    </row>
    <row r="6" spans="2:48" x14ac:dyDescent="0.25">
      <c r="B6" s="2" t="s">
        <v>46</v>
      </c>
      <c r="C6" s="3">
        <f t="shared" ref="C6:C8" si="0">SUM($B$14:$B$201)</f>
        <v>7.2196966486529988E-9</v>
      </c>
      <c r="D6" s="3">
        <f>SUM(D14:D1983)</f>
        <v>3.2229078122379752E-9</v>
      </c>
      <c r="E6" s="3">
        <f t="shared" ref="E6:E8" si="1">D6/C6</f>
        <v>0.44640487946807061</v>
      </c>
      <c r="H6" s="2" t="s">
        <v>46</v>
      </c>
      <c r="I6" s="3">
        <f t="shared" ref="I6:I8" si="2">SUM($H$14:$H$167)</f>
        <v>3.1934515852530034E-9</v>
      </c>
      <c r="J6" s="3">
        <f>SUM(J14:J871)</f>
        <v>1.4761633273939962E-9</v>
      </c>
      <c r="K6" s="3">
        <f t="shared" ref="K6:K7" si="3">J6/I6</f>
        <v>0.46224697258939224</v>
      </c>
      <c r="N6" s="2" t="s">
        <v>46</v>
      </c>
      <c r="O6" s="3">
        <f t="shared" ref="O6:O8" si="4">SUM($N$14:$N$130)</f>
        <v>2.5845125621669978E-9</v>
      </c>
      <c r="P6" s="3">
        <f>SUM(P14:P818)</f>
        <v>1.1479773385269983E-9</v>
      </c>
      <c r="Q6" s="3">
        <f t="shared" ref="Q6:Q8" si="5">P6/O6</f>
        <v>0.44417556924717394</v>
      </c>
      <c r="T6" s="2" t="s">
        <v>46</v>
      </c>
      <c r="U6" s="3">
        <f t="shared" ref="U6:U8" si="6">SUM($T$14:$T$134)</f>
        <v>2.5209307488149994E-9</v>
      </c>
      <c r="V6" s="3">
        <f>SUM(V14:V691)</f>
        <v>1.1026977864239973E-9</v>
      </c>
      <c r="W6" s="3">
        <f t="shared" ref="W6:W8" si="7">V6/U6</f>
        <v>0.43741692902208307</v>
      </c>
      <c r="Z6" s="2" t="s">
        <v>46</v>
      </c>
      <c r="AA6" s="3">
        <f t="shared" ref="AA6:AA8" si="8">SUM($Z$14:$Z$135)</f>
        <v>2.1413477224489981E-9</v>
      </c>
      <c r="AB6" s="3">
        <f>SUM(AB14:AB695)</f>
        <v>9.0386836191199794E-10</v>
      </c>
      <c r="AC6" s="3">
        <f t="shared" ref="AC6:AC7" si="9">AB6/AA6</f>
        <v>0.42210256299629356</v>
      </c>
      <c r="AF6" s="2" t="s">
        <v>46</v>
      </c>
      <c r="AG6" s="3">
        <f t="shared" ref="AG6:AG8" si="10">SUM($AF$14:$AF$143)</f>
        <v>1.2717250464360013E-9</v>
      </c>
      <c r="AH6" s="3">
        <f>SUM(AH14:AH452)</f>
        <v>5.2964944410299918E-10</v>
      </c>
      <c r="AI6" s="3">
        <f t="shared" ref="AI6:AI7" si="11">AH6/AG6</f>
        <v>0.41648109832179309</v>
      </c>
      <c r="AL6" s="2" t="s">
        <v>46</v>
      </c>
      <c r="AM6" s="3">
        <f t="shared" ref="AM6:AM8" si="12">SUM($AL$14:$AL$118)</f>
        <v>9.3900633191900074E-10</v>
      </c>
      <c r="AN6" s="3">
        <f>SUM(AN14:AN313)</f>
        <v>3.992862983609994E-10</v>
      </c>
      <c r="AO6" s="3">
        <f t="shared" ref="AO6:AO8" si="13">AN6/AM6</f>
        <v>0.42522215749599662</v>
      </c>
      <c r="AR6" s="2" t="s">
        <v>46</v>
      </c>
      <c r="AS6" s="3">
        <f t="shared" ref="AS6:AS8" si="14">SUM($AR$14:$AR$84)</f>
        <v>8.5331209055900031E-10</v>
      </c>
      <c r="AT6" s="3">
        <f>SUM(AT14:AT782)</f>
        <v>4.2500746945500168E-10</v>
      </c>
      <c r="AU6" s="3">
        <f t="shared" ref="AU6:AU8" si="15">AT6/AS6</f>
        <v>0.49806802711137199</v>
      </c>
    </row>
    <row r="7" spans="2:48" x14ac:dyDescent="0.25">
      <c r="B7" s="2" t="s">
        <v>47</v>
      </c>
      <c r="C7" s="3">
        <f t="shared" si="0"/>
        <v>7.2196966486529988E-9</v>
      </c>
      <c r="D7" s="3">
        <f>SUM(E14:E2227)</f>
        <v>3.2053291866189584E-9</v>
      </c>
      <c r="E7" s="3">
        <f t="shared" si="1"/>
        <v>0.44397006447867676</v>
      </c>
      <c r="H7" s="2" t="s">
        <v>47</v>
      </c>
      <c r="I7" s="3">
        <f t="shared" si="2"/>
        <v>3.1934515852530034E-9</v>
      </c>
      <c r="J7" s="3">
        <f>SUM(K14:K990)</f>
        <v>1.5021395180899948E-9</v>
      </c>
      <c r="K7" s="3">
        <f t="shared" si="3"/>
        <v>0.47038117785367545</v>
      </c>
      <c r="N7" s="2" t="s">
        <v>47</v>
      </c>
      <c r="O7" s="3">
        <f t="shared" si="4"/>
        <v>2.5845125621669978E-9</v>
      </c>
      <c r="P7" s="3">
        <f>SUM(Q14:Q934)</f>
        <v>1.1427303084480005E-9</v>
      </c>
      <c r="Q7" s="3">
        <f t="shared" si="5"/>
        <v>0.44214538755805949</v>
      </c>
      <c r="T7" s="2" t="s">
        <v>47</v>
      </c>
      <c r="U7" s="3">
        <f t="shared" si="6"/>
        <v>2.5209307488149994E-9</v>
      </c>
      <c r="V7" s="3">
        <f>SUM(W14:W726)</f>
        <v>1.1244471381609968E-9</v>
      </c>
      <c r="W7" s="3">
        <f t="shared" si="7"/>
        <v>0.44604443763064883</v>
      </c>
      <c r="Z7" s="2" t="s">
        <v>47</v>
      </c>
      <c r="AA7" s="3">
        <f t="shared" si="8"/>
        <v>2.1413477224489981E-9</v>
      </c>
      <c r="AB7" s="3">
        <f>SUM(AC14:AC840)</f>
        <v>8.7993405170699569E-10</v>
      </c>
      <c r="AC7" s="3">
        <f t="shared" si="9"/>
        <v>0.41092534504421369</v>
      </c>
      <c r="AF7" s="2" t="s">
        <v>47</v>
      </c>
      <c r="AG7" s="3">
        <f t="shared" si="10"/>
        <v>1.2717250464360013E-9</v>
      </c>
      <c r="AH7" s="3">
        <f>SUM(AI14:AI548)</f>
        <v>5.1494931887599766E-10</v>
      </c>
      <c r="AI7" s="3">
        <f t="shared" si="11"/>
        <v>0.40492189748022872</v>
      </c>
      <c r="AL7" s="2" t="s">
        <v>47</v>
      </c>
      <c r="AM7" s="3">
        <f t="shared" si="12"/>
        <v>9.3900633191900074E-10</v>
      </c>
      <c r="AN7" s="3">
        <f>SUM(AO14:AO368)</f>
        <v>3.8957945653399881E-10</v>
      </c>
      <c r="AO7" s="3">
        <f t="shared" si="13"/>
        <v>0.41488480246755588</v>
      </c>
      <c r="AR7" s="2" t="s">
        <v>47</v>
      </c>
      <c r="AS7" s="3">
        <f t="shared" si="14"/>
        <v>8.5331209055900031E-10</v>
      </c>
      <c r="AT7" s="3">
        <f>SUM(AU14:AU910)</f>
        <v>3.7695239759700224E-10</v>
      </c>
      <c r="AU7" s="3">
        <f t="shared" si="15"/>
        <v>0.44175208785576059</v>
      </c>
    </row>
    <row r="8" spans="2:48" x14ac:dyDescent="0.25">
      <c r="B8" s="2" t="s">
        <v>48</v>
      </c>
      <c r="C8" s="3">
        <f t="shared" si="0"/>
        <v>7.2196966486529988E-9</v>
      </c>
      <c r="D8" s="3">
        <f>SUM(F14:F1880)</f>
        <v>3.1505986568539907E-9</v>
      </c>
      <c r="E8" s="3">
        <f t="shared" si="1"/>
        <v>0.43638934018672482</v>
      </c>
      <c r="H8" s="2" t="s">
        <v>48</v>
      </c>
      <c r="I8" s="3">
        <f t="shared" si="2"/>
        <v>3.1934515852530034E-9</v>
      </c>
      <c r="J8" s="3">
        <f>SUM(L14:L825)</f>
        <v>1.438389308122997E-9</v>
      </c>
      <c r="K8" s="3">
        <f>J8/I8</f>
        <v>0.45041838578837873</v>
      </c>
      <c r="N8" s="2" t="s">
        <v>48</v>
      </c>
      <c r="O8" s="3">
        <f t="shared" si="4"/>
        <v>2.5845125621669978E-9</v>
      </c>
      <c r="P8" s="3">
        <f>SUM(R14:R823)</f>
        <v>1.1271383031719967E-9</v>
      </c>
      <c r="Q8" s="3">
        <f t="shared" si="5"/>
        <v>0.43611252646686377</v>
      </c>
      <c r="T8" s="2" t="s">
        <v>48</v>
      </c>
      <c r="U8" s="3">
        <f t="shared" si="6"/>
        <v>2.5209307488149994E-9</v>
      </c>
      <c r="V8" s="3">
        <f>SUM(X14:X658)</f>
        <v>1.1017089307819991E-9</v>
      </c>
      <c r="W8" s="3">
        <f t="shared" si="7"/>
        <v>0.43702467086804092</v>
      </c>
      <c r="Z8" s="2" t="s">
        <v>48</v>
      </c>
      <c r="AA8" s="3">
        <f t="shared" si="8"/>
        <v>2.1413477224489981E-9</v>
      </c>
      <c r="AB8" s="3">
        <f>SUM(AD14:AD704)</f>
        <v>8.6482370606799582E-10</v>
      </c>
      <c r="AC8" s="3">
        <f>AB8/AA8</f>
        <v>0.40386887986549036</v>
      </c>
      <c r="AF8" s="2" t="s">
        <v>48</v>
      </c>
      <c r="AG8" s="3">
        <f t="shared" si="10"/>
        <v>1.2717250464360013E-9</v>
      </c>
      <c r="AH8" s="3">
        <f>SUM(AJ14:AJ454)</f>
        <v>5.063807478879981E-10</v>
      </c>
      <c r="AI8" s="3">
        <f>AH8/AG8</f>
        <v>0.39818414311106465</v>
      </c>
      <c r="AL8" s="2" t="s">
        <v>48</v>
      </c>
      <c r="AM8" s="3">
        <f t="shared" si="12"/>
        <v>9.3900633191900074E-10</v>
      </c>
      <c r="AN8" s="3">
        <f>SUM(AP14:AP326)</f>
        <v>3.8024314734899971E-10</v>
      </c>
      <c r="AO8" s="3">
        <f t="shared" si="13"/>
        <v>0.40494204823083102</v>
      </c>
      <c r="AR8" s="2" t="s">
        <v>48</v>
      </c>
      <c r="AS8" s="3">
        <f t="shared" si="14"/>
        <v>8.5331209055900031E-10</v>
      </c>
      <c r="AT8" s="3">
        <f>SUM(AV14:AV1009)</f>
        <v>4.1296507175800161E-10</v>
      </c>
      <c r="AU8" s="3">
        <f t="shared" si="15"/>
        <v>0.48395549099447349</v>
      </c>
    </row>
    <row r="10" spans="2:48" x14ac:dyDescent="0.25">
      <c r="C10" s="4"/>
    </row>
    <row r="12" spans="2:48" x14ac:dyDescent="0.25">
      <c r="B12" s="48" t="s">
        <v>36</v>
      </c>
      <c r="C12" s="48"/>
      <c r="D12" s="48"/>
      <c r="E12" s="48"/>
      <c r="F12" s="48"/>
      <c r="H12" s="34" t="s">
        <v>37</v>
      </c>
      <c r="I12" s="32"/>
      <c r="J12" s="32"/>
      <c r="K12" s="32"/>
      <c r="L12" s="32"/>
      <c r="N12" s="34" t="s">
        <v>38</v>
      </c>
      <c r="O12" s="32"/>
      <c r="P12" s="32"/>
      <c r="Q12" s="32"/>
      <c r="R12" s="32"/>
      <c r="T12" s="34" t="s">
        <v>40</v>
      </c>
      <c r="U12" s="32"/>
      <c r="V12" s="32"/>
      <c r="W12" s="32"/>
      <c r="X12" s="32"/>
      <c r="Z12" s="34" t="s">
        <v>41</v>
      </c>
      <c r="AA12" s="32"/>
      <c r="AB12" s="32"/>
      <c r="AC12" s="32"/>
      <c r="AD12" s="32"/>
      <c r="AF12" s="34" t="s">
        <v>42</v>
      </c>
      <c r="AG12" s="32"/>
      <c r="AH12" s="32"/>
      <c r="AI12" s="32"/>
      <c r="AJ12" s="32"/>
      <c r="AL12" s="34" t="s">
        <v>43</v>
      </c>
      <c r="AM12" s="32"/>
      <c r="AN12" s="32"/>
      <c r="AO12" s="32"/>
      <c r="AP12" s="32"/>
      <c r="AR12" s="34" t="s">
        <v>44</v>
      </c>
      <c r="AS12" s="32"/>
      <c r="AT12" s="32"/>
      <c r="AU12" s="32"/>
      <c r="AV12" s="32"/>
    </row>
    <row r="13" spans="2:48" x14ac:dyDescent="0.25">
      <c r="B13" s="2" t="s">
        <v>39</v>
      </c>
      <c r="C13" s="2" t="s">
        <v>45</v>
      </c>
      <c r="D13" s="2" t="s">
        <v>46</v>
      </c>
      <c r="E13" s="2" t="s">
        <v>47</v>
      </c>
      <c r="F13" s="2" t="s">
        <v>48</v>
      </c>
      <c r="H13" s="2" t="s">
        <v>39</v>
      </c>
      <c r="I13" s="2" t="s">
        <v>45</v>
      </c>
      <c r="J13" s="2" t="s">
        <v>46</v>
      </c>
      <c r="K13" s="2" t="s">
        <v>47</v>
      </c>
      <c r="L13" s="2" t="s">
        <v>48</v>
      </c>
      <c r="N13" s="2" t="s">
        <v>39</v>
      </c>
      <c r="O13" s="2" t="s">
        <v>45</v>
      </c>
      <c r="P13" s="2" t="s">
        <v>46</v>
      </c>
      <c r="Q13" s="2" t="s">
        <v>47</v>
      </c>
      <c r="R13" s="2" t="s">
        <v>48</v>
      </c>
      <c r="T13" s="2" t="s">
        <v>39</v>
      </c>
      <c r="U13" s="2" t="s">
        <v>45</v>
      </c>
      <c r="V13" s="2" t="s">
        <v>46</v>
      </c>
      <c r="W13" s="2" t="s">
        <v>47</v>
      </c>
      <c r="X13" s="2" t="s">
        <v>48</v>
      </c>
      <c r="Z13" s="2" t="s">
        <v>39</v>
      </c>
      <c r="AA13" s="2" t="s">
        <v>45</v>
      </c>
      <c r="AB13" s="2" t="s">
        <v>46</v>
      </c>
      <c r="AC13" s="2" t="s">
        <v>47</v>
      </c>
      <c r="AD13" s="2" t="s">
        <v>48</v>
      </c>
      <c r="AF13" s="2" t="s">
        <v>39</v>
      </c>
      <c r="AG13" s="2" t="s">
        <v>45</v>
      </c>
      <c r="AH13" s="2" t="s">
        <v>46</v>
      </c>
      <c r="AI13" s="2" t="s">
        <v>47</v>
      </c>
      <c r="AJ13" s="2" t="s">
        <v>48</v>
      </c>
      <c r="AL13" s="2" t="s">
        <v>39</v>
      </c>
      <c r="AM13" s="2" t="s">
        <v>45</v>
      </c>
      <c r="AN13" s="2" t="s">
        <v>46</v>
      </c>
      <c r="AO13" s="2" t="s">
        <v>47</v>
      </c>
      <c r="AP13" s="2" t="s">
        <v>48</v>
      </c>
      <c r="AR13" s="2" t="s">
        <v>39</v>
      </c>
      <c r="AS13" s="2" t="s">
        <v>45</v>
      </c>
      <c r="AT13" s="2" t="s">
        <v>46</v>
      </c>
      <c r="AU13" s="2" t="s">
        <v>47</v>
      </c>
      <c r="AV13" s="2" t="s">
        <v>48</v>
      </c>
    </row>
    <row r="14" spans="2:48" x14ac:dyDescent="0.25">
      <c r="B14" s="7">
        <v>7.1972500000000001E-9</v>
      </c>
      <c r="C14" s="31">
        <v>4.9238899999999996E-9</v>
      </c>
      <c r="D14" s="5">
        <v>1.4814799999999999E-9</v>
      </c>
      <c r="E14" s="3">
        <v>1.46903E-9</v>
      </c>
      <c r="F14" s="30">
        <v>1.38709E-9</v>
      </c>
      <c r="H14" s="3">
        <v>3.1808399999999999E-9</v>
      </c>
      <c r="I14" s="3">
        <v>2.2541699999999999E-9</v>
      </c>
      <c r="J14" s="3">
        <v>7.7649500000000002E-10</v>
      </c>
      <c r="K14" s="3">
        <v>7.7597800000000003E-10</v>
      </c>
      <c r="L14" s="30">
        <v>7.4568800000000002E-10</v>
      </c>
      <c r="N14" s="31">
        <v>2.5750800000000002E-9</v>
      </c>
      <c r="O14" s="3">
        <v>1.7471700000000001E-9</v>
      </c>
      <c r="P14" s="3">
        <v>2.9500000000000002E-10</v>
      </c>
      <c r="Q14" s="3">
        <v>2.83711E-10</v>
      </c>
      <c r="R14" s="30">
        <v>2.8209000000000001E-10</v>
      </c>
      <c r="T14" s="31">
        <v>2.51224E-9</v>
      </c>
      <c r="U14" s="3">
        <v>1.78479E-9</v>
      </c>
      <c r="V14" s="3">
        <v>2.1776300000000001E-10</v>
      </c>
      <c r="W14" s="3">
        <v>2.2525400000000001E-10</v>
      </c>
      <c r="X14" s="35">
        <v>1.8682000000000001E-10</v>
      </c>
      <c r="Z14" s="31">
        <v>2.1310700000000002E-9</v>
      </c>
      <c r="AA14" s="3">
        <v>1.22635E-9</v>
      </c>
      <c r="AB14" s="3">
        <v>1.40891E-10</v>
      </c>
      <c r="AC14" s="3">
        <v>1.5437900000000001E-10</v>
      </c>
      <c r="AD14" s="30">
        <v>2.2151299999999999E-10</v>
      </c>
      <c r="AF14" s="31">
        <v>1.26424E-9</v>
      </c>
      <c r="AG14" s="3">
        <v>6.8691900000000003E-10</v>
      </c>
      <c r="AH14" s="3">
        <v>7.8111599999999995E-11</v>
      </c>
      <c r="AI14" s="3">
        <v>1.29103E-10</v>
      </c>
      <c r="AJ14" s="30">
        <v>1.4504700000000001E-10</v>
      </c>
      <c r="AL14" s="31">
        <v>9.3190400000000009E-10</v>
      </c>
      <c r="AM14" s="3">
        <v>5.5868199999999999E-10</v>
      </c>
      <c r="AN14" s="3">
        <v>1.4521699999999999E-10</v>
      </c>
      <c r="AO14" s="3">
        <v>1.41807E-10</v>
      </c>
      <c r="AP14" s="30">
        <v>1.29257E-10</v>
      </c>
      <c r="AR14" s="31">
        <v>8.44135E-10</v>
      </c>
      <c r="AS14" s="3">
        <v>5.1085199999999996E-10</v>
      </c>
      <c r="AT14" s="3">
        <v>2.33582E-10</v>
      </c>
      <c r="AU14" s="30">
        <v>1.36825E-12</v>
      </c>
      <c r="AV14" s="3">
        <v>2.21797E-10</v>
      </c>
    </row>
    <row r="15" spans="2:48" x14ac:dyDescent="0.25">
      <c r="B15" s="7">
        <v>1.15416E-12</v>
      </c>
      <c r="C15" s="31">
        <v>2.6179899999999998E-12</v>
      </c>
      <c r="D15" s="5">
        <v>7.5657599999999998E-11</v>
      </c>
      <c r="E15" s="3">
        <v>7.0413299999999998E-11</v>
      </c>
      <c r="F15" s="30">
        <v>6.9162399999999999E-11</v>
      </c>
      <c r="H15" s="3">
        <v>1.39327E-12</v>
      </c>
      <c r="I15" s="3">
        <v>4.0732000000000001E-12</v>
      </c>
      <c r="J15" s="3">
        <v>5.7096499999999998E-11</v>
      </c>
      <c r="K15" s="3">
        <v>5.7840300000000003E-11</v>
      </c>
      <c r="L15" s="30">
        <v>5.4209300000000002E-11</v>
      </c>
      <c r="N15" s="31">
        <v>5.5898199999999995E-13</v>
      </c>
      <c r="O15" s="3">
        <v>7.7520299999999996E-12</v>
      </c>
      <c r="P15" s="3">
        <v>1.16342E-10</v>
      </c>
      <c r="Q15" s="3">
        <v>1.0086800000000001E-10</v>
      </c>
      <c r="R15" s="30">
        <v>1.15497E-10</v>
      </c>
      <c r="T15" s="31">
        <v>1.27771E-12</v>
      </c>
      <c r="U15" s="3">
        <v>2.2974699999999999E-12</v>
      </c>
      <c r="V15" s="3">
        <v>1.15111E-10</v>
      </c>
      <c r="W15" s="3">
        <v>1.15116E-10</v>
      </c>
      <c r="X15" s="35">
        <v>1.1562400000000001E-10</v>
      </c>
      <c r="Z15" s="31">
        <v>6.2250700000000003E-13</v>
      </c>
      <c r="AA15" s="3">
        <v>1.58766E-11</v>
      </c>
      <c r="AB15" s="3">
        <v>8.6673100000000002E-11</v>
      </c>
      <c r="AC15" s="3">
        <v>6.8254899999999995E-11</v>
      </c>
      <c r="AD15" s="30">
        <v>3.4629299999999997E-11</v>
      </c>
      <c r="AF15" s="31">
        <v>5.3963799999999997E-13</v>
      </c>
      <c r="AG15" s="3">
        <v>9.3180099999999998E-12</v>
      </c>
      <c r="AH15" s="3">
        <v>7.0685399999999998E-11</v>
      </c>
      <c r="AI15" s="3">
        <v>2.6184400000000001E-11</v>
      </c>
      <c r="AJ15" s="30">
        <v>2.5583600000000001E-11</v>
      </c>
      <c r="AL15" s="31">
        <v>7.6540800000000002E-13</v>
      </c>
      <c r="AM15" s="3">
        <v>1.39194E-12</v>
      </c>
      <c r="AN15" s="3">
        <v>3.3569700000000001E-11</v>
      </c>
      <c r="AO15" s="3">
        <v>3.1763899999999998E-11</v>
      </c>
      <c r="AP15" s="30">
        <v>2.21393E-11</v>
      </c>
      <c r="AR15" s="31">
        <v>2.77307E-12</v>
      </c>
      <c r="AS15" s="3">
        <v>6.8774500000000003E-12</v>
      </c>
      <c r="AT15" s="3">
        <v>3.1747699999999997E-11</v>
      </c>
      <c r="AU15" s="30">
        <v>3.0978200000000001E-13</v>
      </c>
      <c r="AV15" s="3">
        <v>5.6876099999999999E-11</v>
      </c>
    </row>
    <row r="16" spans="2:48" x14ac:dyDescent="0.25">
      <c r="B16" s="7">
        <v>8.1831800000000005E-13</v>
      </c>
      <c r="C16" s="31">
        <v>2.351E-12</v>
      </c>
      <c r="D16" s="5">
        <v>7.0284799999999994E-11</v>
      </c>
      <c r="E16" s="3">
        <v>6.6334700000000004E-11</v>
      </c>
      <c r="F16" s="30">
        <v>6.5223699999999999E-11</v>
      </c>
      <c r="H16" s="3">
        <v>7.1048899999999996E-13</v>
      </c>
      <c r="I16" s="3">
        <v>2.19816E-12</v>
      </c>
      <c r="J16" s="3">
        <v>4.7736900000000002E-11</v>
      </c>
      <c r="K16" s="3">
        <v>4.7746599999999999E-11</v>
      </c>
      <c r="L16" s="30">
        <v>4.6252E-11</v>
      </c>
      <c r="N16" s="31">
        <v>5.3577000000000005E-13</v>
      </c>
      <c r="O16" s="3">
        <v>6.7832600000000003E-12</v>
      </c>
      <c r="P16" s="3">
        <v>7.5657599999999998E-11</v>
      </c>
      <c r="Q16" s="3">
        <v>6.6334700000000004E-11</v>
      </c>
      <c r="R16" s="30">
        <v>6.5223699999999999E-11</v>
      </c>
      <c r="T16" s="31">
        <v>3.7252999999999998E-13</v>
      </c>
      <c r="U16" s="3">
        <v>2.20315E-12</v>
      </c>
      <c r="V16" s="3">
        <v>9.4746999999999996E-11</v>
      </c>
      <c r="W16" s="3">
        <v>9.8031099999999998E-11</v>
      </c>
      <c r="X16" s="35">
        <v>8.5252200000000006E-11</v>
      </c>
      <c r="Z16" s="31">
        <v>6.0378600000000001E-13</v>
      </c>
      <c r="AA16" s="3">
        <v>3.8959200000000002E-12</v>
      </c>
      <c r="AB16" s="3">
        <v>3.5249600000000003E-11</v>
      </c>
      <c r="AC16" s="3">
        <v>3.4924899999999999E-11</v>
      </c>
      <c r="AD16" s="30">
        <v>2.82558E-11</v>
      </c>
      <c r="AF16" s="31">
        <v>5.2952899999999999E-13</v>
      </c>
      <c r="AG16" s="3">
        <v>6.3993599999999999E-12</v>
      </c>
      <c r="AH16" s="3">
        <v>2.7109699999999999E-11</v>
      </c>
      <c r="AI16" s="3">
        <v>2.1872200000000001E-11</v>
      </c>
      <c r="AJ16" s="30">
        <v>2.16265E-11</v>
      </c>
      <c r="AL16" s="31">
        <v>4.9745900000000001E-13</v>
      </c>
      <c r="AM16" s="3">
        <v>1.3717300000000001E-12</v>
      </c>
      <c r="AN16" s="3">
        <v>1.9435799999999998E-11</v>
      </c>
      <c r="AO16" s="3">
        <v>1.9378700000000001E-11</v>
      </c>
      <c r="AP16" s="30">
        <v>1.8801499999999999E-11</v>
      </c>
      <c r="AR16" s="31">
        <v>6.3573400000000005E-13</v>
      </c>
      <c r="AS16" s="3">
        <v>5.8239699999999999E-12</v>
      </c>
      <c r="AT16" s="3">
        <v>2.2821000000000001E-11</v>
      </c>
      <c r="AU16" s="30">
        <v>9.1811600000000004E-13</v>
      </c>
      <c r="AV16" s="3">
        <v>1.6668900000000001E-11</v>
      </c>
    </row>
    <row r="17" spans="2:48" x14ac:dyDescent="0.25">
      <c r="B17" s="7">
        <v>7.3881999999999998E-13</v>
      </c>
      <c r="C17" s="31">
        <v>1.6872699999999999E-12</v>
      </c>
      <c r="D17" s="5">
        <v>4.8732799999999997E-11</v>
      </c>
      <c r="E17" s="3">
        <v>4.8381699999999998E-11</v>
      </c>
      <c r="F17" s="30">
        <v>4.6433899999999997E-11</v>
      </c>
      <c r="H17" s="3">
        <v>5.9679599999999995E-13</v>
      </c>
      <c r="I17" s="3">
        <v>2.0220000000000001E-12</v>
      </c>
      <c r="J17" s="3">
        <v>4.1802299999999997E-11</v>
      </c>
      <c r="K17" s="3">
        <v>4.2908199999999998E-11</v>
      </c>
      <c r="L17" s="30">
        <v>4.4474500000000002E-11</v>
      </c>
      <c r="N17" s="31">
        <v>4.60889E-13</v>
      </c>
      <c r="O17" s="3">
        <v>2.5749399999999999E-12</v>
      </c>
      <c r="P17" s="3">
        <v>3.67699E-11</v>
      </c>
      <c r="Q17" s="3">
        <v>3.6918400000000001E-11</v>
      </c>
      <c r="R17" s="30">
        <v>3.6825599999999997E-11</v>
      </c>
      <c r="T17" s="31">
        <v>3.5406000000000001E-13</v>
      </c>
      <c r="U17" s="3">
        <v>1.42477E-12</v>
      </c>
      <c r="V17" s="3">
        <v>3.8411799999999998E-11</v>
      </c>
      <c r="W17" s="3">
        <v>3.9459300000000002E-11</v>
      </c>
      <c r="X17" s="35">
        <v>3.8463699999999999E-11</v>
      </c>
      <c r="Z17" s="31">
        <v>5.2952999999999997E-13</v>
      </c>
      <c r="AA17" s="3">
        <v>2.3865599999999999E-12</v>
      </c>
      <c r="AB17" s="3">
        <v>3.0030500000000003E-11</v>
      </c>
      <c r="AC17" s="3">
        <v>2.6596599999999999E-11</v>
      </c>
      <c r="AD17" s="30">
        <v>2.5993900000000001E-11</v>
      </c>
      <c r="AF17" s="31">
        <v>4.5876699999999996E-13</v>
      </c>
      <c r="AG17" s="3">
        <v>5.0538100000000003E-12</v>
      </c>
      <c r="AH17" s="3">
        <v>2.20538E-11</v>
      </c>
      <c r="AI17" s="3">
        <v>2.0014899999999999E-11</v>
      </c>
      <c r="AJ17" s="30">
        <v>1.98065E-11</v>
      </c>
      <c r="AL17" s="31">
        <v>4.29692E-13</v>
      </c>
      <c r="AM17" s="3">
        <v>1.10674E-12</v>
      </c>
      <c r="AN17" s="3">
        <v>1.5942299999999998E-11</v>
      </c>
      <c r="AO17" s="3">
        <v>1.5397600000000001E-11</v>
      </c>
      <c r="AP17" s="30">
        <v>1.4126599999999999E-11</v>
      </c>
      <c r="AR17" s="31">
        <v>5.2029399999999998E-13</v>
      </c>
      <c r="AS17" s="3">
        <v>5.5934100000000001E-12</v>
      </c>
      <c r="AT17" s="3">
        <v>1.0266E-11</v>
      </c>
      <c r="AU17" s="30">
        <v>5.9635799999999998E-14</v>
      </c>
      <c r="AV17" s="3">
        <v>9.0735000000000001E-12</v>
      </c>
    </row>
    <row r="18" spans="2:48" x14ac:dyDescent="0.25">
      <c r="B18" s="7">
        <v>7.2184699999999998E-13</v>
      </c>
      <c r="C18" s="31">
        <v>1.59382E-12</v>
      </c>
      <c r="D18" s="5">
        <v>4.4187700000000002E-11</v>
      </c>
      <c r="E18" s="3">
        <v>4.2152100000000002E-11</v>
      </c>
      <c r="F18" s="30">
        <v>4.1110599999999998E-11</v>
      </c>
      <c r="H18" s="3">
        <v>5.1966899999999997E-13</v>
      </c>
      <c r="I18" s="3">
        <v>1.9323000000000002E-12</v>
      </c>
      <c r="J18" s="3">
        <v>3.9188400000000003E-11</v>
      </c>
      <c r="K18" s="3">
        <v>3.9763199999999999E-11</v>
      </c>
      <c r="L18" s="30">
        <v>3.92739E-11</v>
      </c>
      <c r="N18" s="31">
        <v>4.6064000000000004E-13</v>
      </c>
      <c r="O18" s="3">
        <v>2.351E-12</v>
      </c>
      <c r="P18" s="3">
        <v>3.01398E-11</v>
      </c>
      <c r="Q18" s="3">
        <v>2.9721400000000002E-11</v>
      </c>
      <c r="R18" s="30">
        <v>2.8546799999999999E-11</v>
      </c>
      <c r="T18" s="31">
        <v>3.50066E-13</v>
      </c>
      <c r="U18" s="3">
        <v>1.2872799999999999E-12</v>
      </c>
      <c r="V18" s="3">
        <v>3.1893499999999997E-11</v>
      </c>
      <c r="W18" s="3">
        <v>2.7029600000000001E-11</v>
      </c>
      <c r="X18" s="35">
        <v>3.2273699999999999E-11</v>
      </c>
      <c r="Z18" s="31">
        <v>4.0734999999999998E-13</v>
      </c>
      <c r="AA18" s="3">
        <v>2.13304E-12</v>
      </c>
      <c r="AB18" s="3">
        <v>2.7563899999999999E-11</v>
      </c>
      <c r="AC18" s="3">
        <v>2.4788700000000002E-11</v>
      </c>
      <c r="AD18" s="30">
        <v>2.5749300000000001E-11</v>
      </c>
      <c r="AF18" s="31">
        <v>4.3031299999999998E-13</v>
      </c>
      <c r="AG18" s="3">
        <v>3.8959100000000001E-12</v>
      </c>
      <c r="AH18" s="3">
        <v>2.0491600000000001E-11</v>
      </c>
      <c r="AI18" s="3">
        <v>1.6329599999999999E-11</v>
      </c>
      <c r="AJ18" s="30">
        <v>1.5714900000000001E-11</v>
      </c>
      <c r="AL18" s="31">
        <v>3.43454E-13</v>
      </c>
      <c r="AM18" s="3">
        <v>1.08453E-12</v>
      </c>
      <c r="AN18" s="3">
        <v>1.5042100000000001E-11</v>
      </c>
      <c r="AO18" s="3">
        <v>1.4908799999999999E-11</v>
      </c>
      <c r="AP18" s="30">
        <v>1.3978300000000001E-11</v>
      </c>
      <c r="AR18" s="31">
        <v>5.1517700000000002E-13</v>
      </c>
      <c r="AS18" s="3">
        <v>5.1920500000000003E-12</v>
      </c>
      <c r="AT18" s="3">
        <v>8.2392199999999993E-12</v>
      </c>
      <c r="AU18" s="30">
        <v>1.26822E-11</v>
      </c>
      <c r="AV18" s="3">
        <v>5.0500799999999998E-12</v>
      </c>
    </row>
    <row r="19" spans="2:48" x14ac:dyDescent="0.25">
      <c r="B19" s="7">
        <v>6.6406399999999999E-13</v>
      </c>
      <c r="C19" s="31">
        <v>1.5893300000000001E-12</v>
      </c>
      <c r="D19" s="5">
        <v>4.0295699999999998E-11</v>
      </c>
      <c r="E19" s="3">
        <v>3.9502500000000001E-11</v>
      </c>
      <c r="F19" s="30">
        <v>3.8944700000000002E-11</v>
      </c>
      <c r="H19" s="3">
        <v>5.1779699999999996E-13</v>
      </c>
      <c r="I19" s="3">
        <v>1.6922599999999999E-12</v>
      </c>
      <c r="J19" s="3">
        <v>2.77911E-11</v>
      </c>
      <c r="K19" s="3">
        <v>2.82327E-11</v>
      </c>
      <c r="L19" s="30">
        <v>2.6772300000000001E-11</v>
      </c>
      <c r="N19" s="31">
        <v>4.1184199999999998E-13</v>
      </c>
      <c r="O19" s="3">
        <v>1.59382E-12</v>
      </c>
      <c r="P19" s="3">
        <v>2.71429E-11</v>
      </c>
      <c r="Q19" s="3">
        <v>2.2235000000000001E-11</v>
      </c>
      <c r="R19" s="30">
        <v>2.22389E-11</v>
      </c>
      <c r="T19" s="31">
        <v>3.3009799999999998E-13</v>
      </c>
      <c r="U19" s="3">
        <v>1.1959600000000001E-12</v>
      </c>
      <c r="V19" s="3">
        <v>2.6163400000000001E-11</v>
      </c>
      <c r="W19" s="3">
        <v>2.5050899999999999E-11</v>
      </c>
      <c r="X19" s="35">
        <v>3.1900100000000001E-11</v>
      </c>
      <c r="Z19" s="31">
        <v>3.5942599999999998E-13</v>
      </c>
      <c r="AA19" s="3">
        <v>1.9987999999999999E-12</v>
      </c>
      <c r="AB19" s="3">
        <v>2.4034200000000001E-11</v>
      </c>
      <c r="AC19" s="3">
        <v>2.3496600000000001E-11</v>
      </c>
      <c r="AD19" s="30">
        <v>2.0372399999999999E-11</v>
      </c>
      <c r="AF19" s="31">
        <v>4.07349E-13</v>
      </c>
      <c r="AG19" s="3">
        <v>3.2631199999999999E-12</v>
      </c>
      <c r="AH19" s="3">
        <v>1.59323E-11</v>
      </c>
      <c r="AI19" s="3">
        <v>1.5818400000000001E-11</v>
      </c>
      <c r="AJ19" s="30">
        <v>1.4588999999999999E-11</v>
      </c>
      <c r="AL19" s="31">
        <v>3.4070799999999998E-13</v>
      </c>
      <c r="AM19" s="3">
        <v>1.02702E-12</v>
      </c>
      <c r="AN19" s="3">
        <v>1.3038600000000001E-11</v>
      </c>
      <c r="AO19" s="3">
        <v>1.3208500000000001E-11</v>
      </c>
      <c r="AP19" s="30">
        <v>1.1773600000000001E-11</v>
      </c>
      <c r="AR19" s="31">
        <v>4.9832899999999999E-13</v>
      </c>
      <c r="AS19" s="3">
        <v>3.3054199999999999E-12</v>
      </c>
      <c r="AT19" s="3">
        <v>7.7210899999999994E-12</v>
      </c>
      <c r="AU19" s="30">
        <v>5.9411200000000002E-13</v>
      </c>
      <c r="AV19" s="3">
        <v>4.5316900000000001E-12</v>
      </c>
    </row>
    <row r="20" spans="2:48" x14ac:dyDescent="0.25">
      <c r="B20" s="7">
        <v>6.3248999999999996E-13</v>
      </c>
      <c r="C20" s="31">
        <v>1.5406699999999999E-12</v>
      </c>
      <c r="D20" s="5">
        <v>3.7049000000000002E-11</v>
      </c>
      <c r="E20" s="3">
        <v>3.7200900000000001E-11</v>
      </c>
      <c r="F20" s="30">
        <v>3.7127900000000001E-11</v>
      </c>
      <c r="H20" s="3">
        <v>4.17957E-13</v>
      </c>
      <c r="I20" s="3">
        <v>1.13458E-12</v>
      </c>
      <c r="J20" s="3">
        <v>2.2202699999999999E-11</v>
      </c>
      <c r="K20" s="3">
        <v>2.27311E-11</v>
      </c>
      <c r="L20" s="30">
        <v>2.2224700000000001E-11</v>
      </c>
      <c r="N20" s="31">
        <v>3.9761500000000002E-13</v>
      </c>
      <c r="O20" s="3">
        <v>1.53493E-12</v>
      </c>
      <c r="P20" s="3">
        <v>2.1207399999999999E-11</v>
      </c>
      <c r="Q20" s="3">
        <v>2.1341400000000001E-11</v>
      </c>
      <c r="R20" s="30">
        <v>1.99387E-11</v>
      </c>
      <c r="T20" s="31">
        <v>2.6956999999999998E-13</v>
      </c>
      <c r="U20" s="3">
        <v>8.9865300000000003E-13</v>
      </c>
      <c r="V20" s="3">
        <v>2.4571700000000001E-11</v>
      </c>
      <c r="W20" s="3">
        <v>1.95454E-11</v>
      </c>
      <c r="X20" s="35">
        <v>2.69623E-11</v>
      </c>
      <c r="Z20" s="31">
        <v>3.3471600000000002E-13</v>
      </c>
      <c r="AA20" s="3">
        <v>1.9485199999999999E-12</v>
      </c>
      <c r="AB20" s="3">
        <v>2.1346600000000001E-11</v>
      </c>
      <c r="AC20" s="3">
        <v>2.09365E-11</v>
      </c>
      <c r="AD20" s="30">
        <v>1.9595599999999999E-11</v>
      </c>
      <c r="AF20" s="31">
        <v>3.5942599999999998E-13</v>
      </c>
      <c r="AG20" s="3">
        <v>2.6834800000000002E-12</v>
      </c>
      <c r="AH20" s="3">
        <v>1.5332900000000001E-11</v>
      </c>
      <c r="AI20" s="3">
        <v>1.0690400000000001E-11</v>
      </c>
      <c r="AJ20" s="30">
        <v>9.1019300000000006E-12</v>
      </c>
      <c r="AL20" s="31">
        <v>2.88042E-13</v>
      </c>
      <c r="AM20" s="3">
        <v>9.4380599999999991E-13</v>
      </c>
      <c r="AN20" s="3">
        <v>1.1738599999999999E-11</v>
      </c>
      <c r="AO20" s="3">
        <v>1.2635600000000001E-11</v>
      </c>
      <c r="AP20" s="30">
        <v>1.0530499999999999E-11</v>
      </c>
      <c r="AR20" s="31">
        <v>3.9961199999999999E-13</v>
      </c>
      <c r="AS20" s="3">
        <v>2.6867299999999998E-12</v>
      </c>
      <c r="AT20" s="3">
        <v>4.6373700000000001E-12</v>
      </c>
      <c r="AU20" s="30">
        <v>2.4453200000000001E-13</v>
      </c>
      <c r="AV20" s="3">
        <v>4.4498499999999997E-12</v>
      </c>
    </row>
    <row r="21" spans="2:48" x14ac:dyDescent="0.25">
      <c r="B21" s="7">
        <v>6.07655E-13</v>
      </c>
      <c r="C21" s="31">
        <v>1.5349399999999999E-12</v>
      </c>
      <c r="D21" s="5">
        <v>3.6250400000000002E-11</v>
      </c>
      <c r="E21" s="3">
        <v>3.5785799999999999E-11</v>
      </c>
      <c r="F21" s="30">
        <v>3.4880599999999997E-11</v>
      </c>
      <c r="H21" s="3">
        <v>3.8163999999999998E-13</v>
      </c>
      <c r="I21" s="3">
        <v>1.0920299999999999E-12</v>
      </c>
      <c r="J21" s="3">
        <v>2.02533E-11</v>
      </c>
      <c r="K21" s="3">
        <v>2.0499000000000001E-11</v>
      </c>
      <c r="L21" s="30">
        <v>1.9899000000000002E-11</v>
      </c>
      <c r="N21" s="31">
        <v>3.5693000000000003E-13</v>
      </c>
      <c r="O21" s="3">
        <v>1.2120500000000001E-12</v>
      </c>
      <c r="P21" s="3">
        <v>2.0855100000000001E-11</v>
      </c>
      <c r="Q21" s="3">
        <v>2.02035E-11</v>
      </c>
      <c r="R21" s="30">
        <v>1.9149700000000001E-11</v>
      </c>
      <c r="T21" s="31">
        <v>2.6220600000000001E-13</v>
      </c>
      <c r="U21" s="3">
        <v>7.5692500000000003E-13</v>
      </c>
      <c r="V21" s="3">
        <v>1.9942300000000001E-11</v>
      </c>
      <c r="W21" s="3">
        <v>1.9208199999999999E-11</v>
      </c>
      <c r="X21" s="35">
        <v>2.6875800000000001E-11</v>
      </c>
      <c r="Z21" s="31">
        <v>2.89538E-13</v>
      </c>
      <c r="AA21" s="3">
        <v>1.8286199999999999E-12</v>
      </c>
      <c r="AB21" s="3">
        <v>2.0869899999999999E-11</v>
      </c>
      <c r="AC21" s="3">
        <v>2.02897E-11</v>
      </c>
      <c r="AD21" s="30">
        <v>1.5714900000000001E-11</v>
      </c>
      <c r="AF21" s="31">
        <v>2.4573300000000002E-13</v>
      </c>
      <c r="AG21" s="3">
        <v>2.3713300000000002E-12</v>
      </c>
      <c r="AH21" s="3">
        <v>1.1095E-11</v>
      </c>
      <c r="AI21" s="3">
        <v>9.8623400000000006E-12</v>
      </c>
      <c r="AJ21" s="30">
        <v>8.3808100000000001E-12</v>
      </c>
      <c r="AL21" s="31">
        <v>2.86544E-13</v>
      </c>
      <c r="AM21" s="3">
        <v>9.4205899999999995E-13</v>
      </c>
      <c r="AN21" s="3">
        <v>9.2824900000000004E-12</v>
      </c>
      <c r="AO21" s="3">
        <v>1.1730500000000001E-11</v>
      </c>
      <c r="AP21" s="30">
        <v>9.1710800000000005E-12</v>
      </c>
      <c r="AR21" s="31">
        <v>2.8354700000000002E-13</v>
      </c>
      <c r="AS21" s="3">
        <v>2.3623499999999999E-12</v>
      </c>
      <c r="AT21" s="3">
        <v>4.5964499999999999E-12</v>
      </c>
      <c r="AU21" s="30">
        <v>2.5201699999999999E-14</v>
      </c>
      <c r="AV21" s="3">
        <v>4.1982099999999997E-12</v>
      </c>
    </row>
    <row r="22" spans="2:48" x14ac:dyDescent="0.25">
      <c r="B22" s="7">
        <v>5.6272599999999998E-13</v>
      </c>
      <c r="C22" s="31">
        <v>1.3650100000000001E-12</v>
      </c>
      <c r="D22" s="5">
        <v>3.1586899999999998E-11</v>
      </c>
      <c r="E22" s="3">
        <v>3.1137899999999998E-11</v>
      </c>
      <c r="F22" s="30">
        <v>3.4227799999999998E-11</v>
      </c>
      <c r="H22" s="3">
        <v>3.3009700000000001E-13</v>
      </c>
      <c r="I22" s="3">
        <v>1.05286E-12</v>
      </c>
      <c r="J22" s="3">
        <v>1.4566799999999999E-11</v>
      </c>
      <c r="K22" s="3">
        <v>1.6813800000000001E-11</v>
      </c>
      <c r="L22" s="30">
        <v>1.6154400000000001E-11</v>
      </c>
      <c r="N22" s="31">
        <v>3.5156400000000001E-13</v>
      </c>
      <c r="O22" s="3">
        <v>1.1778699999999999E-12</v>
      </c>
      <c r="P22" s="3">
        <v>1.75574E-11</v>
      </c>
      <c r="Q22" s="3">
        <v>1.7422299999999999E-11</v>
      </c>
      <c r="R22" s="30">
        <v>1.7173500000000001E-11</v>
      </c>
      <c r="T22" s="31">
        <v>2.5097399999999998E-13</v>
      </c>
      <c r="U22" s="3">
        <v>7.5056200000000003E-13</v>
      </c>
      <c r="V22" s="3">
        <v>1.95142E-11</v>
      </c>
      <c r="W22" s="3">
        <v>1.87165E-11</v>
      </c>
      <c r="X22" s="35">
        <v>2.4018E-11</v>
      </c>
      <c r="Z22" s="31">
        <v>2.7880499999999999E-13</v>
      </c>
      <c r="AA22" s="3">
        <v>1.48141E-12</v>
      </c>
      <c r="AB22" s="3">
        <v>1.7046099999999999E-11</v>
      </c>
      <c r="AC22" s="3">
        <v>1.58185E-11</v>
      </c>
      <c r="AD22" s="30">
        <v>1.4641999999999998E-11</v>
      </c>
      <c r="AF22" s="31">
        <v>2.2975799999999998E-13</v>
      </c>
      <c r="AG22" s="3">
        <v>2.31082E-12</v>
      </c>
      <c r="AH22" s="3">
        <v>9.7306000000000006E-12</v>
      </c>
      <c r="AI22" s="3">
        <v>9.0107299999999995E-12</v>
      </c>
      <c r="AJ22" s="30">
        <v>7.8840099999999992E-12</v>
      </c>
      <c r="AL22" s="31">
        <v>2.84173E-13</v>
      </c>
      <c r="AM22" s="3">
        <v>9.2958300000000008E-13</v>
      </c>
      <c r="AN22" s="3">
        <v>8.0194199999999998E-12</v>
      </c>
      <c r="AO22" s="3">
        <v>8.2010700000000003E-12</v>
      </c>
      <c r="AP22" s="30">
        <v>7.6686000000000007E-12</v>
      </c>
      <c r="AR22" s="31">
        <v>2.6956900000000001E-13</v>
      </c>
      <c r="AS22" s="3">
        <v>1.9138300000000001E-12</v>
      </c>
      <c r="AT22" s="3">
        <v>3.9750099999999996E-12</v>
      </c>
      <c r="AU22" s="30">
        <v>7.7713599999999997E-13</v>
      </c>
      <c r="AV22" s="3">
        <v>3.8370300000000003E-12</v>
      </c>
    </row>
    <row r="23" spans="2:48" x14ac:dyDescent="0.25">
      <c r="B23" s="7">
        <v>5.3576899999999998E-13</v>
      </c>
      <c r="C23" s="31">
        <v>1.25709E-12</v>
      </c>
      <c r="D23" s="5">
        <v>3.1381100000000001E-11</v>
      </c>
      <c r="E23" s="3">
        <v>2.9671899999999998E-11</v>
      </c>
      <c r="F23" s="30">
        <v>3.0792999999999998E-11</v>
      </c>
      <c r="H23" s="3">
        <v>3.0750799999999998E-13</v>
      </c>
      <c r="I23" s="3">
        <v>8.6446899999999998E-13</v>
      </c>
      <c r="J23" s="3">
        <v>1.4245499999999999E-11</v>
      </c>
      <c r="K23" s="3">
        <v>1.4679400000000001E-11</v>
      </c>
      <c r="L23" s="30">
        <v>1.4530700000000001E-11</v>
      </c>
      <c r="N23" s="31">
        <v>2.7543499999999998E-13</v>
      </c>
      <c r="O23" s="3">
        <v>1.08268E-12</v>
      </c>
      <c r="P23" s="3">
        <v>1.5461300000000002E-11</v>
      </c>
      <c r="Q23" s="3">
        <v>1.5649299999999999E-11</v>
      </c>
      <c r="R23" s="30">
        <v>1.5480100000000001E-11</v>
      </c>
      <c r="T23" s="31">
        <v>2.4523300000000002E-13</v>
      </c>
      <c r="U23" s="3">
        <v>7.1775000000000005E-13</v>
      </c>
      <c r="V23" s="3">
        <v>1.80132E-11</v>
      </c>
      <c r="W23" s="3">
        <v>1.8622299999999999E-11</v>
      </c>
      <c r="X23" s="35">
        <v>1.9232300000000001E-11</v>
      </c>
      <c r="Z23" s="31">
        <v>2.5921099999999998E-13</v>
      </c>
      <c r="AA23" s="3">
        <v>1.4776699999999999E-12</v>
      </c>
      <c r="AB23" s="3">
        <v>1.5932399999999999E-11</v>
      </c>
      <c r="AC23" s="3">
        <v>1.5003099999999999E-11</v>
      </c>
      <c r="AD23" s="30">
        <v>1.4188999999999999E-11</v>
      </c>
      <c r="AF23" s="31">
        <v>2.2339300000000001E-13</v>
      </c>
      <c r="AG23" s="3">
        <v>2.13304E-12</v>
      </c>
      <c r="AH23" s="3">
        <v>9.3585599999999997E-12</v>
      </c>
      <c r="AI23" s="3">
        <v>8.9639400000000003E-12</v>
      </c>
      <c r="AJ23" s="30">
        <v>7.8392199999999994E-12</v>
      </c>
      <c r="AL23" s="31">
        <v>2.41616E-13</v>
      </c>
      <c r="AM23" s="3">
        <v>9.21474E-13</v>
      </c>
      <c r="AN23" s="3">
        <v>7.9138699999999997E-12</v>
      </c>
      <c r="AO23" s="3">
        <v>7.7717700000000001E-12</v>
      </c>
      <c r="AP23" s="30">
        <v>7.6118299999999999E-12</v>
      </c>
      <c r="AR23" s="31">
        <v>2.1553099999999999E-13</v>
      </c>
      <c r="AS23" s="3">
        <v>1.7745999999999999E-12</v>
      </c>
      <c r="AT23" s="3">
        <v>3.6300499999999999E-12</v>
      </c>
      <c r="AU23" s="30">
        <v>4.2257799999999998E-12</v>
      </c>
      <c r="AV23" s="3">
        <v>3.6129499999999999E-12</v>
      </c>
    </row>
    <row r="24" spans="2:48" x14ac:dyDescent="0.25">
      <c r="B24" s="7">
        <v>4.7012400000000001E-13</v>
      </c>
      <c r="C24" s="31">
        <v>1.2553500000000001E-12</v>
      </c>
      <c r="D24" s="5">
        <v>2.9874900000000001E-11</v>
      </c>
      <c r="E24" s="3">
        <v>2.84476E-11</v>
      </c>
      <c r="F24" s="30">
        <v>2.9902700000000003E-11</v>
      </c>
      <c r="H24" s="3">
        <v>2.9016100000000002E-13</v>
      </c>
      <c r="I24" s="3">
        <v>8.2803800000000003E-13</v>
      </c>
      <c r="J24" s="3">
        <v>1.2243399999999999E-11</v>
      </c>
      <c r="K24" s="3">
        <v>1.43146E-11</v>
      </c>
      <c r="L24" s="30">
        <v>1.32454E-11</v>
      </c>
      <c r="N24" s="31">
        <v>2.5995999999999998E-13</v>
      </c>
      <c r="O24" s="3">
        <v>9.0052500000000004E-13</v>
      </c>
      <c r="P24" s="3">
        <v>1.4752599999999999E-11</v>
      </c>
      <c r="Q24" s="3">
        <v>1.5330399999999999E-11</v>
      </c>
      <c r="R24" s="30">
        <v>1.42658E-11</v>
      </c>
      <c r="T24" s="31">
        <v>2.4173900000000002E-13</v>
      </c>
      <c r="U24" s="3">
        <v>6.9679E-13</v>
      </c>
      <c r="V24" s="3">
        <v>1.72689E-11</v>
      </c>
      <c r="W24" s="3">
        <v>1.7935399999999999E-11</v>
      </c>
      <c r="X24" s="35">
        <v>1.8279200000000001E-11</v>
      </c>
      <c r="Z24" s="31">
        <v>2.5421899999999998E-13</v>
      </c>
      <c r="AA24" s="3">
        <v>1.3224699999999999E-12</v>
      </c>
      <c r="AB24" s="3">
        <v>1.5713500000000001E-11</v>
      </c>
      <c r="AC24" s="3">
        <v>1.39819E-11</v>
      </c>
      <c r="AD24" s="30">
        <v>1.2652299999999999E-11</v>
      </c>
      <c r="AF24" s="31">
        <v>2.2052299999999999E-13</v>
      </c>
      <c r="AG24" s="3">
        <v>1.9987899999999998E-12</v>
      </c>
      <c r="AH24" s="3">
        <v>8.2098899999999995E-12</v>
      </c>
      <c r="AI24" s="3">
        <v>7.8895000000000003E-12</v>
      </c>
      <c r="AJ24" s="30">
        <v>7.4897699999999995E-12</v>
      </c>
      <c r="AL24" s="31">
        <v>1.9231900000000001E-13</v>
      </c>
      <c r="AM24" s="3">
        <v>8.0582200000000004E-13</v>
      </c>
      <c r="AN24" s="3">
        <v>7.3275E-12</v>
      </c>
      <c r="AO24" s="3">
        <v>7.15321E-12</v>
      </c>
      <c r="AP24" s="30">
        <v>7.02072E-12</v>
      </c>
      <c r="AR24" s="31">
        <v>2.12411E-13</v>
      </c>
      <c r="AS24" s="3">
        <v>1.73343E-12</v>
      </c>
      <c r="AT24" s="3">
        <v>3.5998499999999999E-12</v>
      </c>
      <c r="AU24" s="30">
        <v>8.3465099999999995E-14</v>
      </c>
      <c r="AV24" s="3">
        <v>3.3206399999999999E-12</v>
      </c>
    </row>
    <row r="25" spans="2:48" x14ac:dyDescent="0.25">
      <c r="B25" s="7">
        <v>4.60889E-13</v>
      </c>
      <c r="C25" s="31">
        <v>1.2143E-12</v>
      </c>
      <c r="D25" s="5">
        <v>2.9644699999999999E-11</v>
      </c>
      <c r="E25" s="3">
        <v>2.47482E-11</v>
      </c>
      <c r="F25" s="30">
        <v>2.4023900000000001E-11</v>
      </c>
      <c r="H25" s="3">
        <v>2.6570000000000002E-13</v>
      </c>
      <c r="I25" s="3">
        <v>8.0720300000000005E-13</v>
      </c>
      <c r="J25" s="3">
        <v>1.1125599999999999E-11</v>
      </c>
      <c r="K25" s="3">
        <v>1.10685E-11</v>
      </c>
      <c r="L25" s="30">
        <v>1.08017E-11</v>
      </c>
      <c r="N25" s="31">
        <v>2.5871200000000001E-13</v>
      </c>
      <c r="O25" s="3">
        <v>8.1693499999999999E-13</v>
      </c>
      <c r="P25" s="3">
        <v>1.42982E-11</v>
      </c>
      <c r="Q25" s="3">
        <v>1.4709800000000001E-11</v>
      </c>
      <c r="R25" s="30">
        <v>1.33569E-11</v>
      </c>
      <c r="T25" s="31">
        <v>2.2763700000000001E-13</v>
      </c>
      <c r="U25" s="3">
        <v>6.6460199999999996E-13</v>
      </c>
      <c r="V25" s="3">
        <v>1.4566799999999999E-11</v>
      </c>
      <c r="W25" s="3">
        <v>1.4679400000000001E-11</v>
      </c>
      <c r="X25" s="35">
        <v>1.8230700000000001E-11</v>
      </c>
      <c r="Z25" s="31">
        <v>2.4573300000000002E-13</v>
      </c>
      <c r="AA25" s="3">
        <v>1.2924E-12</v>
      </c>
      <c r="AB25" s="3">
        <v>1.33877E-11</v>
      </c>
      <c r="AC25" s="3">
        <v>1.28617E-11</v>
      </c>
      <c r="AD25" s="30">
        <v>9.9413399999999997E-12</v>
      </c>
      <c r="AF25" s="31">
        <v>2.1266E-13</v>
      </c>
      <c r="AG25" s="3">
        <v>1.9651099999999999E-12</v>
      </c>
      <c r="AH25" s="3">
        <v>8.1675900000000007E-12</v>
      </c>
      <c r="AI25" s="3">
        <v>7.5803400000000004E-12</v>
      </c>
      <c r="AJ25" s="30">
        <v>7.4792900000000001E-12</v>
      </c>
      <c r="AL25" s="31">
        <v>1.7646900000000001E-13</v>
      </c>
      <c r="AM25" s="3">
        <v>7.9920999999999998E-13</v>
      </c>
      <c r="AN25" s="3">
        <v>6.8873500000000001E-12</v>
      </c>
      <c r="AO25" s="3">
        <v>6.9122999999999999E-12</v>
      </c>
      <c r="AP25" s="30">
        <v>6.9416199999999997E-12</v>
      </c>
      <c r="AR25" s="31">
        <v>2.0779300000000001E-13</v>
      </c>
      <c r="AS25" s="3">
        <v>1.7087299999999999E-12</v>
      </c>
      <c r="AT25" s="3">
        <v>3.43717E-12</v>
      </c>
      <c r="AU25" s="30">
        <v>2.3868200000000001E-10</v>
      </c>
      <c r="AV25" s="3">
        <v>3.0833400000000001E-12</v>
      </c>
    </row>
    <row r="26" spans="2:48" x14ac:dyDescent="0.25">
      <c r="B26" s="7">
        <v>4.6063899999999997E-13</v>
      </c>
      <c r="C26" s="31">
        <v>1.18785E-12</v>
      </c>
      <c r="D26" s="5">
        <v>2.1495200000000002E-11</v>
      </c>
      <c r="E26" s="3">
        <v>2.1471500000000001E-11</v>
      </c>
      <c r="F26" s="30">
        <v>2.1674999999999999E-11</v>
      </c>
      <c r="H26" s="3">
        <v>2.62081E-13</v>
      </c>
      <c r="I26" s="3">
        <v>8.0420899999999999E-13</v>
      </c>
      <c r="J26" s="3">
        <v>9.84389E-12</v>
      </c>
      <c r="K26" s="3">
        <v>9.9994700000000004E-12</v>
      </c>
      <c r="L26" s="30">
        <v>9.9228599999999996E-12</v>
      </c>
      <c r="N26" s="31">
        <v>2.3462500000000002E-13</v>
      </c>
      <c r="O26" s="3">
        <v>8.03336E-13</v>
      </c>
      <c r="P26" s="3">
        <v>1.36037E-11</v>
      </c>
      <c r="Q26" s="3">
        <v>1.4306200000000001E-11</v>
      </c>
      <c r="R26" s="30">
        <v>1.2556800000000001E-11</v>
      </c>
      <c r="T26" s="31">
        <v>2.1877599999999999E-13</v>
      </c>
      <c r="U26" s="3">
        <v>6.2629999999999997E-13</v>
      </c>
      <c r="V26" s="3">
        <v>1.4443299999999999E-11</v>
      </c>
      <c r="W26" s="3">
        <v>1.32354E-11</v>
      </c>
      <c r="X26" s="35">
        <v>1.7873300000000001E-11</v>
      </c>
      <c r="Z26" s="31">
        <v>2.3762100000000002E-13</v>
      </c>
      <c r="AA26" s="3">
        <v>1.21692E-12</v>
      </c>
      <c r="AB26" s="3">
        <v>1.1095E-11</v>
      </c>
      <c r="AC26" s="3">
        <v>1.0295499999999999E-11</v>
      </c>
      <c r="AD26" s="30">
        <v>9.2999400000000005E-12</v>
      </c>
      <c r="AF26" s="31">
        <v>2.1266E-13</v>
      </c>
      <c r="AG26" s="3">
        <v>1.55078E-12</v>
      </c>
      <c r="AH26" s="3">
        <v>8.0772700000000004E-12</v>
      </c>
      <c r="AI26" s="3">
        <v>7.5173399999999996E-12</v>
      </c>
      <c r="AJ26" s="30">
        <v>7.0933999999999996E-12</v>
      </c>
      <c r="AL26" s="31">
        <v>1.7284999999999999E-13</v>
      </c>
      <c r="AM26" s="3">
        <v>6.0683100000000002E-13</v>
      </c>
      <c r="AN26" s="3">
        <v>5.0501399999999997E-12</v>
      </c>
      <c r="AO26" s="3">
        <v>5.0364200000000001E-12</v>
      </c>
      <c r="AP26" s="30">
        <v>6.1254400000000002E-12</v>
      </c>
      <c r="AR26" s="31">
        <v>1.99556E-13</v>
      </c>
      <c r="AS26" s="3">
        <v>1.43662E-12</v>
      </c>
      <c r="AT26" s="3">
        <v>3.4169499999999999E-12</v>
      </c>
      <c r="AU26" s="30">
        <v>1.98807E-12</v>
      </c>
      <c r="AV26" s="3">
        <v>2.6954599999999999E-12</v>
      </c>
    </row>
    <row r="27" spans="2:48" x14ac:dyDescent="0.25">
      <c r="B27" s="7">
        <v>4.4928200000000002E-13</v>
      </c>
      <c r="C27" s="31">
        <v>1.16639E-12</v>
      </c>
      <c r="D27" s="5">
        <v>2.0123299999999999E-11</v>
      </c>
      <c r="E27" s="3">
        <v>2.0834300000000001E-11</v>
      </c>
      <c r="F27" s="30">
        <v>2.1157499999999999E-11</v>
      </c>
      <c r="H27" s="3">
        <v>2.3861899999999998E-13</v>
      </c>
      <c r="I27" s="3">
        <v>7.6054300000000002E-13</v>
      </c>
      <c r="J27" s="3">
        <v>9.42494E-12</v>
      </c>
      <c r="K27" s="3">
        <v>9.6169500000000001E-12</v>
      </c>
      <c r="L27" s="30">
        <v>9.5530700000000002E-12</v>
      </c>
      <c r="N27" s="31">
        <v>2.1053900000000001E-13</v>
      </c>
      <c r="O27" s="3">
        <v>7.9784699999999996E-13</v>
      </c>
      <c r="P27" s="3">
        <v>1.3125E-11</v>
      </c>
      <c r="Q27" s="3">
        <v>1.3623700000000001E-11</v>
      </c>
      <c r="R27" s="30">
        <v>1.0378E-11</v>
      </c>
      <c r="T27" s="31">
        <v>2.18152E-13</v>
      </c>
      <c r="U27" s="3">
        <v>6.1519599999999996E-13</v>
      </c>
      <c r="V27" s="3">
        <v>1.4400499999999999E-11</v>
      </c>
      <c r="W27" s="3">
        <v>1.27431E-11</v>
      </c>
      <c r="X27" s="35">
        <v>1.4530700000000001E-11</v>
      </c>
      <c r="Z27" s="31">
        <v>2.37122E-13</v>
      </c>
      <c r="AA27" s="3">
        <v>1.2120500000000001E-12</v>
      </c>
      <c r="AB27" s="3">
        <v>1.04615E-11</v>
      </c>
      <c r="AC27" s="3">
        <v>9.8623700000000001E-12</v>
      </c>
      <c r="AD27" s="30">
        <v>9.0008899999999996E-12</v>
      </c>
      <c r="AF27" s="31">
        <v>2.01304E-13</v>
      </c>
      <c r="AG27" s="3">
        <v>1.5405499999999999E-12</v>
      </c>
      <c r="AH27" s="3">
        <v>7.6327400000000005E-12</v>
      </c>
      <c r="AI27" s="3">
        <v>7.1089999999999997E-12</v>
      </c>
      <c r="AJ27" s="30">
        <v>6.4361599999999999E-12</v>
      </c>
      <c r="AL27" s="31">
        <v>1.7135300000000001E-13</v>
      </c>
      <c r="AM27" s="3">
        <v>5.8150399999999998E-13</v>
      </c>
      <c r="AN27" s="3">
        <v>4.1853100000000001E-12</v>
      </c>
      <c r="AO27" s="3">
        <v>4.1428899999999999E-12</v>
      </c>
      <c r="AP27" s="30">
        <v>5.6146800000000001E-12</v>
      </c>
      <c r="AR27" s="31">
        <v>1.9593700000000001E-13</v>
      </c>
      <c r="AS27" s="3">
        <v>1.19296E-12</v>
      </c>
      <c r="AT27" s="3">
        <v>3.31552E-12</v>
      </c>
      <c r="AU27" s="30">
        <v>1.0462499999999999E-12</v>
      </c>
      <c r="AV27" s="3">
        <v>2.62984E-12</v>
      </c>
    </row>
    <row r="28" spans="2:48" x14ac:dyDescent="0.25">
      <c r="B28" s="7">
        <v>4.1421300000000002E-13</v>
      </c>
      <c r="C28" s="31">
        <v>1.1053800000000001E-12</v>
      </c>
      <c r="D28" s="5">
        <v>1.75574E-11</v>
      </c>
      <c r="E28" s="3">
        <v>1.7422299999999999E-11</v>
      </c>
      <c r="F28" s="30">
        <v>2.0162899999999998E-11</v>
      </c>
      <c r="H28" s="3">
        <v>2.36622E-13</v>
      </c>
      <c r="I28" s="3">
        <v>7.3821100000000001E-13</v>
      </c>
      <c r="J28" s="3">
        <v>8.8904699999999994E-12</v>
      </c>
      <c r="K28" s="3">
        <v>9.2253199999999997E-12</v>
      </c>
      <c r="L28" s="30">
        <v>8.7678300000000002E-12</v>
      </c>
      <c r="N28" s="31">
        <v>2.0242700000000001E-13</v>
      </c>
      <c r="O28" s="3">
        <v>7.49814E-13</v>
      </c>
      <c r="P28" s="3">
        <v>1.27578E-11</v>
      </c>
      <c r="Q28" s="3">
        <v>1.2978000000000001E-11</v>
      </c>
      <c r="R28" s="30">
        <v>9.9777600000000001E-12</v>
      </c>
      <c r="T28" s="31">
        <v>1.9880799999999999E-13</v>
      </c>
      <c r="U28" s="3">
        <v>5.4957199999999999E-13</v>
      </c>
      <c r="V28" s="3">
        <v>1.2658999999999999E-11</v>
      </c>
      <c r="W28" s="3">
        <v>1.14824E-11</v>
      </c>
      <c r="X28" s="35">
        <v>1.2842999999999999E-11</v>
      </c>
      <c r="Z28" s="31">
        <v>2.3337800000000002E-13</v>
      </c>
      <c r="AA28" s="3">
        <v>1.1078799999999999E-12</v>
      </c>
      <c r="AB28" s="3">
        <v>9.6373000000000005E-12</v>
      </c>
      <c r="AC28" s="3">
        <v>9.3950099999999996E-12</v>
      </c>
      <c r="AD28" s="30">
        <v>8.6330999999999996E-12</v>
      </c>
      <c r="AF28" s="31">
        <v>1.94689E-13</v>
      </c>
      <c r="AG28" s="3">
        <v>1.3731199999999999E-12</v>
      </c>
      <c r="AH28" s="3">
        <v>7.3782300000000006E-12</v>
      </c>
      <c r="AI28" s="3">
        <v>6.5046600000000003E-12</v>
      </c>
      <c r="AJ28" s="30">
        <v>6.2823299999999999E-12</v>
      </c>
      <c r="AL28" s="31">
        <v>1.6910600000000001E-13</v>
      </c>
      <c r="AM28" s="3">
        <v>5.5817400000000002E-13</v>
      </c>
      <c r="AN28" s="3">
        <v>4.1153199999999999E-12</v>
      </c>
      <c r="AO28" s="3">
        <v>3.8681699999999997E-12</v>
      </c>
      <c r="AP28" s="30">
        <v>4.18681E-12</v>
      </c>
      <c r="AR28" s="31">
        <v>1.9456399999999999E-13</v>
      </c>
      <c r="AS28" s="3">
        <v>1.14992E-12</v>
      </c>
      <c r="AT28" s="3">
        <v>3.00799E-12</v>
      </c>
      <c r="AU28" s="30">
        <v>8.09699E-14</v>
      </c>
      <c r="AV28" s="3">
        <v>2.5154299999999999E-12</v>
      </c>
    </row>
    <row r="29" spans="2:48" x14ac:dyDescent="0.25">
      <c r="B29" s="7">
        <v>4.0372999999999999E-13</v>
      </c>
      <c r="C29" s="31">
        <v>1.08542E-12</v>
      </c>
      <c r="D29" s="5">
        <v>1.7251700000000001E-11</v>
      </c>
      <c r="E29" s="3">
        <v>1.7172900000000001E-11</v>
      </c>
      <c r="F29" s="30">
        <v>1.7173500000000001E-11</v>
      </c>
      <c r="H29" s="3">
        <v>2.1453199999999999E-13</v>
      </c>
      <c r="I29" s="3">
        <v>6.9679E-13</v>
      </c>
      <c r="J29" s="3">
        <v>8.2469499999999993E-12</v>
      </c>
      <c r="K29" s="3">
        <v>8.8479200000000001E-12</v>
      </c>
      <c r="L29" s="30">
        <v>8.1757099999999997E-12</v>
      </c>
      <c r="N29" s="31">
        <v>2.0117900000000001E-13</v>
      </c>
      <c r="O29" s="3">
        <v>6.5661699999999997E-13</v>
      </c>
      <c r="P29" s="3">
        <v>1.2625200000000001E-11</v>
      </c>
      <c r="Q29" s="3">
        <v>1.2795399999999999E-11</v>
      </c>
      <c r="R29" s="30">
        <v>9.9573000000000008E-12</v>
      </c>
      <c r="T29" s="31">
        <v>1.8732600000000001E-13</v>
      </c>
      <c r="U29" s="3">
        <v>5.2911100000000003E-13</v>
      </c>
      <c r="V29" s="3">
        <v>1.09801E-11</v>
      </c>
      <c r="W29" s="3">
        <v>1.1117799999999999E-11</v>
      </c>
      <c r="X29" s="35">
        <v>1.07485E-11</v>
      </c>
      <c r="Z29" s="31">
        <v>2.3175500000000001E-13</v>
      </c>
      <c r="AA29" s="3">
        <v>1.10488E-12</v>
      </c>
      <c r="AB29" s="3">
        <v>9.4420499999999993E-12</v>
      </c>
      <c r="AC29" s="3">
        <v>9.2162299999999998E-12</v>
      </c>
      <c r="AD29" s="30">
        <v>8.2574399999999996E-12</v>
      </c>
      <c r="AF29" s="31">
        <v>1.92193E-13</v>
      </c>
      <c r="AG29" s="3">
        <v>1.3613899999999999E-12</v>
      </c>
      <c r="AH29" s="3">
        <v>6.6533700000000004E-12</v>
      </c>
      <c r="AI29" s="3">
        <v>6.27098E-12</v>
      </c>
      <c r="AJ29" s="30">
        <v>5.87549E-12</v>
      </c>
      <c r="AL29" s="31">
        <v>1.5225800000000001E-13</v>
      </c>
      <c r="AM29" s="3">
        <v>5.31101E-13</v>
      </c>
      <c r="AN29" s="3">
        <v>3.9938000000000002E-12</v>
      </c>
      <c r="AO29" s="3">
        <v>3.43775E-12</v>
      </c>
      <c r="AP29" s="30">
        <v>4.1379E-12</v>
      </c>
      <c r="AR29" s="31">
        <v>1.8345699999999999E-13</v>
      </c>
      <c r="AS29" s="3">
        <v>1.0256600000000001E-12</v>
      </c>
      <c r="AT29" s="3">
        <v>2.9398700000000001E-12</v>
      </c>
      <c r="AU29" s="30">
        <v>1.84522E-13</v>
      </c>
      <c r="AV29" s="3">
        <v>2.4795000000000001E-12</v>
      </c>
    </row>
    <row r="30" spans="2:48" x14ac:dyDescent="0.25">
      <c r="B30" s="7">
        <v>3.60674E-13</v>
      </c>
      <c r="C30" s="31">
        <v>1.08268E-12</v>
      </c>
      <c r="D30" s="5">
        <v>1.7203799999999999E-11</v>
      </c>
      <c r="E30" s="3">
        <v>1.6916300000000001E-11</v>
      </c>
      <c r="F30" s="30">
        <v>1.68676E-11</v>
      </c>
      <c r="H30" s="3">
        <v>2.13908E-13</v>
      </c>
      <c r="I30" s="3">
        <v>6.1631899999999997E-13</v>
      </c>
      <c r="J30" s="3">
        <v>7.9154599999999999E-12</v>
      </c>
      <c r="K30" s="3">
        <v>8.2948600000000005E-12</v>
      </c>
      <c r="L30" s="30">
        <v>8.0067800000000007E-12</v>
      </c>
      <c r="N30" s="31">
        <v>2.0092900000000001E-13</v>
      </c>
      <c r="O30" s="3">
        <v>6.4301799999999998E-13</v>
      </c>
      <c r="P30" s="3">
        <v>1.04925E-11</v>
      </c>
      <c r="Q30" s="3">
        <v>1.2187700000000001E-11</v>
      </c>
      <c r="R30" s="30">
        <v>9.9007800000000006E-12</v>
      </c>
      <c r="T30" s="31">
        <v>1.8420599999999999E-13</v>
      </c>
      <c r="U30" s="3">
        <v>5.1014799999999996E-13</v>
      </c>
      <c r="V30" s="3">
        <v>1.0437E-11</v>
      </c>
      <c r="W30" s="3">
        <v>1.08522E-11</v>
      </c>
      <c r="X30" s="35">
        <v>1.0431599999999999E-11</v>
      </c>
      <c r="Z30" s="31">
        <v>2.2339300000000001E-13</v>
      </c>
      <c r="AA30" s="3">
        <v>1.0828E-12</v>
      </c>
      <c r="AB30" s="3">
        <v>9.1312699999999997E-12</v>
      </c>
      <c r="AC30" s="3">
        <v>8.9140599999999993E-12</v>
      </c>
      <c r="AD30" s="30">
        <v>8.1437799999999999E-12</v>
      </c>
      <c r="AF30" s="31">
        <v>1.72475E-13</v>
      </c>
      <c r="AG30" s="3">
        <v>1.2924E-12</v>
      </c>
      <c r="AH30" s="3">
        <v>6.3402200000000002E-12</v>
      </c>
      <c r="AI30" s="3">
        <v>6.1223899999999997E-12</v>
      </c>
      <c r="AJ30" s="30">
        <v>5.5309000000000002E-12</v>
      </c>
      <c r="AL30" s="31">
        <v>1.49512E-13</v>
      </c>
      <c r="AM30" s="3">
        <v>5.1176400000000002E-13</v>
      </c>
      <c r="AN30" s="3">
        <v>3.6075499999999999E-12</v>
      </c>
      <c r="AO30" s="3">
        <v>3.3845999999999999E-12</v>
      </c>
      <c r="AP30" s="30">
        <v>3.8833900000000001E-12</v>
      </c>
      <c r="AR30" s="31">
        <v>1.78839E-13</v>
      </c>
      <c r="AS30" s="3">
        <v>9.6016099999999999E-13</v>
      </c>
      <c r="AT30" s="3">
        <v>2.7175400000000002E-12</v>
      </c>
      <c r="AU30" s="30">
        <v>5.7390100000000001E-15</v>
      </c>
      <c r="AV30" s="3">
        <v>2.4753799999999999E-12</v>
      </c>
    </row>
    <row r="31" spans="2:48" x14ac:dyDescent="0.25">
      <c r="B31" s="7">
        <v>3.0026999999999999E-13</v>
      </c>
      <c r="C31" s="31">
        <v>1.0526100000000001E-12</v>
      </c>
      <c r="D31" s="5">
        <v>1.7180099999999999E-11</v>
      </c>
      <c r="E31" s="3">
        <v>1.68704E-11</v>
      </c>
      <c r="F31" s="30">
        <v>1.68542E-11</v>
      </c>
      <c r="H31" s="3">
        <v>2.0716899999999999E-13</v>
      </c>
      <c r="I31" s="3">
        <v>5.6654000000000003E-13</v>
      </c>
      <c r="J31" s="3">
        <v>6.9070199999999998E-12</v>
      </c>
      <c r="K31" s="3">
        <v>7.9866999999999995E-12</v>
      </c>
      <c r="L31" s="30">
        <v>7.9905700000000008E-12</v>
      </c>
      <c r="N31" s="31">
        <v>1.93691E-13</v>
      </c>
      <c r="O31" s="3">
        <v>6.36156E-13</v>
      </c>
      <c r="P31" s="3">
        <v>1.0051000000000001E-11</v>
      </c>
      <c r="Q31" s="3">
        <v>1.0094799999999999E-11</v>
      </c>
      <c r="R31" s="30">
        <v>9.1181600000000008E-12</v>
      </c>
      <c r="T31" s="31">
        <v>1.7771600000000001E-13</v>
      </c>
      <c r="U31" s="3">
        <v>5.0590600000000003E-13</v>
      </c>
      <c r="V31" s="3">
        <v>1.03534E-11</v>
      </c>
      <c r="W31" s="3">
        <v>1.05772E-11</v>
      </c>
      <c r="X31" s="35">
        <v>1.03308E-11</v>
      </c>
      <c r="Z31" s="31">
        <v>2.17153E-13</v>
      </c>
      <c r="AA31" s="3">
        <v>1.03078E-12</v>
      </c>
      <c r="AB31" s="3">
        <v>8.7003400000000005E-12</v>
      </c>
      <c r="AC31" s="3">
        <v>8.6420800000000007E-12</v>
      </c>
      <c r="AD31" s="30">
        <v>8.0458499999999993E-12</v>
      </c>
      <c r="AF31" s="31">
        <v>1.66734E-13</v>
      </c>
      <c r="AG31" s="3">
        <v>1.2120500000000001E-12</v>
      </c>
      <c r="AH31" s="3">
        <v>5.82446E-12</v>
      </c>
      <c r="AI31" s="3">
        <v>5.8283299999999997E-12</v>
      </c>
      <c r="AJ31" s="30">
        <v>4.9769599999999998E-12</v>
      </c>
      <c r="AL31" s="31">
        <v>1.3803099999999999E-13</v>
      </c>
      <c r="AM31" s="3">
        <v>5.1001699999999997E-13</v>
      </c>
      <c r="AN31" s="3">
        <v>3.4781699999999999E-12</v>
      </c>
      <c r="AO31" s="3">
        <v>3.31012E-12</v>
      </c>
      <c r="AP31" s="30">
        <v>3.7800899999999999E-12</v>
      </c>
      <c r="AR31" s="31">
        <v>1.7110199999999999E-13</v>
      </c>
      <c r="AS31" s="3">
        <v>9.226079999999999E-13</v>
      </c>
      <c r="AT31" s="3">
        <v>2.2594200000000001E-12</v>
      </c>
      <c r="AU31" s="30">
        <v>2.8021299999999999E-13</v>
      </c>
      <c r="AV31" s="3">
        <v>2.3682100000000001E-12</v>
      </c>
    </row>
    <row r="32" spans="2:48" x14ac:dyDescent="0.25">
      <c r="B32" s="7">
        <v>2.9652600000000001E-13</v>
      </c>
      <c r="C32" s="31">
        <v>9.3233900000000007E-13</v>
      </c>
      <c r="D32" s="5">
        <v>1.7155800000000001E-11</v>
      </c>
      <c r="E32" s="3">
        <v>1.6812200000000001E-11</v>
      </c>
      <c r="F32" s="30">
        <v>1.6680700000000001E-11</v>
      </c>
      <c r="H32" s="3">
        <v>2.05796E-13</v>
      </c>
      <c r="I32" s="3">
        <v>5.4957199999999999E-13</v>
      </c>
      <c r="J32" s="3">
        <v>6.8694599999999997E-12</v>
      </c>
      <c r="K32" s="3">
        <v>7.4111799999999995E-12</v>
      </c>
      <c r="L32" s="30">
        <v>6.9666499999999996E-12</v>
      </c>
      <c r="N32" s="31">
        <v>1.77591E-13</v>
      </c>
      <c r="O32" s="3">
        <v>6.3603200000000001E-13</v>
      </c>
      <c r="P32" s="3">
        <v>9.7398399999999998E-12</v>
      </c>
      <c r="Q32" s="3">
        <v>9.9212500000000008E-12</v>
      </c>
      <c r="R32" s="30">
        <v>8.7823000000000007E-12</v>
      </c>
      <c r="T32" s="31">
        <v>1.6898E-13</v>
      </c>
      <c r="U32" s="3">
        <v>5.0366E-13</v>
      </c>
      <c r="V32" s="3">
        <v>1.0108600000000001E-11</v>
      </c>
      <c r="W32" s="3">
        <v>1.04062E-11</v>
      </c>
      <c r="X32" s="35">
        <v>1.0198E-11</v>
      </c>
      <c r="Z32" s="31">
        <v>2.12661E-13</v>
      </c>
      <c r="AA32" s="3">
        <v>1.0221700000000001E-12</v>
      </c>
      <c r="AB32" s="3">
        <v>8.4919899999999996E-12</v>
      </c>
      <c r="AC32" s="3">
        <v>8.2885100000000006E-12</v>
      </c>
      <c r="AD32" s="30">
        <v>7.8840299999999995E-12</v>
      </c>
      <c r="AF32" s="31">
        <v>1.4888699999999999E-13</v>
      </c>
      <c r="AG32" s="3">
        <v>1.1078799999999999E-12</v>
      </c>
      <c r="AH32" s="3">
        <v>5.4040200000000002E-12</v>
      </c>
      <c r="AI32" s="3">
        <v>5.0833799999999997E-12</v>
      </c>
      <c r="AJ32" s="30">
        <v>4.5804700000000002E-12</v>
      </c>
      <c r="AL32" s="31">
        <v>1.3528499999999999E-13</v>
      </c>
      <c r="AM32" s="3">
        <v>4.9217600000000004E-13</v>
      </c>
      <c r="AN32" s="3">
        <v>3.2840499999999999E-12</v>
      </c>
      <c r="AO32" s="3">
        <v>2.84489E-12</v>
      </c>
      <c r="AP32" s="30">
        <v>3.3787400000000002E-12</v>
      </c>
      <c r="AR32" s="31">
        <v>1.6099299999999999E-13</v>
      </c>
      <c r="AS32" s="3">
        <v>8.8318299999999999E-13</v>
      </c>
      <c r="AT32" s="3">
        <v>2.2390899999999999E-12</v>
      </c>
      <c r="AU32" s="30">
        <v>7.3609000000000002E-15</v>
      </c>
      <c r="AV32" s="3">
        <v>2.0055299999999998E-12</v>
      </c>
    </row>
    <row r="33" spans="2:48" x14ac:dyDescent="0.25">
      <c r="B33" s="7">
        <v>2.87042E-13</v>
      </c>
      <c r="C33" s="31">
        <v>9.0052500000000004E-13</v>
      </c>
      <c r="D33" s="5">
        <v>1.6844699999999999E-11</v>
      </c>
      <c r="E33" s="3">
        <v>1.6438899999999999E-11</v>
      </c>
      <c r="F33" s="30">
        <v>1.6271000000000001E-11</v>
      </c>
      <c r="H33" s="3">
        <v>1.82334E-13</v>
      </c>
      <c r="I33" s="3">
        <v>4.6149099999999996E-13</v>
      </c>
      <c r="J33" s="3">
        <v>6.7403399999999999E-12</v>
      </c>
      <c r="K33" s="3">
        <v>7.0418800000000003E-12</v>
      </c>
      <c r="L33" s="30">
        <v>6.6760800000000004E-12</v>
      </c>
      <c r="N33" s="31">
        <v>1.63739E-13</v>
      </c>
      <c r="O33" s="3">
        <v>6.2542699999999998E-13</v>
      </c>
      <c r="P33" s="3">
        <v>9.4133400000000004E-12</v>
      </c>
      <c r="Q33" s="3">
        <v>9.7886200000000008E-12</v>
      </c>
      <c r="R33" s="30">
        <v>8.3730899999999994E-12</v>
      </c>
      <c r="T33" s="31">
        <v>1.66235E-13</v>
      </c>
      <c r="U33" s="3">
        <v>4.76088E-13</v>
      </c>
      <c r="V33" s="3">
        <v>9.9249899999999997E-12</v>
      </c>
      <c r="W33" s="3">
        <v>9.3364899999999999E-12</v>
      </c>
      <c r="X33" s="35">
        <v>9.9362099999999997E-12</v>
      </c>
      <c r="Z33" s="31">
        <v>2.0879200000000001E-13</v>
      </c>
      <c r="AA33" s="3">
        <v>9.5379900000000006E-13</v>
      </c>
      <c r="AB33" s="3">
        <v>8.2099099999999997E-12</v>
      </c>
      <c r="AC33" s="3">
        <v>7.8895200000000005E-12</v>
      </c>
      <c r="AD33" s="30">
        <v>7.8392399999999996E-12</v>
      </c>
      <c r="AF33" s="31">
        <v>1.3453499999999999E-13</v>
      </c>
      <c r="AG33" s="3">
        <v>1.0221700000000001E-12</v>
      </c>
      <c r="AH33" s="3">
        <v>5.3056999999999999E-12</v>
      </c>
      <c r="AI33" s="3">
        <v>4.5752299999999997E-12</v>
      </c>
      <c r="AJ33" s="30">
        <v>4.3950699999999998E-12</v>
      </c>
      <c r="AL33" s="31">
        <v>1.2904500000000001E-13</v>
      </c>
      <c r="AM33" s="3">
        <v>4.84691E-13</v>
      </c>
      <c r="AN33" s="3">
        <v>2.9539300000000001E-12</v>
      </c>
      <c r="AO33" s="3">
        <v>2.4654999999999999E-12</v>
      </c>
      <c r="AP33" s="30">
        <v>3.3435599999999999E-12</v>
      </c>
      <c r="AR33" s="31">
        <v>1.5924599999999999E-13</v>
      </c>
      <c r="AS33" s="3">
        <v>8.4899900000000005E-13</v>
      </c>
      <c r="AT33" s="3">
        <v>2.1670999999999999E-12</v>
      </c>
      <c r="AU33" s="30">
        <v>1.40231E-13</v>
      </c>
      <c r="AV33" s="3">
        <v>1.9860699999999998E-12</v>
      </c>
    </row>
    <row r="34" spans="2:48" x14ac:dyDescent="0.25">
      <c r="B34" s="7">
        <v>2.8529399999999998E-13</v>
      </c>
      <c r="C34" s="31">
        <v>8.8967099999999996E-13</v>
      </c>
      <c r="D34" s="5">
        <v>1.64156E-11</v>
      </c>
      <c r="E34" s="3">
        <v>1.5814299999999999E-11</v>
      </c>
      <c r="F34" s="30">
        <v>1.5789799999999999E-11</v>
      </c>
      <c r="H34" s="3">
        <v>1.8046199999999999E-13</v>
      </c>
      <c r="I34" s="3">
        <v>4.5625099999999997E-13</v>
      </c>
      <c r="J34" s="3">
        <v>6.4357900000000004E-12</v>
      </c>
      <c r="K34" s="3">
        <v>6.8708399999999998E-12</v>
      </c>
      <c r="L34" s="30">
        <v>6.5533199999999998E-12</v>
      </c>
      <c r="N34" s="31">
        <v>1.6261500000000001E-13</v>
      </c>
      <c r="O34" s="3">
        <v>6.0322000000000003E-13</v>
      </c>
      <c r="P34" s="3">
        <v>8.7002099999999997E-12</v>
      </c>
      <c r="Q34" s="3">
        <v>9.5397299999999994E-12</v>
      </c>
      <c r="R34" s="30">
        <v>7.9173300000000002E-12</v>
      </c>
      <c r="T34" s="31">
        <v>1.64487E-13</v>
      </c>
      <c r="U34" s="3">
        <v>4.6011899999999999E-13</v>
      </c>
      <c r="V34" s="3">
        <v>8.9527200000000002E-12</v>
      </c>
      <c r="W34" s="3">
        <v>9.3242600000000001E-12</v>
      </c>
      <c r="X34" s="35">
        <v>9.0314500000000003E-12</v>
      </c>
      <c r="Z34" s="31">
        <v>2.0467299999999999E-13</v>
      </c>
      <c r="AA34" s="3">
        <v>9.3907699999999996E-13</v>
      </c>
      <c r="AB34" s="3">
        <v>8.0901399999999997E-12</v>
      </c>
      <c r="AC34" s="3">
        <v>7.5803600000000006E-12</v>
      </c>
      <c r="AD34" s="30">
        <v>7.4897800000000004E-12</v>
      </c>
      <c r="AF34" s="31">
        <v>1.33662E-13</v>
      </c>
      <c r="AG34" s="3">
        <v>9.1923800000000009E-13</v>
      </c>
      <c r="AH34" s="3">
        <v>4.6562000000000003E-12</v>
      </c>
      <c r="AI34" s="3">
        <v>4.4226499999999999E-12</v>
      </c>
      <c r="AJ34" s="30">
        <v>4.2856600000000001E-12</v>
      </c>
      <c r="AL34" s="31">
        <v>1.27298E-13</v>
      </c>
      <c r="AM34" s="3">
        <v>4.83942E-13</v>
      </c>
      <c r="AN34" s="3">
        <v>2.7059100000000001E-12</v>
      </c>
      <c r="AO34" s="3">
        <v>2.4607600000000001E-12</v>
      </c>
      <c r="AP34" s="30">
        <v>2.9467E-12</v>
      </c>
      <c r="AR34" s="31">
        <v>1.3353699999999999E-13</v>
      </c>
      <c r="AS34" s="3">
        <v>8.1369100000000001E-13</v>
      </c>
      <c r="AT34" s="3">
        <v>2.1295499999999999E-12</v>
      </c>
      <c r="AU34" s="30">
        <v>2.9942599999999999E-15</v>
      </c>
      <c r="AV34" s="3">
        <v>1.84559E-12</v>
      </c>
    </row>
    <row r="35" spans="2:48" x14ac:dyDescent="0.25">
      <c r="B35" s="7">
        <v>2.7942899999999998E-13</v>
      </c>
      <c r="C35" s="31">
        <v>8.6771299999999996E-13</v>
      </c>
      <c r="D35" s="5">
        <v>1.5802700000000001E-11</v>
      </c>
      <c r="E35" s="3">
        <v>1.5649299999999999E-11</v>
      </c>
      <c r="F35" s="30">
        <v>1.5778699999999999E-11</v>
      </c>
      <c r="H35" s="3">
        <v>1.75345E-13</v>
      </c>
      <c r="I35" s="3">
        <v>4.55752E-13</v>
      </c>
      <c r="J35" s="3">
        <v>5.9356300000000002E-12</v>
      </c>
      <c r="K35" s="3">
        <v>6.5252500000000003E-12</v>
      </c>
      <c r="L35" s="30">
        <v>6.2325600000000003E-12</v>
      </c>
      <c r="N35" s="31">
        <v>1.6011900000000001E-13</v>
      </c>
      <c r="O35" s="3">
        <v>5.7028299999999998E-13</v>
      </c>
      <c r="P35" s="3">
        <v>8.4350899999999998E-12</v>
      </c>
      <c r="Q35" s="3">
        <v>8.76945E-12</v>
      </c>
      <c r="R35" s="30">
        <v>7.7469100000000006E-12</v>
      </c>
      <c r="T35" s="31">
        <v>1.6074299999999999E-13</v>
      </c>
      <c r="U35" s="3">
        <v>4.5625099999999997E-13</v>
      </c>
      <c r="V35" s="3">
        <v>8.42998E-12</v>
      </c>
      <c r="W35" s="3">
        <v>9.2197100000000005E-12</v>
      </c>
      <c r="X35" s="35">
        <v>8.6866100000000007E-12</v>
      </c>
      <c r="Z35" s="31">
        <v>1.9768500000000001E-13</v>
      </c>
      <c r="AA35" s="3">
        <v>9.3870299999999994E-13</v>
      </c>
      <c r="AB35" s="3">
        <v>8.0772799999999997E-12</v>
      </c>
      <c r="AC35" s="3">
        <v>7.5173599999999998E-12</v>
      </c>
      <c r="AD35" s="30">
        <v>7.4792999999999994E-12</v>
      </c>
      <c r="AF35" s="31">
        <v>1.2829500000000001E-13</v>
      </c>
      <c r="AG35" s="3">
        <v>7.8312399999999999E-13</v>
      </c>
      <c r="AH35" s="3">
        <v>4.5202100000000002E-12</v>
      </c>
      <c r="AI35" s="3">
        <v>4.4210200000000001E-12</v>
      </c>
      <c r="AJ35" s="30">
        <v>4.1105000000000003E-12</v>
      </c>
      <c r="AL35" s="31">
        <v>1.11822E-13</v>
      </c>
      <c r="AM35" s="3">
        <v>4.6747400000000001E-13</v>
      </c>
      <c r="AN35" s="3">
        <v>2.5197699999999999E-12</v>
      </c>
      <c r="AO35" s="3">
        <v>2.3770400000000001E-12</v>
      </c>
      <c r="AP35" s="30">
        <v>2.7463300000000001E-12</v>
      </c>
      <c r="AR35" s="31">
        <v>1.2842E-13</v>
      </c>
      <c r="AS35" s="3">
        <v>7.30725E-13</v>
      </c>
      <c r="AT35" s="3">
        <v>2.02637E-12</v>
      </c>
      <c r="AU35" s="30">
        <v>1.37275E-12</v>
      </c>
      <c r="AV35" s="3">
        <v>1.77934E-12</v>
      </c>
    </row>
    <row r="36" spans="2:48" x14ac:dyDescent="0.25">
      <c r="B36" s="7">
        <v>2.7543499999999998E-13</v>
      </c>
      <c r="C36" s="31">
        <v>8.1693499999999999E-13</v>
      </c>
      <c r="D36" s="5">
        <v>1.5461300000000002E-11</v>
      </c>
      <c r="E36" s="3">
        <v>1.5153499999999998E-11</v>
      </c>
      <c r="F36" s="30">
        <v>1.5757699999999999E-11</v>
      </c>
      <c r="H36" s="3">
        <v>1.7447100000000001E-13</v>
      </c>
      <c r="I36" s="3">
        <v>4.5088600000000002E-13</v>
      </c>
      <c r="J36" s="3">
        <v>5.7317699999999999E-12</v>
      </c>
      <c r="K36" s="3">
        <v>6.0968199999999999E-12</v>
      </c>
      <c r="L36" s="30">
        <v>5.7978899999999996E-12</v>
      </c>
      <c r="N36" s="31">
        <v>1.56126E-13</v>
      </c>
      <c r="O36" s="3">
        <v>5.31108E-13</v>
      </c>
      <c r="P36" s="3">
        <v>8.3944200000000001E-12</v>
      </c>
      <c r="Q36" s="3">
        <v>8.4610400000000001E-12</v>
      </c>
      <c r="R36" s="30">
        <v>7.4572200000000004E-12</v>
      </c>
      <c r="T36" s="31">
        <v>1.5949499999999999E-13</v>
      </c>
      <c r="U36" s="3">
        <v>4.5250800000000001E-13</v>
      </c>
      <c r="V36" s="3">
        <v>8.1352900000000006E-12</v>
      </c>
      <c r="W36" s="3">
        <v>8.4820000000000004E-12</v>
      </c>
      <c r="X36" s="35">
        <v>8.0422199999999992E-12</v>
      </c>
      <c r="Z36" s="31">
        <v>1.9730999999999999E-13</v>
      </c>
      <c r="AA36" s="3">
        <v>9.3820400000000007E-13</v>
      </c>
      <c r="AB36" s="3">
        <v>7.6327600000000007E-12</v>
      </c>
      <c r="AC36" s="3">
        <v>7.1555500000000001E-12</v>
      </c>
      <c r="AD36" s="30">
        <v>6.9815099999999998E-12</v>
      </c>
      <c r="AF36" s="31">
        <v>1.27172E-13</v>
      </c>
      <c r="AG36" s="3">
        <v>7.65158E-13</v>
      </c>
      <c r="AH36" s="3">
        <v>4.3936999999999997E-12</v>
      </c>
      <c r="AI36" s="3">
        <v>4.3071199999999999E-12</v>
      </c>
      <c r="AJ36" s="30">
        <v>4.1011399999999996E-12</v>
      </c>
      <c r="AL36" s="31">
        <v>1.0321100000000001E-13</v>
      </c>
      <c r="AM36" s="3">
        <v>4.5986400000000001E-13</v>
      </c>
      <c r="AN36" s="3">
        <v>2.4854600000000002E-12</v>
      </c>
      <c r="AO36" s="3">
        <v>2.1774299999999999E-12</v>
      </c>
      <c r="AP36" s="30">
        <v>2.5822700000000001E-12</v>
      </c>
      <c r="AR36" s="31">
        <v>1.03709E-13</v>
      </c>
      <c r="AS36" s="3">
        <v>6.29295E-13</v>
      </c>
      <c r="AT36" s="3">
        <v>2.0079E-12</v>
      </c>
      <c r="AU36" s="30">
        <v>3.6650999999999998E-12</v>
      </c>
      <c r="AV36" s="3">
        <v>1.7330600000000001E-12</v>
      </c>
    </row>
    <row r="37" spans="2:48" x14ac:dyDescent="0.25">
      <c r="B37" s="7">
        <v>2.5995999999999998E-13</v>
      </c>
      <c r="C37" s="31">
        <v>7.7863399999999997E-13</v>
      </c>
      <c r="D37" s="5">
        <v>1.5067E-11</v>
      </c>
      <c r="E37" s="3">
        <v>1.4709800000000001E-11</v>
      </c>
      <c r="F37" s="30">
        <v>1.5480100000000001E-11</v>
      </c>
      <c r="H37" s="3">
        <v>1.70977E-13</v>
      </c>
      <c r="I37" s="3">
        <v>4.41404E-13</v>
      </c>
      <c r="J37" s="3">
        <v>5.5730699999999998E-12</v>
      </c>
      <c r="K37" s="3">
        <v>6.0034999999999996E-12</v>
      </c>
      <c r="L37" s="30">
        <v>5.5453799999999999E-12</v>
      </c>
      <c r="N37" s="31">
        <v>1.54129E-13</v>
      </c>
      <c r="O37" s="3">
        <v>5.1314200000000002E-13</v>
      </c>
      <c r="P37" s="3">
        <v>7.8165300000000004E-12</v>
      </c>
      <c r="Q37" s="3">
        <v>7.9528900000000001E-12</v>
      </c>
      <c r="R37" s="30">
        <v>7.0479999999999999E-12</v>
      </c>
      <c r="T37" s="31">
        <v>1.5749899999999999E-13</v>
      </c>
      <c r="U37" s="3">
        <v>4.18199E-13</v>
      </c>
      <c r="V37" s="3">
        <v>7.6875199999999995E-12</v>
      </c>
      <c r="W37" s="3">
        <v>7.9936900000000004E-12</v>
      </c>
      <c r="X37" s="35">
        <v>7.6031800000000003E-12</v>
      </c>
      <c r="Z37" s="31">
        <v>1.94689E-13</v>
      </c>
      <c r="AA37" s="3">
        <v>9.1924000000000003E-13</v>
      </c>
      <c r="AB37" s="3">
        <v>7.3241000000000003E-12</v>
      </c>
      <c r="AC37" s="3">
        <v>6.5519599999999999E-12</v>
      </c>
      <c r="AD37" s="30">
        <v>6.3523400000000004E-12</v>
      </c>
      <c r="AF37" s="31">
        <v>1.2392699999999999E-13</v>
      </c>
      <c r="AG37" s="3">
        <v>7.4631900000000002E-13</v>
      </c>
      <c r="AH37" s="3">
        <v>4.1950799999999999E-12</v>
      </c>
      <c r="AI37" s="3">
        <v>4.1919600000000002E-12</v>
      </c>
      <c r="AJ37" s="30">
        <v>3.8643399999999997E-12</v>
      </c>
      <c r="AL37" s="31">
        <v>1.0171300000000001E-13</v>
      </c>
      <c r="AM37" s="3">
        <v>4.4040099999999999E-13</v>
      </c>
      <c r="AN37" s="3">
        <v>2.2254600000000001E-12</v>
      </c>
      <c r="AO37" s="3">
        <v>1.7946700000000001E-12</v>
      </c>
      <c r="AP37" s="30">
        <v>2.5095399999999998E-12</v>
      </c>
      <c r="AR37" s="31">
        <v>8.3491599999999995E-14</v>
      </c>
      <c r="AS37" s="3">
        <v>6.1943799999999999E-13</v>
      </c>
      <c r="AT37" s="3">
        <v>1.6821500000000001E-12</v>
      </c>
      <c r="AU37" s="30">
        <v>7.5605199999999999E-14</v>
      </c>
      <c r="AV37" s="3">
        <v>1.6992500000000001E-12</v>
      </c>
    </row>
    <row r="38" spans="2:48" x14ac:dyDescent="0.25">
      <c r="B38" s="7">
        <v>2.5871200000000001E-13</v>
      </c>
      <c r="C38" s="31">
        <v>7.6403700000000003E-13</v>
      </c>
      <c r="D38" s="5">
        <v>1.49598E-11</v>
      </c>
      <c r="E38" s="3">
        <v>1.40112E-11</v>
      </c>
      <c r="F38" s="30">
        <v>1.5042200000000001E-11</v>
      </c>
      <c r="H38" s="3">
        <v>1.70228E-13</v>
      </c>
      <c r="I38" s="3">
        <v>4.2094299999999999E-13</v>
      </c>
      <c r="J38" s="3">
        <v>5.4747600000000004E-12</v>
      </c>
      <c r="K38" s="3">
        <v>5.6490499999999996E-12</v>
      </c>
      <c r="L38" s="30">
        <v>5.5441299999999997E-12</v>
      </c>
      <c r="N38" s="31">
        <v>1.5075900000000001E-13</v>
      </c>
      <c r="O38" s="3">
        <v>4.9954300000000003E-13</v>
      </c>
      <c r="P38" s="3">
        <v>7.4826699999999997E-12</v>
      </c>
      <c r="Q38" s="3">
        <v>7.9276899999999997E-12</v>
      </c>
      <c r="R38" s="30">
        <v>6.8200600000000003E-12</v>
      </c>
      <c r="T38" s="31">
        <v>1.5674999999999999E-13</v>
      </c>
      <c r="U38" s="3">
        <v>4.12585E-13</v>
      </c>
      <c r="V38" s="3">
        <v>7.2960199999999998E-12</v>
      </c>
      <c r="W38" s="3">
        <v>7.2219100000000003E-12</v>
      </c>
      <c r="X38" s="35">
        <v>7.1070099999999996E-12</v>
      </c>
      <c r="Z38" s="31">
        <v>1.92193E-13</v>
      </c>
      <c r="AA38" s="3">
        <v>8.6758899999999997E-13</v>
      </c>
      <c r="AB38" s="3">
        <v>6.6296800000000001E-12</v>
      </c>
      <c r="AC38" s="3">
        <v>6.3679300000000003E-12</v>
      </c>
      <c r="AD38" s="30">
        <v>6.21523E-12</v>
      </c>
      <c r="AF38" s="31">
        <v>1.1693800000000001E-13</v>
      </c>
      <c r="AG38" s="3">
        <v>7.1038800000000002E-13</v>
      </c>
      <c r="AH38" s="3">
        <v>4.1898400000000002E-12</v>
      </c>
      <c r="AI38" s="3">
        <v>4.1318300000000002E-12</v>
      </c>
      <c r="AJ38" s="30">
        <v>3.8630900000000003E-12</v>
      </c>
      <c r="AL38" s="31">
        <v>9.1105100000000001E-14</v>
      </c>
      <c r="AM38" s="3">
        <v>4.2156299999999999E-13</v>
      </c>
      <c r="AN38" s="3">
        <v>1.8383299999999999E-12</v>
      </c>
      <c r="AO38" s="3">
        <v>1.51458E-12</v>
      </c>
      <c r="AP38" s="30">
        <v>2.4581399999999999E-12</v>
      </c>
      <c r="AR38" s="31">
        <v>8.1494799999999996E-14</v>
      </c>
      <c r="AS38" s="3">
        <v>6.0259599999999999E-13</v>
      </c>
      <c r="AT38" s="3">
        <v>1.58209E-12</v>
      </c>
      <c r="AU38" s="30">
        <v>1.7048600000000001E-12</v>
      </c>
      <c r="AV38" s="3">
        <v>1.6756700000000001E-12</v>
      </c>
    </row>
    <row r="39" spans="2:48" x14ac:dyDescent="0.25">
      <c r="B39" s="7">
        <v>2.5434399999999999E-13</v>
      </c>
      <c r="C39" s="31">
        <v>7.49814E-13</v>
      </c>
      <c r="D39" s="5">
        <v>1.4752599999999999E-11</v>
      </c>
      <c r="E39" s="3">
        <v>1.3623700000000001E-11</v>
      </c>
      <c r="F39" s="30">
        <v>1.4037400000000001E-11</v>
      </c>
      <c r="H39" s="3">
        <v>1.6935399999999999E-13</v>
      </c>
      <c r="I39" s="3">
        <v>4.0734500000000002E-13</v>
      </c>
      <c r="J39" s="3">
        <v>4.8197699999999998E-12</v>
      </c>
      <c r="K39" s="3">
        <v>5.6243500000000004E-12</v>
      </c>
      <c r="L39" s="30">
        <v>5.1229299999999999E-12</v>
      </c>
      <c r="N39" s="31">
        <v>1.4751400000000001E-13</v>
      </c>
      <c r="O39" s="3">
        <v>4.9268100000000005E-13</v>
      </c>
      <c r="P39" s="3">
        <v>6.7060300000000003E-12</v>
      </c>
      <c r="Q39" s="3">
        <v>7.4590900000000007E-12</v>
      </c>
      <c r="R39" s="30">
        <v>6.5234999999999998E-12</v>
      </c>
      <c r="T39" s="31">
        <v>1.31415E-13</v>
      </c>
      <c r="U39" s="3">
        <v>4.0597199999999998E-13</v>
      </c>
      <c r="V39" s="3">
        <v>6.58713E-12</v>
      </c>
      <c r="W39" s="3">
        <v>6.8705900000000001E-12</v>
      </c>
      <c r="X39" s="35">
        <v>6.4118400000000003E-12</v>
      </c>
      <c r="Z39" s="31">
        <v>1.7821600000000001E-13</v>
      </c>
      <c r="AA39" s="3">
        <v>8.4101500000000003E-13</v>
      </c>
      <c r="AB39" s="3">
        <v>6.4944399999999999E-12</v>
      </c>
      <c r="AC39" s="3">
        <v>6.2575200000000002E-12</v>
      </c>
      <c r="AD39" s="30">
        <v>6.1428599999999999E-12</v>
      </c>
      <c r="AF39" s="31">
        <v>1.1668900000000001E-13</v>
      </c>
      <c r="AG39" s="3">
        <v>7.0889099999999999E-13</v>
      </c>
      <c r="AH39" s="3">
        <v>4.0291500000000001E-12</v>
      </c>
      <c r="AI39" s="3">
        <v>4.1317000000000003E-12</v>
      </c>
      <c r="AJ39" s="30">
        <v>3.8614699999999997E-12</v>
      </c>
      <c r="AL39" s="31">
        <v>8.98571E-14</v>
      </c>
      <c r="AM39" s="3">
        <v>4.0596799999999999E-13</v>
      </c>
      <c r="AN39" s="3">
        <v>1.70147E-12</v>
      </c>
      <c r="AO39" s="3">
        <v>1.4519500000000001E-12</v>
      </c>
      <c r="AP39" s="30">
        <v>2.4220800000000001E-12</v>
      </c>
      <c r="AR39" s="31">
        <v>7.9497999999999996E-14</v>
      </c>
      <c r="AS39" s="3">
        <v>5.73402E-13</v>
      </c>
      <c r="AT39" s="3">
        <v>1.46232E-12</v>
      </c>
      <c r="AU39" s="30">
        <v>2.2495700000000001E-12</v>
      </c>
      <c r="AV39" s="3">
        <v>1.6605700000000001E-12</v>
      </c>
    </row>
    <row r="40" spans="2:48" x14ac:dyDescent="0.25">
      <c r="B40" s="7">
        <v>2.3724599999999999E-13</v>
      </c>
      <c r="C40" s="31">
        <v>7.2074499999999997E-13</v>
      </c>
      <c r="D40" s="5">
        <v>1.4009200000000001E-11</v>
      </c>
      <c r="E40" s="3">
        <v>1.36154E-11</v>
      </c>
      <c r="F40" s="30">
        <v>1.3908400000000001E-11</v>
      </c>
      <c r="H40" s="3">
        <v>1.6898E-13</v>
      </c>
      <c r="I40" s="3">
        <v>3.73909E-13</v>
      </c>
      <c r="J40" s="3">
        <v>4.7202100000000001E-12</v>
      </c>
      <c r="K40" s="3">
        <v>5.0579299999999996E-12</v>
      </c>
      <c r="L40" s="30">
        <v>4.6912599999999999E-12</v>
      </c>
      <c r="N40" s="31">
        <v>1.4738999999999999E-13</v>
      </c>
      <c r="O40" s="3">
        <v>4.8394800000000003E-13</v>
      </c>
      <c r="P40" s="3">
        <v>6.5862600000000003E-12</v>
      </c>
      <c r="Q40" s="3">
        <v>7.0532400000000003E-12</v>
      </c>
      <c r="R40" s="30">
        <v>6.4372900000000003E-12</v>
      </c>
      <c r="T40" s="31">
        <v>1.2867E-13</v>
      </c>
      <c r="U40" s="3">
        <v>4.0222900000000002E-13</v>
      </c>
      <c r="V40" s="3">
        <v>5.7807999999999998E-12</v>
      </c>
      <c r="W40" s="3">
        <v>6.7963599999999999E-12</v>
      </c>
      <c r="X40" s="35">
        <v>6.2460300000000002E-12</v>
      </c>
      <c r="Z40" s="31">
        <v>1.72475E-13</v>
      </c>
      <c r="AA40" s="3">
        <v>7.46945E-13</v>
      </c>
      <c r="AB40" s="3">
        <v>6.3615700000000003E-12</v>
      </c>
      <c r="AC40" s="3">
        <v>6.1587099999999997E-12</v>
      </c>
      <c r="AD40" s="30">
        <v>5.5309100000000003E-12</v>
      </c>
      <c r="AF40" s="31">
        <v>9.9341399999999997E-14</v>
      </c>
      <c r="AG40" s="3">
        <v>6.5200000000000005E-13</v>
      </c>
      <c r="AH40" s="3">
        <v>4.0007100000000002E-12</v>
      </c>
      <c r="AI40" s="3">
        <v>3.9111299999999997E-12</v>
      </c>
      <c r="AJ40" s="30">
        <v>3.79036E-12</v>
      </c>
      <c r="AL40" s="31">
        <v>8.8858699999999994E-14</v>
      </c>
      <c r="AM40" s="3">
        <v>3.9511400000000001E-13</v>
      </c>
      <c r="AN40" s="3">
        <v>1.5312999999999999E-12</v>
      </c>
      <c r="AO40" s="3">
        <v>1.3575099999999999E-12</v>
      </c>
      <c r="AP40" s="30">
        <v>2.1421200000000002E-12</v>
      </c>
      <c r="AR40" s="31">
        <v>6.7517100000000004E-14</v>
      </c>
      <c r="AS40" s="3">
        <v>5.7215400000000003E-13</v>
      </c>
      <c r="AT40" s="3">
        <v>1.4210300000000001E-12</v>
      </c>
      <c r="AU40" s="30">
        <v>7.3484199999999994E-14</v>
      </c>
      <c r="AV40" s="3">
        <v>1.47168E-12</v>
      </c>
    </row>
    <row r="41" spans="2:48" x14ac:dyDescent="0.25">
      <c r="B41" s="7">
        <v>2.3462500000000002E-13</v>
      </c>
      <c r="C41" s="31">
        <v>6.7183800000000005E-13</v>
      </c>
      <c r="D41" s="5">
        <v>1.3801400000000001E-11</v>
      </c>
      <c r="E41" s="3">
        <v>1.35131E-11</v>
      </c>
      <c r="F41" s="30">
        <v>1.34499E-11</v>
      </c>
      <c r="H41" s="3">
        <v>1.6885499999999999E-13</v>
      </c>
      <c r="I41" s="3">
        <v>3.6692200000000001E-13</v>
      </c>
      <c r="J41" s="3">
        <v>4.4225300000000001E-12</v>
      </c>
      <c r="K41" s="3">
        <v>4.8857600000000004E-12</v>
      </c>
      <c r="L41" s="30">
        <v>4.4109200000000004E-12</v>
      </c>
      <c r="N41" s="31">
        <v>1.4589199999999999E-13</v>
      </c>
      <c r="O41" s="3">
        <v>4.8082900000000001E-13</v>
      </c>
      <c r="P41" s="3">
        <v>6.4021100000000001E-12</v>
      </c>
      <c r="Q41" s="3">
        <v>6.6067200000000003E-12</v>
      </c>
      <c r="R41" s="30">
        <v>6.3166499999999997E-12</v>
      </c>
      <c r="T41" s="31">
        <v>1.2505000000000001E-13</v>
      </c>
      <c r="U41" s="3">
        <v>3.86135E-13</v>
      </c>
      <c r="V41" s="3">
        <v>5.7482399999999997E-12</v>
      </c>
      <c r="W41" s="3">
        <v>6.1281399999999998E-12</v>
      </c>
      <c r="X41" s="35">
        <v>6.0039999999999999E-12</v>
      </c>
      <c r="Z41" s="31">
        <v>1.6985399999999999E-13</v>
      </c>
      <c r="AA41" s="3">
        <v>7.3234799999999996E-13</v>
      </c>
      <c r="AB41" s="3">
        <v>6.35833E-12</v>
      </c>
      <c r="AC41" s="3">
        <v>6.1223999999999998E-12</v>
      </c>
      <c r="AD41" s="30">
        <v>5.4166299999999997E-12</v>
      </c>
      <c r="AF41" s="31">
        <v>8.5114099999999997E-14</v>
      </c>
      <c r="AG41" s="3">
        <v>6.3528200000000004E-13</v>
      </c>
      <c r="AH41" s="3">
        <v>3.9672700000000003E-12</v>
      </c>
      <c r="AI41" s="3">
        <v>3.8760700000000001E-12</v>
      </c>
      <c r="AJ41" s="30">
        <v>3.6949199999999998E-12</v>
      </c>
      <c r="AL41" s="31">
        <v>8.78603E-14</v>
      </c>
      <c r="AM41" s="3">
        <v>3.8538200000000001E-13</v>
      </c>
      <c r="AN41" s="3">
        <v>1.3271899999999999E-12</v>
      </c>
      <c r="AO41" s="3">
        <v>1.31808E-12</v>
      </c>
      <c r="AP41" s="30">
        <v>1.9690799999999999E-12</v>
      </c>
      <c r="AR41" s="31">
        <v>5.8281900000000004E-14</v>
      </c>
      <c r="AS41" s="3">
        <v>5.2075299999999999E-13</v>
      </c>
      <c r="AT41" s="3">
        <v>1.3312E-12</v>
      </c>
      <c r="AU41" s="30">
        <v>4.2387599999999996E-12</v>
      </c>
      <c r="AV41" s="3">
        <v>1.4659399999999999E-12</v>
      </c>
    </row>
    <row r="42" spans="2:48" x14ac:dyDescent="0.25">
      <c r="B42" s="7">
        <v>2.3325199999999998E-13</v>
      </c>
      <c r="C42" s="31">
        <v>6.6135799999999998E-13</v>
      </c>
      <c r="D42" s="5">
        <v>1.36037E-11</v>
      </c>
      <c r="E42" s="3">
        <v>1.32581E-11</v>
      </c>
      <c r="F42" s="30">
        <v>1.33569E-11</v>
      </c>
      <c r="H42" s="3">
        <v>1.66733E-13</v>
      </c>
      <c r="I42" s="3">
        <v>3.3386E-13</v>
      </c>
      <c r="J42" s="3">
        <v>4.2675699999999998E-12</v>
      </c>
      <c r="K42" s="3">
        <v>4.7205799999999997E-12</v>
      </c>
      <c r="L42" s="30">
        <v>4.3955800000000001E-12</v>
      </c>
      <c r="N42" s="31">
        <v>1.4564199999999999E-13</v>
      </c>
      <c r="O42" s="3">
        <v>4.7820899999999997E-13</v>
      </c>
      <c r="P42" s="3">
        <v>6.3503400000000002E-12</v>
      </c>
      <c r="Q42" s="3">
        <v>6.5758999999999999E-12</v>
      </c>
      <c r="R42" s="30">
        <v>6.1530900000000004E-12</v>
      </c>
      <c r="T42" s="31">
        <v>1.17562E-13</v>
      </c>
      <c r="U42" s="3">
        <v>3.7727700000000002E-13</v>
      </c>
      <c r="V42" s="3">
        <v>5.7417499999999998E-12</v>
      </c>
      <c r="W42" s="3">
        <v>6.0046199999999999E-12</v>
      </c>
      <c r="X42" s="35">
        <v>5.9333800000000003E-12</v>
      </c>
      <c r="Z42" s="31">
        <v>1.5075900000000001E-13</v>
      </c>
      <c r="AA42" s="3">
        <v>7.32223E-13</v>
      </c>
      <c r="AB42" s="3">
        <v>6.0484200000000002E-12</v>
      </c>
      <c r="AC42" s="3">
        <v>5.7591000000000004E-12</v>
      </c>
      <c r="AD42" s="30">
        <v>5.2581800000000001E-12</v>
      </c>
      <c r="AF42" s="31">
        <v>6.8889999999999997E-14</v>
      </c>
      <c r="AG42" s="3">
        <v>5.9885199999999996E-13</v>
      </c>
      <c r="AH42" s="3">
        <v>3.4896899999999998E-12</v>
      </c>
      <c r="AI42" s="3">
        <v>3.8630900000000003E-12</v>
      </c>
      <c r="AJ42" s="30">
        <v>3.4278E-12</v>
      </c>
      <c r="AL42" s="31">
        <v>8.6737099999999997E-14</v>
      </c>
      <c r="AM42" s="3">
        <v>3.6779100000000001E-13</v>
      </c>
      <c r="AN42" s="3">
        <v>1.2786599999999999E-12</v>
      </c>
      <c r="AO42" s="3">
        <v>1.2005600000000001E-12</v>
      </c>
      <c r="AP42" s="30">
        <v>1.8042699999999999E-12</v>
      </c>
      <c r="AR42" s="31">
        <v>4.9421100000000003E-14</v>
      </c>
      <c r="AS42" s="3">
        <v>5.0465800000000005E-13</v>
      </c>
      <c r="AT42" s="3">
        <v>1.28392E-12</v>
      </c>
      <c r="AU42" s="30">
        <v>8.8992000000000001E-13</v>
      </c>
      <c r="AV42" s="3">
        <v>1.43488E-12</v>
      </c>
    </row>
    <row r="43" spans="2:48" x14ac:dyDescent="0.25">
      <c r="B43" s="7">
        <v>2.2014800000000001E-13</v>
      </c>
      <c r="C43" s="31">
        <v>6.5661699999999997E-13</v>
      </c>
      <c r="D43" s="5">
        <v>1.27578E-11</v>
      </c>
      <c r="E43" s="3">
        <v>1.2978000000000001E-11</v>
      </c>
      <c r="F43" s="30">
        <v>1.31956E-11</v>
      </c>
      <c r="H43" s="3">
        <v>1.63738E-13</v>
      </c>
      <c r="I43" s="3">
        <v>3.2787199999999999E-13</v>
      </c>
      <c r="J43" s="3">
        <v>4.1789899999999997E-12</v>
      </c>
      <c r="K43" s="3">
        <v>4.2260300000000003E-12</v>
      </c>
      <c r="L43" s="30">
        <v>4.2768099999999998E-12</v>
      </c>
      <c r="N43" s="31">
        <v>1.4189799999999999E-13</v>
      </c>
      <c r="O43" s="3">
        <v>4.7097299999999998E-13</v>
      </c>
      <c r="P43" s="3">
        <v>5.1811999999999998E-12</v>
      </c>
      <c r="Q43" s="3">
        <v>6.4701100000000002E-12</v>
      </c>
      <c r="R43" s="30">
        <v>6.0985700000000003E-12</v>
      </c>
      <c r="T43" s="31">
        <v>1.08077E-13</v>
      </c>
      <c r="U43" s="3">
        <v>3.7715200000000001E-13</v>
      </c>
      <c r="V43" s="3">
        <v>5.72466E-12</v>
      </c>
      <c r="W43" s="3">
        <v>5.9184099999999996E-12</v>
      </c>
      <c r="X43" s="35">
        <v>5.8621399999999999E-12</v>
      </c>
      <c r="Z43" s="31">
        <v>1.4888699999999999E-13</v>
      </c>
      <c r="AA43" s="3">
        <v>7.1038999999999996E-13</v>
      </c>
      <c r="AB43" s="3">
        <v>5.42411E-12</v>
      </c>
      <c r="AC43" s="3">
        <v>5.2449599999999999E-12</v>
      </c>
      <c r="AD43" s="30">
        <v>5.1298000000000002E-12</v>
      </c>
      <c r="AF43" s="31">
        <v>6.4646800000000003E-14</v>
      </c>
      <c r="AG43" s="3">
        <v>5.8412999999999996E-13</v>
      </c>
      <c r="AH43" s="3">
        <v>3.2424100000000001E-12</v>
      </c>
      <c r="AI43" s="3">
        <v>3.4949299999999999E-12</v>
      </c>
      <c r="AJ43" s="30">
        <v>3.1937500000000002E-12</v>
      </c>
      <c r="AL43" s="31">
        <v>6.0903200000000002E-14</v>
      </c>
      <c r="AM43" s="3">
        <v>3.62052E-13</v>
      </c>
      <c r="AN43" s="3">
        <v>1.2074199999999999E-12</v>
      </c>
      <c r="AO43" s="3">
        <v>1.18085E-12</v>
      </c>
      <c r="AP43" s="30">
        <v>1.6616699999999999E-12</v>
      </c>
      <c r="AR43" s="31">
        <v>4.9171400000000001E-14</v>
      </c>
      <c r="AS43" s="3">
        <v>4.9455299999999996E-13</v>
      </c>
      <c r="AT43" s="3">
        <v>1.2816699999999999E-12</v>
      </c>
      <c r="AU43" s="30">
        <v>1.24761E-16</v>
      </c>
      <c r="AV43" s="3">
        <v>1.41579E-12</v>
      </c>
    </row>
    <row r="44" spans="2:48" x14ac:dyDescent="0.25">
      <c r="B44" s="7">
        <v>2.0242700000000001E-13</v>
      </c>
      <c r="C44" s="31">
        <v>6.5462099999999996E-13</v>
      </c>
      <c r="D44" s="5">
        <v>1.27039E-11</v>
      </c>
      <c r="E44" s="3">
        <v>1.2758300000000001E-11</v>
      </c>
      <c r="F44" s="30">
        <v>1.18653E-11</v>
      </c>
      <c r="H44" s="3">
        <v>1.4813799999999999E-13</v>
      </c>
      <c r="I44" s="3">
        <v>3.2699799999999998E-13</v>
      </c>
      <c r="J44" s="3">
        <v>4.0629699999999996E-12</v>
      </c>
      <c r="K44" s="3">
        <v>4.1564099999999997E-12</v>
      </c>
      <c r="L44" s="30">
        <v>4.2423700000000002E-12</v>
      </c>
      <c r="N44" s="31">
        <v>1.3940200000000001E-13</v>
      </c>
      <c r="O44" s="3">
        <v>4.7084800000000001E-13</v>
      </c>
      <c r="P44" s="3">
        <v>5.0941199999999997E-12</v>
      </c>
      <c r="Q44" s="3">
        <v>6.2372999999999997E-12</v>
      </c>
      <c r="R44" s="30">
        <v>5.5566100000000001E-12</v>
      </c>
      <c r="T44" s="31">
        <v>9.6595799999999999E-14</v>
      </c>
      <c r="U44" s="3">
        <v>3.73909E-13</v>
      </c>
      <c r="V44" s="3">
        <v>5.5371400000000004E-12</v>
      </c>
      <c r="W44" s="3">
        <v>5.8263400000000004E-12</v>
      </c>
      <c r="X44" s="35">
        <v>5.8149899999999996E-12</v>
      </c>
      <c r="Z44" s="31">
        <v>1.4689099999999999E-13</v>
      </c>
      <c r="AA44" s="3">
        <v>7.0889300000000004E-13</v>
      </c>
      <c r="AB44" s="3">
        <v>5.4040300000000003E-12</v>
      </c>
      <c r="AC44" s="3">
        <v>5.1607399999999997E-12</v>
      </c>
      <c r="AD44" s="30">
        <v>5.0777799999999998E-12</v>
      </c>
      <c r="AF44" s="31">
        <v>6.17763E-14</v>
      </c>
      <c r="AG44" s="3">
        <v>5.8213399999999995E-13</v>
      </c>
      <c r="AH44" s="3">
        <v>3.1987400000000002E-12</v>
      </c>
      <c r="AI44" s="3">
        <v>3.1997399999999999E-12</v>
      </c>
      <c r="AJ44" s="30">
        <v>3.1311200000000001E-12</v>
      </c>
      <c r="AL44" s="31">
        <v>5.5536699999999997E-14</v>
      </c>
      <c r="AM44" s="3">
        <v>3.5157199999999998E-13</v>
      </c>
      <c r="AN44" s="3">
        <v>1.18846E-12</v>
      </c>
      <c r="AO44" s="3">
        <v>1.1777300000000001E-12</v>
      </c>
      <c r="AP44" s="30">
        <v>1.65581E-12</v>
      </c>
      <c r="AR44" s="31">
        <v>4.8297799999999998E-14</v>
      </c>
      <c r="AS44" s="3">
        <v>4.76837E-13</v>
      </c>
      <c r="AT44" s="3">
        <v>1.2676999999999999E-12</v>
      </c>
      <c r="AU44" s="30">
        <v>3.8675900000000002E-15</v>
      </c>
      <c r="AV44" s="3">
        <v>1.3940800000000001E-12</v>
      </c>
    </row>
    <row r="45" spans="2:48" x14ac:dyDescent="0.25">
      <c r="B45" s="7">
        <v>2.0117900000000001E-13</v>
      </c>
      <c r="C45" s="31">
        <v>6.4301799999999998E-13</v>
      </c>
      <c r="D45" s="5">
        <v>1.26447E-11</v>
      </c>
      <c r="E45" s="3">
        <v>1.2077E-11</v>
      </c>
      <c r="F45" s="30">
        <v>1.1550499999999999E-11</v>
      </c>
      <c r="H45" s="3">
        <v>1.45517E-13</v>
      </c>
      <c r="I45" s="3">
        <v>3.1976199999999999E-13</v>
      </c>
      <c r="J45" s="3">
        <v>4.0355200000000002E-12</v>
      </c>
      <c r="K45" s="3">
        <v>3.9829900000000002E-12</v>
      </c>
      <c r="L45" s="30">
        <v>3.9102599999999999E-12</v>
      </c>
      <c r="N45" s="31">
        <v>1.3253799999999999E-13</v>
      </c>
      <c r="O45" s="3">
        <v>4.6797900000000002E-13</v>
      </c>
      <c r="P45" s="3">
        <v>5.0377200000000001E-12</v>
      </c>
      <c r="Q45" s="3">
        <v>5.7052000000000004E-12</v>
      </c>
      <c r="R45" s="30">
        <v>5.5302800000000001E-12</v>
      </c>
      <c r="T45" s="31">
        <v>9.2227699999999999E-14</v>
      </c>
      <c r="U45" s="3">
        <v>3.7316E-13</v>
      </c>
      <c r="V45" s="3">
        <v>4.85146E-12</v>
      </c>
      <c r="W45" s="3">
        <v>5.7430000000000001E-12</v>
      </c>
      <c r="X45" s="35">
        <v>5.6582899999999997E-12</v>
      </c>
      <c r="Z45" s="31">
        <v>1.4139900000000001E-13</v>
      </c>
      <c r="AA45" s="3">
        <v>6.7832600000000001E-13</v>
      </c>
      <c r="AB45" s="3">
        <v>5.38444E-12</v>
      </c>
      <c r="AC45" s="3">
        <v>5.1601199999999996E-12</v>
      </c>
      <c r="AD45" s="30">
        <v>5.0659299999999996E-12</v>
      </c>
      <c r="AF45" s="31">
        <v>5.8781099999999994E-14</v>
      </c>
      <c r="AG45" s="3">
        <v>5.7290199999999996E-13</v>
      </c>
      <c r="AH45" s="3">
        <v>3.07885E-12</v>
      </c>
      <c r="AI45" s="3">
        <v>3.1939999999999999E-12</v>
      </c>
      <c r="AJ45" s="30">
        <v>2.8592700000000002E-12</v>
      </c>
      <c r="AL45" s="31">
        <v>5.5411899999999999E-14</v>
      </c>
      <c r="AM45" s="3">
        <v>3.5069899999999999E-13</v>
      </c>
      <c r="AN45" s="3">
        <v>1.18634E-12</v>
      </c>
      <c r="AO45" s="3">
        <v>1.1541500000000001E-12</v>
      </c>
      <c r="AP45" s="30">
        <v>1.4159000000000001E-12</v>
      </c>
      <c r="AR45" s="31">
        <v>4.7424200000000003E-14</v>
      </c>
      <c r="AS45" s="3">
        <v>4.7509000000000005E-13</v>
      </c>
      <c r="AT45" s="3">
        <v>1.2639500000000001E-12</v>
      </c>
      <c r="AU45" s="30">
        <v>1.24761E-16</v>
      </c>
      <c r="AV45" s="3">
        <v>1.3726200000000001E-12</v>
      </c>
    </row>
    <row r="46" spans="2:48" x14ac:dyDescent="0.25">
      <c r="B46" s="7">
        <v>2.0092900000000001E-13</v>
      </c>
      <c r="C46" s="31">
        <v>6.3615699999999997E-13</v>
      </c>
      <c r="D46" s="5">
        <v>1.2251199999999999E-11</v>
      </c>
      <c r="E46" s="3">
        <v>1.07114E-11</v>
      </c>
      <c r="F46" s="30">
        <v>1.0721200000000001E-11</v>
      </c>
      <c r="H46" s="3">
        <v>1.40525E-13</v>
      </c>
      <c r="I46" s="3">
        <v>3.10904E-13</v>
      </c>
      <c r="J46" s="3">
        <v>3.8395199999999998E-12</v>
      </c>
      <c r="K46" s="3">
        <v>3.7193700000000001E-12</v>
      </c>
      <c r="L46" s="30">
        <v>3.8387699999999998E-12</v>
      </c>
      <c r="N46" s="31">
        <v>1.26423E-13</v>
      </c>
      <c r="O46" s="3">
        <v>4.4065599999999998E-13</v>
      </c>
      <c r="P46" s="3">
        <v>4.8895100000000002E-12</v>
      </c>
      <c r="Q46" s="3">
        <v>5.2335999999999998E-12</v>
      </c>
      <c r="R46" s="30">
        <v>5.2323499999999996E-12</v>
      </c>
      <c r="T46" s="31">
        <v>7.6627600000000001E-14</v>
      </c>
      <c r="U46" s="3">
        <v>3.7241200000000002E-13</v>
      </c>
      <c r="V46" s="3">
        <v>4.7426600000000003E-12</v>
      </c>
      <c r="W46" s="3">
        <v>5.5559799999999999E-12</v>
      </c>
      <c r="X46" s="35">
        <v>5.4556700000000003E-12</v>
      </c>
      <c r="Z46" s="31">
        <v>1.33662E-13</v>
      </c>
      <c r="AA46" s="3">
        <v>6.7820100000000005E-13</v>
      </c>
      <c r="AB46" s="3">
        <v>5.3407699999999997E-12</v>
      </c>
      <c r="AC46" s="3">
        <v>5.1464E-12</v>
      </c>
      <c r="AD46" s="30">
        <v>4.9396699999999997E-12</v>
      </c>
      <c r="AF46" s="31">
        <v>5.8281900000000004E-14</v>
      </c>
      <c r="AG46" s="3">
        <v>5.3934099999999997E-13</v>
      </c>
      <c r="AH46" s="3">
        <v>2.74998E-12</v>
      </c>
      <c r="AI46" s="3">
        <v>2.88073E-12</v>
      </c>
      <c r="AJ46" s="30">
        <v>2.6672600000000001E-12</v>
      </c>
      <c r="AL46" s="31">
        <v>5.3040700000000001E-14</v>
      </c>
      <c r="AM46" s="3">
        <v>3.4109299999999998E-13</v>
      </c>
      <c r="AN46" s="3">
        <v>1.1833400000000001E-12</v>
      </c>
      <c r="AO46" s="3">
        <v>1.11972E-12</v>
      </c>
      <c r="AP46" s="30">
        <v>1.3620000000000001E-12</v>
      </c>
      <c r="AR46" s="31">
        <v>3.6566600000000002E-14</v>
      </c>
      <c r="AS46" s="3">
        <v>4.70474E-13</v>
      </c>
      <c r="AT46" s="3">
        <v>1.2365099999999999E-12</v>
      </c>
      <c r="AU46" s="30">
        <v>8.9875300000000002E-12</v>
      </c>
      <c r="AV46" s="3">
        <v>1.36164E-12</v>
      </c>
    </row>
    <row r="47" spans="2:48" x14ac:dyDescent="0.25">
      <c r="B47" s="7">
        <v>1.9943200000000001E-13</v>
      </c>
      <c r="C47" s="31">
        <v>6.3603200000000001E-13</v>
      </c>
      <c r="D47" s="5">
        <v>1.2218499999999999E-11</v>
      </c>
      <c r="E47" s="3">
        <v>1.06062E-11</v>
      </c>
      <c r="F47" s="30">
        <v>1.0528999999999999E-11</v>
      </c>
      <c r="H47" s="3">
        <v>1.3990100000000001E-13</v>
      </c>
      <c r="I47" s="3">
        <v>3.01547E-13</v>
      </c>
      <c r="J47" s="3">
        <v>3.7388399999999998E-12</v>
      </c>
      <c r="K47" s="3">
        <v>3.4991699999999999E-12</v>
      </c>
      <c r="L47" s="30">
        <v>3.4450200000000002E-12</v>
      </c>
      <c r="N47" s="31">
        <v>1.24052E-13</v>
      </c>
      <c r="O47" s="3">
        <v>4.3878400000000001E-13</v>
      </c>
      <c r="P47" s="3">
        <v>4.83586E-12</v>
      </c>
      <c r="Q47" s="3">
        <v>5.1281799999999997E-12</v>
      </c>
      <c r="R47" s="30">
        <v>5.2051499999999999E-12</v>
      </c>
      <c r="T47" s="31">
        <v>6.93892E-14</v>
      </c>
      <c r="U47" s="3">
        <v>3.6442699999999998E-13</v>
      </c>
      <c r="V47" s="3">
        <v>4.70973E-12</v>
      </c>
      <c r="W47" s="3">
        <v>5.4077700000000001E-12</v>
      </c>
      <c r="X47" s="35">
        <v>5.32842E-12</v>
      </c>
      <c r="Z47" s="31">
        <v>1.31415E-13</v>
      </c>
      <c r="AA47" s="3">
        <v>6.44017E-13</v>
      </c>
      <c r="AB47" s="3">
        <v>5.2213800000000001E-12</v>
      </c>
      <c r="AC47" s="3">
        <v>4.91883E-12</v>
      </c>
      <c r="AD47" s="30">
        <v>4.7577700000000002E-12</v>
      </c>
      <c r="AF47" s="31">
        <v>5.2166700000000001E-14</v>
      </c>
      <c r="AG47" s="3">
        <v>4.9592399999999996E-13</v>
      </c>
      <c r="AH47" s="3">
        <v>2.57419E-12</v>
      </c>
      <c r="AI47" s="3">
        <v>2.7185399999999998E-12</v>
      </c>
      <c r="AJ47" s="30">
        <v>2.45405E-12</v>
      </c>
      <c r="AL47" s="31">
        <v>5.1293400000000002E-14</v>
      </c>
      <c r="AM47" s="3">
        <v>3.3260900000000001E-13</v>
      </c>
      <c r="AN47" s="3">
        <v>1.1757300000000001E-12</v>
      </c>
      <c r="AO47" s="3">
        <v>1.10737E-12</v>
      </c>
      <c r="AP47" s="30">
        <v>1.3242E-12</v>
      </c>
      <c r="AR47" s="31">
        <v>2.0716899999999999E-14</v>
      </c>
      <c r="AS47" s="3">
        <v>4.5437999999999998E-13</v>
      </c>
      <c r="AT47" s="3">
        <v>1.2064400000000001E-12</v>
      </c>
      <c r="AU47" s="30">
        <v>1.39109E-13</v>
      </c>
      <c r="AV47" s="3">
        <v>1.34455E-12</v>
      </c>
    </row>
    <row r="48" spans="2:48" x14ac:dyDescent="0.25">
      <c r="B48" s="7">
        <v>1.9643600000000001E-13</v>
      </c>
      <c r="C48" s="31">
        <v>6.3590700000000005E-13</v>
      </c>
      <c r="D48" s="5">
        <v>1.05503E-11</v>
      </c>
      <c r="E48" s="3">
        <v>1.0094799999999999E-11</v>
      </c>
      <c r="F48" s="30">
        <v>1.0378E-11</v>
      </c>
      <c r="H48" s="3">
        <v>1.3228899999999999E-13</v>
      </c>
      <c r="I48" s="3">
        <v>2.98927E-13</v>
      </c>
      <c r="J48" s="3">
        <v>3.4637399999999999E-12</v>
      </c>
      <c r="K48" s="3">
        <v>3.3102799999999999E-12</v>
      </c>
      <c r="L48" s="30">
        <v>3.2853300000000001E-12</v>
      </c>
      <c r="N48" s="31">
        <v>1.1469200000000001E-13</v>
      </c>
      <c r="O48" s="3">
        <v>4.2705699999999998E-13</v>
      </c>
      <c r="P48" s="3">
        <v>4.7917000000000003E-12</v>
      </c>
      <c r="Q48" s="3">
        <v>5.0858800000000001E-12</v>
      </c>
      <c r="R48" s="30">
        <v>5.0638000000000003E-12</v>
      </c>
      <c r="T48" s="31">
        <v>6.93892E-14</v>
      </c>
      <c r="U48" s="3">
        <v>3.63179E-13</v>
      </c>
      <c r="V48" s="3">
        <v>4.58771E-12</v>
      </c>
      <c r="W48" s="3">
        <v>5.27315E-12</v>
      </c>
      <c r="X48" s="35">
        <v>5.2317300000000004E-12</v>
      </c>
      <c r="Z48" s="31">
        <v>1.2979300000000001E-13</v>
      </c>
      <c r="AA48" s="3">
        <v>6.43268E-13</v>
      </c>
      <c r="AB48" s="3">
        <v>4.9993000000000003E-12</v>
      </c>
      <c r="AC48" s="3">
        <v>4.76712E-12</v>
      </c>
      <c r="AD48" s="30">
        <v>4.7571400000000001E-12</v>
      </c>
      <c r="AF48" s="31">
        <v>4.6550700000000001E-14</v>
      </c>
      <c r="AG48" s="3">
        <v>4.7246900000000003E-13</v>
      </c>
      <c r="AH48" s="3">
        <v>2.48873E-12</v>
      </c>
      <c r="AI48" s="3">
        <v>2.5377599999999999E-12</v>
      </c>
      <c r="AJ48" s="30">
        <v>2.4027699999999999E-12</v>
      </c>
      <c r="AL48" s="31">
        <v>5.00454E-14</v>
      </c>
      <c r="AM48" s="3">
        <v>3.2175499999999998E-13</v>
      </c>
      <c r="AN48" s="3">
        <v>1.16413E-12</v>
      </c>
      <c r="AO48" s="3">
        <v>1.1062399999999999E-12</v>
      </c>
      <c r="AP48" s="30">
        <v>1.30324E-12</v>
      </c>
      <c r="AR48" s="31">
        <v>1.99681E-14</v>
      </c>
      <c r="AS48" s="3">
        <v>4.50387E-13</v>
      </c>
      <c r="AT48" s="3">
        <v>1.1847299999999999E-12</v>
      </c>
      <c r="AU48" s="30">
        <v>7.8537099999999999E-13</v>
      </c>
      <c r="AV48" s="3">
        <v>1.14431E-12</v>
      </c>
    </row>
    <row r="49" spans="2:48" x14ac:dyDescent="0.25">
      <c r="B49" s="7">
        <v>1.9606199999999999E-13</v>
      </c>
      <c r="C49" s="31">
        <v>6.0322000000000003E-13</v>
      </c>
      <c r="D49" s="5">
        <v>1.0051000000000001E-11</v>
      </c>
      <c r="E49" s="3">
        <v>9.7886300000000001E-12</v>
      </c>
      <c r="F49" s="30">
        <v>1.0130499999999999E-11</v>
      </c>
      <c r="H49" s="3">
        <v>1.3178899999999999E-13</v>
      </c>
      <c r="I49" s="3">
        <v>2.9655699999999999E-13</v>
      </c>
      <c r="J49" s="3">
        <v>3.36094E-12</v>
      </c>
      <c r="K49" s="3">
        <v>3.2718600000000002E-12</v>
      </c>
      <c r="L49" s="30">
        <v>3.2427900000000002E-12</v>
      </c>
      <c r="N49" s="31">
        <v>1.05956E-13</v>
      </c>
      <c r="O49" s="3">
        <v>3.84139E-13</v>
      </c>
      <c r="P49" s="3">
        <v>4.5935799999999999E-12</v>
      </c>
      <c r="Q49" s="3">
        <v>5.0393499999999999E-12</v>
      </c>
      <c r="R49" s="30">
        <v>5.0181399999999999E-12</v>
      </c>
      <c r="T49" s="31">
        <v>6.8265999999999997E-14</v>
      </c>
      <c r="U49" s="3">
        <v>3.56816E-13</v>
      </c>
      <c r="V49" s="3">
        <v>4.5001299999999997E-12</v>
      </c>
      <c r="W49" s="3">
        <v>4.9256900000000002E-12</v>
      </c>
      <c r="X49" s="35">
        <v>4.7169599999999997E-12</v>
      </c>
      <c r="Z49" s="31">
        <v>1.2829500000000001E-13</v>
      </c>
      <c r="AA49" s="3">
        <v>6.3528399999999998E-13</v>
      </c>
      <c r="AB49" s="3">
        <v>4.9882000000000001E-12</v>
      </c>
      <c r="AC49" s="3">
        <v>4.7477800000000002E-12</v>
      </c>
      <c r="AD49" s="30">
        <v>4.4237800000000004E-12</v>
      </c>
      <c r="AF49" s="31">
        <v>3.5693E-14</v>
      </c>
      <c r="AG49" s="3">
        <v>4.4938899999999999E-13</v>
      </c>
      <c r="AH49" s="3">
        <v>2.4388199999999999E-12</v>
      </c>
      <c r="AI49" s="3">
        <v>2.4372000000000002E-12</v>
      </c>
      <c r="AJ49" s="30">
        <v>2.2677799999999999E-12</v>
      </c>
      <c r="AL49" s="31">
        <v>4.5926999999999997E-14</v>
      </c>
      <c r="AM49" s="3">
        <v>3.0902899999999997E-13</v>
      </c>
      <c r="AN49" s="3">
        <v>1.12196E-12</v>
      </c>
      <c r="AO49" s="3">
        <v>1.07468E-12</v>
      </c>
      <c r="AP49" s="30">
        <v>1.1791000000000001E-12</v>
      </c>
      <c r="AR49" s="31">
        <v>1.7971300000000001E-14</v>
      </c>
      <c r="AS49" s="3">
        <v>4.40406E-13</v>
      </c>
      <c r="AT49" s="3">
        <v>1.1478E-12</v>
      </c>
      <c r="AU49" s="30">
        <v>1.8714200000000001E-14</v>
      </c>
      <c r="AV49" s="3">
        <v>1.0941499999999999E-12</v>
      </c>
    </row>
    <row r="50" spans="2:48" x14ac:dyDescent="0.25">
      <c r="B50" s="7">
        <v>1.93691E-13</v>
      </c>
      <c r="C50" s="31">
        <v>5.9348799999999998E-13</v>
      </c>
      <c r="D50" s="5">
        <v>1.00035E-11</v>
      </c>
      <c r="E50" s="3">
        <v>9.7554399999999999E-12</v>
      </c>
      <c r="F50" s="30">
        <v>9.9777600000000001E-12</v>
      </c>
      <c r="H50" s="3">
        <v>1.31665E-13</v>
      </c>
      <c r="I50" s="3">
        <v>2.9019399999999999E-13</v>
      </c>
      <c r="J50" s="3">
        <v>3.27373E-12</v>
      </c>
      <c r="K50" s="3">
        <v>3.2212E-12</v>
      </c>
      <c r="L50" s="30">
        <v>3.13587E-12</v>
      </c>
      <c r="N50" s="31">
        <v>9.8717399999999996E-14</v>
      </c>
      <c r="O50" s="3">
        <v>3.7902400000000002E-13</v>
      </c>
      <c r="P50" s="3">
        <v>4.5496599999999998E-12</v>
      </c>
      <c r="Q50" s="3">
        <v>4.9644900000000004E-12</v>
      </c>
      <c r="R50" s="30">
        <v>4.8891299999999998E-12</v>
      </c>
      <c r="T50" s="31">
        <v>6.5645199999999996E-14</v>
      </c>
      <c r="U50" s="3">
        <v>3.2674900000000002E-13</v>
      </c>
      <c r="V50" s="3">
        <v>4.4427399999999997E-12</v>
      </c>
      <c r="W50" s="3">
        <v>4.7205799999999997E-12</v>
      </c>
      <c r="X50" s="35">
        <v>4.6975000000000001E-12</v>
      </c>
      <c r="Z50" s="31">
        <v>1.097E-13</v>
      </c>
      <c r="AA50" s="3">
        <v>5.8874800000000005E-13</v>
      </c>
      <c r="AB50" s="3">
        <v>4.9211999999999997E-12</v>
      </c>
      <c r="AC50" s="3">
        <v>4.5038800000000004E-12</v>
      </c>
      <c r="AD50" s="30">
        <v>4.39509E-12</v>
      </c>
      <c r="AF50" s="31">
        <v>3.5443399999999998E-14</v>
      </c>
      <c r="AG50" s="3">
        <v>4.4302599999999999E-13</v>
      </c>
      <c r="AH50" s="3">
        <v>2.2823700000000001E-12</v>
      </c>
      <c r="AI50" s="3">
        <v>2.3042099999999999E-12</v>
      </c>
      <c r="AJ50" s="30">
        <v>2.24707E-12</v>
      </c>
      <c r="AL50" s="31">
        <v>4.44294E-14</v>
      </c>
      <c r="AM50" s="3">
        <v>2.9355899999999999E-13</v>
      </c>
      <c r="AN50" s="3">
        <v>1.09564E-12</v>
      </c>
      <c r="AO50" s="3">
        <v>1.00768E-12</v>
      </c>
      <c r="AP50" s="30">
        <v>1.1783499999999999E-12</v>
      </c>
      <c r="AR50" s="31">
        <v>1.6723299999999999E-14</v>
      </c>
      <c r="AS50" s="3">
        <v>4.3416800000000001E-13</v>
      </c>
      <c r="AT50" s="3">
        <v>1.1198499999999999E-12</v>
      </c>
      <c r="AU50" s="30">
        <v>2.6811099999999998E-13</v>
      </c>
      <c r="AV50" s="3">
        <v>1.0685800000000001E-12</v>
      </c>
    </row>
    <row r="51" spans="2:48" x14ac:dyDescent="0.25">
      <c r="B51" s="7">
        <v>1.89697E-13</v>
      </c>
      <c r="C51" s="31">
        <v>5.8488000000000003E-13</v>
      </c>
      <c r="D51" s="5">
        <v>9.8743400000000001E-12</v>
      </c>
      <c r="E51" s="3">
        <v>9.5876400000000005E-12</v>
      </c>
      <c r="F51" s="30">
        <v>9.9573000000000008E-12</v>
      </c>
      <c r="H51" s="3">
        <v>1.30666E-13</v>
      </c>
      <c r="I51" s="3">
        <v>2.8620199999999998E-13</v>
      </c>
      <c r="J51" s="3">
        <v>3.2588799999999999E-12</v>
      </c>
      <c r="K51" s="3">
        <v>3.1947499999999999E-12</v>
      </c>
      <c r="L51" s="30">
        <v>3.0401800000000001E-12</v>
      </c>
      <c r="N51" s="31">
        <v>8.0621299999999994E-14</v>
      </c>
      <c r="O51" s="3">
        <v>3.7577999999999999E-13</v>
      </c>
      <c r="P51" s="3">
        <v>4.0780600000000001E-12</v>
      </c>
      <c r="Q51" s="3">
        <v>4.7500300000000001E-12</v>
      </c>
      <c r="R51" s="30">
        <v>4.7865800000000004E-12</v>
      </c>
      <c r="T51" s="31">
        <v>6.4896399999999998E-14</v>
      </c>
      <c r="U51" s="3">
        <v>3.1489699999999999E-13</v>
      </c>
      <c r="V51" s="3">
        <v>4.4225300000000001E-12</v>
      </c>
      <c r="W51" s="3">
        <v>4.7087300000000003E-12</v>
      </c>
      <c r="X51" s="35">
        <v>4.5843399999999998E-12</v>
      </c>
      <c r="Z51" s="31">
        <v>9.1728600000000004E-14</v>
      </c>
      <c r="AA51" s="3">
        <v>5.84132E-13</v>
      </c>
      <c r="AB51" s="3">
        <v>4.8190199999999998E-12</v>
      </c>
      <c r="AC51" s="3">
        <v>4.4782999999999996E-12</v>
      </c>
      <c r="AD51" s="30">
        <v>4.3817399999999999E-12</v>
      </c>
      <c r="AF51" s="31">
        <v>3.46946E-14</v>
      </c>
      <c r="AG51" s="3">
        <v>4.4265100000000001E-13</v>
      </c>
      <c r="AH51" s="3">
        <v>2.24245E-12</v>
      </c>
      <c r="AI51" s="3">
        <v>2.2596699999999998E-12</v>
      </c>
      <c r="AJ51" s="30">
        <v>2.2128800000000002E-12</v>
      </c>
      <c r="AL51" s="31">
        <v>4.3306100000000002E-14</v>
      </c>
      <c r="AM51" s="3">
        <v>2.80709E-13</v>
      </c>
      <c r="AN51" s="3">
        <v>9.9982299999999999E-13</v>
      </c>
      <c r="AO51" s="3">
        <v>9.81359E-13</v>
      </c>
      <c r="AP51" s="30">
        <v>1.1617600000000001E-12</v>
      </c>
      <c r="AR51" s="31">
        <v>1.53505E-14</v>
      </c>
      <c r="AS51" s="3">
        <v>4.2992599999999998E-13</v>
      </c>
      <c r="AT51" s="3">
        <v>1.1003899999999999E-12</v>
      </c>
      <c r="AU51" s="30">
        <v>3.67546E-13</v>
      </c>
      <c r="AV51" s="3">
        <v>9.4606300000000003E-13</v>
      </c>
    </row>
    <row r="52" spans="2:48" x14ac:dyDescent="0.25">
      <c r="B52" s="7">
        <v>1.8632700000000001E-13</v>
      </c>
      <c r="C52" s="31">
        <v>5.4745100000000003E-13</v>
      </c>
      <c r="D52" s="5">
        <v>9.7398399999999998E-12</v>
      </c>
      <c r="E52" s="3">
        <v>9.4104800000000005E-12</v>
      </c>
      <c r="F52" s="30">
        <v>9.9007899999999999E-12</v>
      </c>
      <c r="H52" s="3">
        <v>1.25674E-13</v>
      </c>
      <c r="I52" s="3">
        <v>2.84205E-13</v>
      </c>
      <c r="J52" s="3">
        <v>3.2129700000000002E-12</v>
      </c>
      <c r="K52" s="3">
        <v>3.1300000000000002E-12</v>
      </c>
      <c r="L52" s="30">
        <v>3.0217100000000001E-12</v>
      </c>
      <c r="N52" s="31">
        <v>7.2134799999999998E-14</v>
      </c>
      <c r="O52" s="3">
        <v>3.6916799999999999E-13</v>
      </c>
      <c r="P52" s="3">
        <v>3.9320900000000001E-12</v>
      </c>
      <c r="Q52" s="3">
        <v>4.7122200000000003E-12</v>
      </c>
      <c r="R52" s="30">
        <v>4.70898E-12</v>
      </c>
      <c r="T52" s="31">
        <v>6.1152399999999994E-14</v>
      </c>
      <c r="U52" s="3">
        <v>3.1314999999999998E-13</v>
      </c>
      <c r="V52" s="3">
        <v>4.1768699999999998E-12</v>
      </c>
      <c r="W52" s="3">
        <v>4.5192199999999998E-12</v>
      </c>
      <c r="X52" s="35">
        <v>4.3955800000000001E-12</v>
      </c>
      <c r="Z52" s="31">
        <v>9.1478999999999996E-14</v>
      </c>
      <c r="AA52" s="3">
        <v>5.8213500000000002E-13</v>
      </c>
      <c r="AB52" s="3">
        <v>4.5264599999999997E-12</v>
      </c>
      <c r="AC52" s="3">
        <v>4.4016999999999997E-12</v>
      </c>
      <c r="AD52" s="30">
        <v>4.1011499999999997E-12</v>
      </c>
      <c r="AF52" s="31">
        <v>3.0451399999999999E-14</v>
      </c>
      <c r="AG52" s="3">
        <v>4.3628899999999998E-13</v>
      </c>
      <c r="AH52" s="3">
        <v>2.2148799999999999E-12</v>
      </c>
      <c r="AI52" s="3">
        <v>2.22224E-12</v>
      </c>
      <c r="AJ52" s="30">
        <v>2.1589899999999999E-12</v>
      </c>
      <c r="AL52" s="31">
        <v>4.2682100000000001E-14</v>
      </c>
      <c r="AM52" s="3">
        <v>2.7883800000000001E-13</v>
      </c>
      <c r="AN52" s="3">
        <v>9.8709799999999996E-13</v>
      </c>
      <c r="AO52" s="3">
        <v>9.7075399999999996E-13</v>
      </c>
      <c r="AP52" s="30">
        <v>1.1416699999999999E-12</v>
      </c>
      <c r="AR52" s="31">
        <v>1.4601699999999999E-14</v>
      </c>
      <c r="AS52" s="3">
        <v>4.0559800000000002E-13</v>
      </c>
      <c r="AT52" s="3">
        <v>1.0205499999999999E-12</v>
      </c>
      <c r="AU52" s="30">
        <v>3.43592E-13</v>
      </c>
      <c r="AV52" s="3">
        <v>9.32589E-13</v>
      </c>
    </row>
    <row r="53" spans="2:48" x14ac:dyDescent="0.25">
      <c r="B53" s="7">
        <v>1.85703E-13</v>
      </c>
      <c r="C53" s="31">
        <v>5.4021500000000004E-13</v>
      </c>
      <c r="D53" s="5">
        <v>8.4350899999999998E-12</v>
      </c>
      <c r="E53" s="3">
        <v>8.4610400000000001E-12</v>
      </c>
      <c r="F53" s="30">
        <v>9.6133400000000003E-12</v>
      </c>
      <c r="H53" s="3">
        <v>1.22554E-13</v>
      </c>
      <c r="I53" s="3">
        <v>2.7784300000000002E-13</v>
      </c>
      <c r="J53" s="3">
        <v>3.17554E-12</v>
      </c>
      <c r="K53" s="3">
        <v>3.0934499999999999E-12</v>
      </c>
      <c r="L53" s="30">
        <v>3.0077399999999999E-12</v>
      </c>
      <c r="N53" s="31">
        <v>5.6409900000000002E-14</v>
      </c>
      <c r="O53" s="3">
        <v>3.5319800000000001E-13</v>
      </c>
      <c r="P53" s="3">
        <v>3.9041499999999997E-12</v>
      </c>
      <c r="Q53" s="3">
        <v>4.6204E-12</v>
      </c>
      <c r="R53" s="30">
        <v>4.6497199999999997E-12</v>
      </c>
      <c r="T53" s="31">
        <v>6.0278700000000003E-14</v>
      </c>
      <c r="U53" s="3">
        <v>3.1302500000000002E-13</v>
      </c>
      <c r="V53" s="3">
        <v>4.1718799999999998E-12</v>
      </c>
      <c r="W53" s="3">
        <v>4.3109900000000004E-12</v>
      </c>
      <c r="X53" s="35">
        <v>4.2676999999999997E-12</v>
      </c>
      <c r="Z53" s="31">
        <v>9.0730199999999997E-14</v>
      </c>
      <c r="AA53" s="3">
        <v>5.7439999999999996E-13</v>
      </c>
      <c r="AB53" s="3">
        <v>4.5203500000000002E-12</v>
      </c>
      <c r="AC53" s="3">
        <v>4.30713E-12</v>
      </c>
      <c r="AD53" s="30">
        <v>3.9538000000000004E-12</v>
      </c>
      <c r="AF53" s="31">
        <v>2.9203399999999998E-14</v>
      </c>
      <c r="AG53" s="3">
        <v>4.2705600000000001E-13</v>
      </c>
      <c r="AH53" s="3">
        <v>2.1632299999999999E-12</v>
      </c>
      <c r="AI53" s="3">
        <v>2.1895500000000001E-12</v>
      </c>
      <c r="AJ53" s="30">
        <v>2.0757700000000002E-12</v>
      </c>
      <c r="AL53" s="31">
        <v>4.1059700000000001E-14</v>
      </c>
      <c r="AM53" s="3">
        <v>2.7833899999999998E-13</v>
      </c>
      <c r="AN53" s="3">
        <v>9.6538900000000002E-13</v>
      </c>
      <c r="AO53" s="3">
        <v>9.6039900000000006E-13</v>
      </c>
      <c r="AP53" s="30">
        <v>1.1098600000000001E-12</v>
      </c>
      <c r="AR53" s="31">
        <v>1.37281E-14</v>
      </c>
      <c r="AS53" s="3">
        <v>4.05473E-13</v>
      </c>
      <c r="AT53" s="3">
        <v>9.7088999999999992E-13</v>
      </c>
      <c r="AU53" s="30">
        <v>2.4640300000000001E-13</v>
      </c>
      <c r="AV53" s="3">
        <v>9.2298199999999991E-13</v>
      </c>
    </row>
    <row r="54" spans="2:48" x14ac:dyDescent="0.25">
      <c r="B54" s="7">
        <v>1.80087E-13</v>
      </c>
      <c r="C54" s="31">
        <v>5.3871800000000001E-13</v>
      </c>
      <c r="D54" s="5">
        <v>8.3349099999999993E-12</v>
      </c>
      <c r="E54" s="3">
        <v>8.2715300000000004E-12</v>
      </c>
      <c r="F54" s="30">
        <v>9.4280700000000006E-12</v>
      </c>
      <c r="H54" s="3">
        <v>1.1993299999999999E-13</v>
      </c>
      <c r="I54" s="3">
        <v>2.7410000000000001E-13</v>
      </c>
      <c r="J54" s="3">
        <v>3.0916999999999998E-12</v>
      </c>
      <c r="K54" s="3">
        <v>2.88884E-12</v>
      </c>
      <c r="L54" s="30">
        <v>2.8904600000000002E-12</v>
      </c>
      <c r="N54" s="31">
        <v>5.5910699999999999E-14</v>
      </c>
      <c r="O54" s="3">
        <v>3.49206E-13</v>
      </c>
      <c r="P54" s="3">
        <v>3.8312900000000003E-12</v>
      </c>
      <c r="Q54" s="3">
        <v>4.0776899999999998E-12</v>
      </c>
      <c r="R54" s="30">
        <v>4.6209000000000002E-12</v>
      </c>
      <c r="T54" s="31">
        <v>5.3789100000000001E-14</v>
      </c>
      <c r="U54" s="3">
        <v>2.9755499999999999E-13</v>
      </c>
      <c r="V54" s="3">
        <v>4.1245999999999996E-12</v>
      </c>
      <c r="W54" s="3">
        <v>4.3094899999999996E-12</v>
      </c>
      <c r="X54" s="35">
        <v>4.2516100000000003E-12</v>
      </c>
      <c r="Z54" s="31">
        <v>8.6237399999999995E-14</v>
      </c>
      <c r="AA54" s="3">
        <v>5.7290300000000003E-13</v>
      </c>
      <c r="AB54" s="3">
        <v>4.3215999999999997E-12</v>
      </c>
      <c r="AC54" s="3">
        <v>4.1919700000000004E-12</v>
      </c>
      <c r="AD54" s="30">
        <v>3.8643499999999998E-12</v>
      </c>
      <c r="AF54" s="31">
        <v>2.9203399999999998E-14</v>
      </c>
      <c r="AG54" s="3">
        <v>4.1957100000000002E-13</v>
      </c>
      <c r="AH54" s="3">
        <v>2.1404E-12</v>
      </c>
      <c r="AI54" s="3">
        <v>2.08725E-12</v>
      </c>
      <c r="AJ54" s="30">
        <v>2.0301100000000001E-12</v>
      </c>
      <c r="AL54" s="31">
        <v>3.7066100000000002E-14</v>
      </c>
      <c r="AM54" s="3">
        <v>2.6823300000000002E-13</v>
      </c>
      <c r="AN54" s="3">
        <v>9.630190000000001E-13</v>
      </c>
      <c r="AO54" s="3">
        <v>9.4006300000000005E-13</v>
      </c>
      <c r="AP54" s="30">
        <v>1.09564E-12</v>
      </c>
      <c r="AR54" s="31">
        <v>1.27297E-14</v>
      </c>
      <c r="AS54" s="3">
        <v>4.04475E-13</v>
      </c>
      <c r="AT54" s="3">
        <v>9.1399899999999997E-13</v>
      </c>
      <c r="AU54" s="30">
        <v>1.24761E-16</v>
      </c>
      <c r="AV54" s="3">
        <v>8.6546700000000003E-13</v>
      </c>
    </row>
    <row r="55" spans="2:48" x14ac:dyDescent="0.25">
      <c r="B55" s="7">
        <v>1.7796600000000001E-13</v>
      </c>
      <c r="C55" s="31">
        <v>5.2736500000000005E-13</v>
      </c>
      <c r="D55" s="5">
        <v>8.1145800000000008E-12</v>
      </c>
      <c r="E55" s="3">
        <v>8.1839500000000001E-12</v>
      </c>
      <c r="F55" s="30">
        <v>9.2601400000000006E-12</v>
      </c>
      <c r="H55" s="3">
        <v>1.1943399999999999E-13</v>
      </c>
      <c r="I55" s="3">
        <v>2.7085599999999998E-13</v>
      </c>
      <c r="J55" s="3">
        <v>3.0736099999999999E-12</v>
      </c>
      <c r="K55" s="3">
        <v>2.87711E-12</v>
      </c>
      <c r="L55" s="30">
        <v>2.8631399999999999E-12</v>
      </c>
      <c r="N55" s="31">
        <v>5.3414700000000002E-14</v>
      </c>
      <c r="O55" s="3">
        <v>3.4571300000000001E-13</v>
      </c>
      <c r="P55" s="3">
        <v>3.6390299999999997E-12</v>
      </c>
      <c r="Q55" s="3">
        <v>4.0650900000000004E-12</v>
      </c>
      <c r="R55" s="30">
        <v>4.0573500000000003E-12</v>
      </c>
      <c r="T55" s="31">
        <v>5.15427E-14</v>
      </c>
      <c r="U55" s="3">
        <v>2.8857199999999999E-13</v>
      </c>
      <c r="V55" s="3">
        <v>3.7519400000000003E-12</v>
      </c>
      <c r="W55" s="3">
        <v>4.2382600000000002E-12</v>
      </c>
      <c r="X55" s="35">
        <v>4.0966499999999999E-12</v>
      </c>
      <c r="Z55" s="31">
        <v>7.9872499999999996E-14</v>
      </c>
      <c r="AA55" s="3">
        <v>5.6978400000000001E-13</v>
      </c>
      <c r="AB55" s="3">
        <v>4.1898500000000004E-12</v>
      </c>
      <c r="AC55" s="3">
        <v>4.14132E-12</v>
      </c>
      <c r="AD55" s="30">
        <v>3.8631000000000004E-12</v>
      </c>
      <c r="AF55" s="31">
        <v>2.8953800000000003E-14</v>
      </c>
      <c r="AG55" s="3">
        <v>4.1794899999999998E-13</v>
      </c>
      <c r="AH55" s="3">
        <v>1.96823E-12</v>
      </c>
      <c r="AI55" s="3">
        <v>2.0372200000000001E-12</v>
      </c>
      <c r="AJ55" s="30">
        <v>1.86293E-12</v>
      </c>
      <c r="AL55" s="31">
        <v>3.68165E-14</v>
      </c>
      <c r="AM55" s="3">
        <v>2.6636199999999998E-13</v>
      </c>
      <c r="AN55" s="3">
        <v>9.3432400000000009E-13</v>
      </c>
      <c r="AO55" s="3">
        <v>9.2197300000000007E-13</v>
      </c>
      <c r="AP55" s="30">
        <v>1.08728E-12</v>
      </c>
      <c r="AR55" s="31">
        <v>1.2604899999999999E-14</v>
      </c>
      <c r="AS55" s="3">
        <v>3.9836200000000002E-13</v>
      </c>
      <c r="AT55" s="3">
        <v>8.5573599999999996E-13</v>
      </c>
      <c r="AU55" s="30">
        <v>4.3317000000000001E-13</v>
      </c>
      <c r="AV55" s="3">
        <v>8.6322199999999997E-13</v>
      </c>
    </row>
    <row r="56" spans="2:48" x14ac:dyDescent="0.25">
      <c r="B56" s="7">
        <v>1.77841E-13</v>
      </c>
      <c r="C56" s="31">
        <v>5.2661600000000005E-13</v>
      </c>
      <c r="D56" s="5">
        <v>7.9583799999999995E-12</v>
      </c>
      <c r="E56" s="3">
        <v>7.9412900000000004E-12</v>
      </c>
      <c r="F56" s="30">
        <v>8.3730899999999994E-12</v>
      </c>
      <c r="H56" s="3">
        <v>1.1369300000000001E-13</v>
      </c>
      <c r="I56" s="3">
        <v>2.6611500000000002E-13</v>
      </c>
      <c r="J56" s="3">
        <v>3.0548999999999998E-12</v>
      </c>
      <c r="K56" s="3">
        <v>2.7418699999999999E-12</v>
      </c>
      <c r="L56" s="30">
        <v>2.6907200000000001E-12</v>
      </c>
      <c r="N56" s="31">
        <v>5.2790700000000002E-14</v>
      </c>
      <c r="O56" s="3">
        <v>3.43592E-13</v>
      </c>
      <c r="P56" s="3">
        <v>3.5378499999999999E-12</v>
      </c>
      <c r="Q56" s="3">
        <v>3.9545500000000004E-12</v>
      </c>
      <c r="R56" s="30">
        <v>4.0322799999999999E-12</v>
      </c>
      <c r="T56" s="31">
        <v>4.6675499999999999E-14</v>
      </c>
      <c r="U56" s="3">
        <v>2.85703E-13</v>
      </c>
      <c r="V56" s="3">
        <v>3.7192500000000003E-12</v>
      </c>
      <c r="W56" s="3">
        <v>4.0813099999999997E-12</v>
      </c>
      <c r="X56" s="35">
        <v>4.0481200000000003E-12</v>
      </c>
      <c r="Z56" s="31">
        <v>7.63781E-14</v>
      </c>
      <c r="AA56" s="3">
        <v>5.3934200000000005E-13</v>
      </c>
      <c r="AB56" s="3">
        <v>4.0007200000000003E-12</v>
      </c>
      <c r="AC56" s="3">
        <v>4.1317100000000004E-12</v>
      </c>
      <c r="AD56" s="30">
        <v>3.8125799999999999E-12</v>
      </c>
      <c r="AF56" s="31">
        <v>2.8579399999999997E-14</v>
      </c>
      <c r="AG56" s="3">
        <v>4.1433099999999998E-13</v>
      </c>
      <c r="AH56" s="3">
        <v>1.9039800000000001E-12</v>
      </c>
      <c r="AI56" s="3">
        <v>1.9537499999999998E-12</v>
      </c>
      <c r="AJ56" s="30">
        <v>1.8258700000000002E-12</v>
      </c>
      <c r="AL56" s="31">
        <v>3.6317299999999997E-14</v>
      </c>
      <c r="AM56" s="3">
        <v>2.5837699999999999E-13</v>
      </c>
      <c r="AN56" s="3">
        <v>9.234699999999999E-13</v>
      </c>
      <c r="AO56" s="3">
        <v>8.9402699999999996E-13</v>
      </c>
      <c r="AP56" s="30">
        <v>9.8909400000000007E-13</v>
      </c>
      <c r="AR56" s="31">
        <v>1.24801E-14</v>
      </c>
      <c r="AS56" s="3">
        <v>3.96116E-13</v>
      </c>
      <c r="AT56" s="3">
        <v>8.3215599999999997E-13</v>
      </c>
      <c r="AU56" s="30">
        <v>1.09166E-13</v>
      </c>
      <c r="AV56" s="3">
        <v>8.2504500000000005E-13</v>
      </c>
    </row>
    <row r="57" spans="2:48" x14ac:dyDescent="0.25">
      <c r="B57" s="7">
        <v>1.74097E-13</v>
      </c>
      <c r="C57" s="31">
        <v>5.1950500000000002E-13</v>
      </c>
      <c r="D57" s="5">
        <v>7.9226999999999998E-12</v>
      </c>
      <c r="E57" s="3">
        <v>7.9276899999999997E-12</v>
      </c>
      <c r="F57" s="30">
        <v>8.1910599999999992E-12</v>
      </c>
      <c r="H57" s="3">
        <v>1.04084E-13</v>
      </c>
      <c r="I57" s="3">
        <v>2.61E-13</v>
      </c>
      <c r="J57" s="3">
        <v>2.97567E-12</v>
      </c>
      <c r="K57" s="3">
        <v>2.66677E-12</v>
      </c>
      <c r="L57" s="30">
        <v>2.6129900000000002E-12</v>
      </c>
      <c r="N57" s="31">
        <v>5.2041899999999997E-14</v>
      </c>
      <c r="O57" s="3">
        <v>3.4334200000000002E-13</v>
      </c>
      <c r="P57" s="3">
        <v>3.4324300000000001E-12</v>
      </c>
      <c r="Q57" s="3">
        <v>3.9280999999999998E-12</v>
      </c>
      <c r="R57" s="30">
        <v>3.9260999999999996E-12</v>
      </c>
      <c r="T57" s="31">
        <v>4.3805099999999997E-14</v>
      </c>
      <c r="U57" s="3">
        <v>2.8420600000000002E-13</v>
      </c>
      <c r="V57" s="3">
        <v>3.4595E-12</v>
      </c>
      <c r="W57" s="3">
        <v>4.0518600000000001E-12</v>
      </c>
      <c r="X57" s="35">
        <v>4.0286599999999999E-12</v>
      </c>
      <c r="Z57" s="31">
        <v>6.8141300000000006E-14</v>
      </c>
      <c r="AA57" s="3">
        <v>5.1177000000000005E-13</v>
      </c>
      <c r="AB57" s="3">
        <v>3.9887400000000002E-12</v>
      </c>
      <c r="AC57" s="3">
        <v>3.9111399999999998E-12</v>
      </c>
      <c r="AD57" s="30">
        <v>3.7903700000000001E-12</v>
      </c>
      <c r="AF57" s="31">
        <v>2.55841E-14</v>
      </c>
      <c r="AG57" s="3">
        <v>4.0859200000000002E-13</v>
      </c>
      <c r="AH57" s="3">
        <v>1.88164E-12</v>
      </c>
      <c r="AI57" s="3">
        <v>1.91071E-12</v>
      </c>
      <c r="AJ57" s="30">
        <v>1.8196400000000001E-12</v>
      </c>
      <c r="AL57" s="31">
        <v>3.44452E-14</v>
      </c>
      <c r="AM57" s="3">
        <v>2.4889500000000002E-13</v>
      </c>
      <c r="AN57" s="3">
        <v>9.1486199999999994E-13</v>
      </c>
      <c r="AO57" s="3">
        <v>8.9302900000000001E-13</v>
      </c>
      <c r="AP57" s="30">
        <v>9.742470000000001E-13</v>
      </c>
      <c r="AR57" s="31">
        <v>1.13569E-14</v>
      </c>
      <c r="AS57" s="3">
        <v>3.8289199999999999E-13</v>
      </c>
      <c r="AT57" s="3">
        <v>8.2741499999999996E-13</v>
      </c>
      <c r="AU57" s="30">
        <v>2.4952199999999999E-14</v>
      </c>
      <c r="AV57" s="3">
        <v>8.0221299999999999E-13</v>
      </c>
    </row>
    <row r="58" spans="2:48" x14ac:dyDescent="0.25">
      <c r="B58" s="7">
        <v>1.71227E-13</v>
      </c>
      <c r="C58" s="31">
        <v>5.1314200000000002E-13</v>
      </c>
      <c r="D58" s="5">
        <v>7.8165300000000004E-12</v>
      </c>
      <c r="E58" s="3">
        <v>7.8658100000000008E-12</v>
      </c>
      <c r="F58" s="30">
        <v>7.9372999999999993E-12</v>
      </c>
      <c r="H58" s="3">
        <v>1.0133799999999999E-13</v>
      </c>
      <c r="I58" s="3">
        <v>2.60251E-13</v>
      </c>
      <c r="J58" s="3">
        <v>2.9004400000000001E-12</v>
      </c>
      <c r="K58" s="3">
        <v>2.6384399999999998E-12</v>
      </c>
      <c r="L58" s="30">
        <v>2.5284100000000001E-12</v>
      </c>
      <c r="N58" s="31">
        <v>4.8173100000000002E-14</v>
      </c>
      <c r="O58" s="3">
        <v>3.3760300000000001E-13</v>
      </c>
      <c r="P58" s="3">
        <v>3.33112E-12</v>
      </c>
      <c r="Q58" s="3">
        <v>3.7561800000000003E-12</v>
      </c>
      <c r="R58" s="30">
        <v>3.86697E-12</v>
      </c>
      <c r="T58" s="31">
        <v>4.2432199999999997E-14</v>
      </c>
      <c r="U58" s="3">
        <v>2.7098099999999999E-13</v>
      </c>
      <c r="V58" s="3">
        <v>3.3760300000000001E-12</v>
      </c>
      <c r="W58" s="3">
        <v>3.8158100000000001E-12</v>
      </c>
      <c r="X58" s="35">
        <v>3.84775E-12</v>
      </c>
      <c r="Z58" s="31">
        <v>5.9155599999999994E-14</v>
      </c>
      <c r="AA58" s="3">
        <v>5.0902500000000004E-13</v>
      </c>
      <c r="AB58" s="3">
        <v>3.4949299999999999E-12</v>
      </c>
      <c r="AC58" s="3">
        <v>3.8364000000000001E-12</v>
      </c>
      <c r="AD58" s="30">
        <v>3.4278100000000001E-12</v>
      </c>
      <c r="AF58" s="31">
        <v>2.4835299999999999E-14</v>
      </c>
      <c r="AG58" s="3">
        <v>3.9461900000000002E-13</v>
      </c>
      <c r="AH58" s="3">
        <v>1.8414699999999998E-12</v>
      </c>
      <c r="AI58" s="3">
        <v>1.8579400000000001E-12</v>
      </c>
      <c r="AJ58" s="30">
        <v>1.76624E-12</v>
      </c>
      <c r="AL58" s="31">
        <v>3.12004E-14</v>
      </c>
      <c r="AM58" s="3">
        <v>2.3355E-13</v>
      </c>
      <c r="AN58" s="3">
        <v>9.1423800000000001E-13</v>
      </c>
      <c r="AO58" s="3">
        <v>8.7606200000000005E-13</v>
      </c>
      <c r="AP58" s="30">
        <v>9.5578299999999991E-13</v>
      </c>
      <c r="AR58" s="31">
        <v>9.7344500000000002E-15</v>
      </c>
      <c r="AS58" s="3">
        <v>3.8089500000000001E-13</v>
      </c>
      <c r="AT58" s="3">
        <v>7.9709799999999996E-13</v>
      </c>
      <c r="AU58" s="30">
        <v>2.4952199999999999E-16</v>
      </c>
      <c r="AV58" s="3">
        <v>7.8636900000000004E-13</v>
      </c>
    </row>
    <row r="59" spans="2:48" x14ac:dyDescent="0.25">
      <c r="B59" s="7">
        <v>1.6960399999999999E-13</v>
      </c>
      <c r="C59" s="31">
        <v>5.0877599999999999E-13</v>
      </c>
      <c r="D59" s="5">
        <v>7.6639499999999999E-12</v>
      </c>
      <c r="E59" s="3">
        <v>7.7677499999999995E-12</v>
      </c>
      <c r="F59" s="30">
        <v>7.7630100000000001E-12</v>
      </c>
      <c r="H59" s="3">
        <v>9.2976400000000003E-14</v>
      </c>
      <c r="I59" s="3">
        <v>2.5201700000000001E-13</v>
      </c>
      <c r="J59" s="3">
        <v>2.8529099999999998E-12</v>
      </c>
      <c r="K59" s="3">
        <v>2.58729E-12</v>
      </c>
      <c r="L59" s="30">
        <v>2.5169299999999999E-12</v>
      </c>
      <c r="N59" s="31">
        <v>4.7424299999999997E-14</v>
      </c>
      <c r="O59" s="3">
        <v>3.1814100000000002E-13</v>
      </c>
      <c r="P59" s="3">
        <v>3.2541400000000001E-12</v>
      </c>
      <c r="Q59" s="3">
        <v>3.72586E-12</v>
      </c>
      <c r="R59" s="30">
        <v>3.8015900000000002E-12</v>
      </c>
      <c r="T59" s="31">
        <v>4.2182600000000002E-14</v>
      </c>
      <c r="U59" s="3">
        <v>2.6324599999999998E-13</v>
      </c>
      <c r="V59" s="3">
        <v>3.3649299999999999E-12</v>
      </c>
      <c r="W59" s="3">
        <v>3.7720199999999999E-12</v>
      </c>
      <c r="X59" s="35">
        <v>3.8129500000000002E-12</v>
      </c>
      <c r="Z59" s="31">
        <v>5.7033999999999997E-14</v>
      </c>
      <c r="AA59" s="3">
        <v>4.8444700000000001E-13</v>
      </c>
      <c r="AB59" s="3">
        <v>3.4896899999999998E-12</v>
      </c>
      <c r="AC59" s="3">
        <v>3.4949299999999999E-12</v>
      </c>
      <c r="AD59" s="30">
        <v>3.3567E-12</v>
      </c>
      <c r="AF59" s="31">
        <v>2.4336099999999999E-14</v>
      </c>
      <c r="AG59" s="3">
        <v>3.7989700000000001E-13</v>
      </c>
      <c r="AH59" s="3">
        <v>1.8235000000000001E-12</v>
      </c>
      <c r="AI59" s="3">
        <v>1.8155199999999999E-12</v>
      </c>
      <c r="AJ59" s="30">
        <v>1.7590000000000001E-12</v>
      </c>
      <c r="AL59" s="31">
        <v>2.9453200000000001E-14</v>
      </c>
      <c r="AM59" s="3">
        <v>2.3317599999999999E-13</v>
      </c>
      <c r="AN59" s="3">
        <v>8.9352799999999999E-13</v>
      </c>
      <c r="AO59" s="3">
        <v>8.46743E-13</v>
      </c>
      <c r="AP59" s="30">
        <v>9.5154099999999997E-13</v>
      </c>
      <c r="AR59" s="31">
        <v>9.2352500000000003E-15</v>
      </c>
      <c r="AS59" s="3">
        <v>3.7565499999999998E-13</v>
      </c>
      <c r="AT59" s="3">
        <v>7.6141699999999999E-13</v>
      </c>
      <c r="AU59" s="30">
        <v>1.24761E-16</v>
      </c>
      <c r="AV59" s="3">
        <v>7.3259700000000001E-13</v>
      </c>
    </row>
    <row r="60" spans="2:48" x14ac:dyDescent="0.25">
      <c r="B60" s="7">
        <v>1.6885499999999999E-13</v>
      </c>
      <c r="C60" s="31">
        <v>5.0790200000000003E-13</v>
      </c>
      <c r="D60" s="5">
        <v>7.4826699999999997E-12</v>
      </c>
      <c r="E60" s="3">
        <v>7.4590900000000007E-12</v>
      </c>
      <c r="F60" s="30">
        <v>7.7469100000000006E-12</v>
      </c>
      <c r="H60" s="3">
        <v>7.7251499999999994E-14</v>
      </c>
      <c r="I60" s="3">
        <v>2.4415699999999998E-13</v>
      </c>
      <c r="J60" s="3">
        <v>2.6182299999999998E-12</v>
      </c>
      <c r="K60" s="3">
        <v>2.5523599999999998E-12</v>
      </c>
      <c r="L60" s="30">
        <v>2.4980899999999999E-12</v>
      </c>
      <c r="N60" s="31">
        <v>4.6176300000000002E-14</v>
      </c>
      <c r="O60" s="3">
        <v>3.15271E-13</v>
      </c>
      <c r="P60" s="3">
        <v>3.2266899999999999E-12</v>
      </c>
      <c r="Q60" s="3">
        <v>3.4830800000000001E-12</v>
      </c>
      <c r="R60" s="30">
        <v>3.7836299999999997E-12</v>
      </c>
      <c r="T60" s="31">
        <v>3.76898E-14</v>
      </c>
      <c r="U60" s="3">
        <v>2.6262199999999999E-13</v>
      </c>
      <c r="V60" s="3">
        <v>3.1217699999999999E-12</v>
      </c>
      <c r="W60" s="3">
        <v>3.5560600000000001E-12</v>
      </c>
      <c r="X60" s="35">
        <v>3.4513899999999999E-12</v>
      </c>
      <c r="Z60" s="31">
        <v>5.4538000000000001E-14</v>
      </c>
      <c r="AA60" s="3">
        <v>4.7247000000000001E-13</v>
      </c>
      <c r="AB60" s="3">
        <v>3.4533900000000001E-12</v>
      </c>
      <c r="AC60" s="3">
        <v>3.4844500000000002E-12</v>
      </c>
      <c r="AD60" s="30">
        <v>3.3490899999999998E-12</v>
      </c>
      <c r="AF60" s="31">
        <v>2.2838499999999999E-14</v>
      </c>
      <c r="AG60" s="3">
        <v>3.74407E-13</v>
      </c>
      <c r="AH60" s="3">
        <v>1.76686E-12</v>
      </c>
      <c r="AI60" s="3">
        <v>1.81178E-12</v>
      </c>
      <c r="AJ60" s="30">
        <v>1.7459000000000001E-12</v>
      </c>
      <c r="AL60" s="31">
        <v>2.7206699999999999E-14</v>
      </c>
      <c r="AM60" s="3">
        <v>2.2930800000000002E-13</v>
      </c>
      <c r="AN60" s="3">
        <v>8.4162799999999998E-13</v>
      </c>
      <c r="AO60" s="3">
        <v>8.4362399999999998E-13</v>
      </c>
      <c r="AP60" s="30">
        <v>9.4268300000000009E-13</v>
      </c>
      <c r="AR60" s="31">
        <v>5.7408299999999998E-15</v>
      </c>
      <c r="AS60" s="3">
        <v>3.6654799999999999E-13</v>
      </c>
      <c r="AT60" s="3">
        <v>7.5842199999999996E-13</v>
      </c>
      <c r="AU60" s="30">
        <v>2.4952199999999999E-16</v>
      </c>
      <c r="AV60" s="3">
        <v>7.3222200000000003E-13</v>
      </c>
    </row>
    <row r="61" spans="2:48" x14ac:dyDescent="0.25">
      <c r="B61" s="7">
        <v>1.67732E-13</v>
      </c>
      <c r="C61" s="31">
        <v>5.07154E-13</v>
      </c>
      <c r="D61" s="5">
        <v>7.2639600000000001E-12</v>
      </c>
      <c r="E61" s="3">
        <v>7.2106900000000002E-12</v>
      </c>
      <c r="F61" s="30">
        <v>7.5051200000000006E-12</v>
      </c>
      <c r="H61" s="3">
        <v>6.9264299999999995E-14</v>
      </c>
      <c r="I61" s="3">
        <v>2.3517399999999998E-13</v>
      </c>
      <c r="J61" s="3">
        <v>2.6062599999999998E-12</v>
      </c>
      <c r="K61" s="3">
        <v>2.5383900000000001E-12</v>
      </c>
      <c r="L61" s="30">
        <v>2.4799999999999999E-12</v>
      </c>
      <c r="N61" s="31">
        <v>3.93122E-14</v>
      </c>
      <c r="O61" s="3">
        <v>3.1265100000000001E-13</v>
      </c>
      <c r="P61" s="3">
        <v>3.1604499999999999E-12</v>
      </c>
      <c r="Q61" s="3">
        <v>3.4595E-12</v>
      </c>
      <c r="R61" s="30">
        <v>3.4488899999999999E-12</v>
      </c>
      <c r="T61" s="31">
        <v>3.7190600000000003E-14</v>
      </c>
      <c r="U61" s="3">
        <v>2.5788099999999998E-13</v>
      </c>
      <c r="V61" s="3">
        <v>3.04554E-12</v>
      </c>
      <c r="W61" s="3">
        <v>3.3524499999999999E-12</v>
      </c>
      <c r="X61" s="35">
        <v>3.3102799999999999E-12</v>
      </c>
      <c r="Z61" s="31">
        <v>5.3789200000000002E-14</v>
      </c>
      <c r="AA61" s="3">
        <v>4.5912100000000004E-13</v>
      </c>
      <c r="AB61" s="3">
        <v>3.29856E-12</v>
      </c>
      <c r="AC61" s="3">
        <v>3.3922599999999999E-12</v>
      </c>
      <c r="AD61" s="30">
        <v>3.1493500000000001E-12</v>
      </c>
      <c r="AF61" s="31">
        <v>2.2588900000000001E-14</v>
      </c>
      <c r="AG61" s="3">
        <v>3.6916700000000002E-13</v>
      </c>
      <c r="AH61" s="3">
        <v>1.7281899999999999E-12</v>
      </c>
      <c r="AI61" s="3">
        <v>1.7975499999999999E-12</v>
      </c>
      <c r="AJ61" s="30">
        <v>1.6140299999999999E-12</v>
      </c>
      <c r="AL61" s="31">
        <v>2.6957100000000001E-14</v>
      </c>
      <c r="AM61" s="3">
        <v>2.2307E-13</v>
      </c>
      <c r="AN61" s="3">
        <v>8.2890300000000005E-13</v>
      </c>
      <c r="AO61" s="3">
        <v>8.2940200000000002E-13</v>
      </c>
      <c r="AP61" s="30">
        <v>9.2272200000000007E-13</v>
      </c>
      <c r="AR61" s="31">
        <v>5.4912299999999999E-15</v>
      </c>
      <c r="AS61" s="3">
        <v>3.6592400000000001E-13</v>
      </c>
      <c r="AT61" s="3">
        <v>7.2560999999999997E-13</v>
      </c>
      <c r="AU61" s="30">
        <v>4.9904399999999999E-16</v>
      </c>
      <c r="AV61" s="3">
        <v>6.9941000000000005E-13</v>
      </c>
    </row>
    <row r="62" spans="2:48" x14ac:dyDescent="0.25">
      <c r="B62" s="7">
        <v>1.6261500000000001E-13</v>
      </c>
      <c r="C62" s="31">
        <v>4.9954300000000003E-13</v>
      </c>
      <c r="D62" s="5">
        <v>6.8538699999999998E-12</v>
      </c>
      <c r="E62" s="3">
        <v>7.1007700000000002E-12</v>
      </c>
      <c r="F62" s="30">
        <v>7.4572200000000004E-12</v>
      </c>
      <c r="H62" s="3">
        <v>5.5286599999999997E-14</v>
      </c>
      <c r="I62" s="3">
        <v>2.32679E-13</v>
      </c>
      <c r="J62" s="3">
        <v>2.4636499999999999E-12</v>
      </c>
      <c r="K62" s="3">
        <v>2.5322700000000001E-12</v>
      </c>
      <c r="L62" s="30">
        <v>2.3751999999999998E-12</v>
      </c>
      <c r="N62" s="31">
        <v>3.9062599999999999E-14</v>
      </c>
      <c r="O62" s="3">
        <v>3.1015599999999998E-13</v>
      </c>
      <c r="P62" s="3">
        <v>2.9617000000000002E-12</v>
      </c>
      <c r="Q62" s="3">
        <v>3.3226400000000001E-12</v>
      </c>
      <c r="R62" s="30">
        <v>3.4249400000000001E-12</v>
      </c>
      <c r="T62" s="31">
        <v>3.30722E-14</v>
      </c>
      <c r="U62" s="3">
        <v>2.5576000000000001E-13</v>
      </c>
      <c r="V62" s="3">
        <v>2.8989499999999999E-12</v>
      </c>
      <c r="W62" s="3">
        <v>3.3464599999999999E-12</v>
      </c>
      <c r="X62" s="35">
        <v>3.3028E-12</v>
      </c>
      <c r="Z62" s="31">
        <v>4.6800300000000003E-14</v>
      </c>
      <c r="AA62" s="3">
        <v>4.5887100000000001E-13</v>
      </c>
      <c r="AB62" s="3">
        <v>3.2015E-12</v>
      </c>
      <c r="AC62" s="3">
        <v>3.1428600000000002E-12</v>
      </c>
      <c r="AD62" s="30">
        <v>3.0835999999999999E-12</v>
      </c>
      <c r="AF62" s="31">
        <v>2.2089700000000001E-14</v>
      </c>
      <c r="AG62" s="3">
        <v>3.4895600000000002E-13</v>
      </c>
      <c r="AH62" s="3">
        <v>1.65894E-12</v>
      </c>
      <c r="AI62" s="3">
        <v>1.7611200000000001E-12</v>
      </c>
      <c r="AJ62" s="30">
        <v>1.55352E-12</v>
      </c>
      <c r="AL62" s="31">
        <v>2.6707499999999999E-14</v>
      </c>
      <c r="AM62" s="3">
        <v>2.1583400000000001E-13</v>
      </c>
      <c r="AN62" s="3">
        <v>8.2316399999999998E-13</v>
      </c>
      <c r="AO62" s="3">
        <v>8.2303900000000002E-13</v>
      </c>
      <c r="AP62" s="30">
        <v>9.0550499999999999E-13</v>
      </c>
      <c r="AR62" s="31">
        <v>5.11683E-15</v>
      </c>
      <c r="AS62" s="3">
        <v>3.65675E-13</v>
      </c>
      <c r="AT62" s="3">
        <v>7.1226100000000001E-13</v>
      </c>
      <c r="AU62" s="30">
        <v>6.2380499999999999E-16</v>
      </c>
      <c r="AV62" s="3">
        <v>6.6697199999999998E-13</v>
      </c>
    </row>
    <row r="63" spans="2:48" x14ac:dyDescent="0.25">
      <c r="B63" s="7">
        <v>1.6136700000000001E-13</v>
      </c>
      <c r="C63" s="31">
        <v>4.9480200000000002E-13</v>
      </c>
      <c r="D63" s="5">
        <v>6.8026000000000001E-12</v>
      </c>
      <c r="E63" s="3">
        <v>7.0532400000000003E-12</v>
      </c>
      <c r="F63" s="30">
        <v>7.0479999999999999E-12</v>
      </c>
      <c r="H63" s="3">
        <v>5.2041800000000002E-14</v>
      </c>
      <c r="I63" s="3">
        <v>2.27314E-13</v>
      </c>
      <c r="J63" s="3">
        <v>2.4128800000000001E-12</v>
      </c>
      <c r="K63" s="3">
        <v>2.4605399999999999E-12</v>
      </c>
      <c r="L63" s="30">
        <v>2.3455100000000002E-12</v>
      </c>
      <c r="N63" s="31">
        <v>3.8189000000000003E-14</v>
      </c>
      <c r="O63" s="3">
        <v>3.0928299999999999E-13</v>
      </c>
      <c r="P63" s="3">
        <v>2.8636400000000001E-12</v>
      </c>
      <c r="Q63" s="3">
        <v>3.3096599999999999E-12</v>
      </c>
      <c r="R63" s="30">
        <v>3.32763E-12</v>
      </c>
      <c r="T63" s="31">
        <v>3.2947400000000002E-14</v>
      </c>
      <c r="U63" s="3">
        <v>2.4041400000000002E-13</v>
      </c>
      <c r="V63" s="3">
        <v>2.8715E-12</v>
      </c>
      <c r="W63" s="3">
        <v>3.2867000000000001E-12</v>
      </c>
      <c r="X63" s="35">
        <v>3.3015499999999998E-12</v>
      </c>
      <c r="Z63" s="31">
        <v>4.4678699999999999E-14</v>
      </c>
      <c r="AA63" s="3">
        <v>4.5637600000000003E-13</v>
      </c>
      <c r="AB63" s="3">
        <v>3.1238899999999999E-12</v>
      </c>
      <c r="AC63" s="3">
        <v>3.1383700000000001E-12</v>
      </c>
      <c r="AD63" s="30">
        <v>3.07E-12</v>
      </c>
      <c r="AF63" s="31">
        <v>2.19649E-14</v>
      </c>
      <c r="AG63" s="3">
        <v>3.3909999999999999E-13</v>
      </c>
      <c r="AH63" s="3">
        <v>1.6550800000000001E-12</v>
      </c>
      <c r="AI63" s="3">
        <v>1.6066700000000001E-12</v>
      </c>
      <c r="AJ63" s="30">
        <v>1.5532699999999999E-12</v>
      </c>
      <c r="AL63" s="31">
        <v>2.47107E-14</v>
      </c>
      <c r="AM63" s="3">
        <v>1.9899099999999999E-13</v>
      </c>
      <c r="AN63" s="3">
        <v>8.2216600000000003E-13</v>
      </c>
      <c r="AO63" s="3">
        <v>8.1779900000000004E-13</v>
      </c>
      <c r="AP63" s="30">
        <v>8.8953599999999998E-13</v>
      </c>
      <c r="AR63" s="31">
        <v>4.7424200000000003E-15</v>
      </c>
      <c r="AS63" s="3">
        <v>3.61932E-13</v>
      </c>
      <c r="AT63" s="3">
        <v>6.8955400000000001E-13</v>
      </c>
      <c r="AU63" s="30">
        <v>2.3196800000000001E-12</v>
      </c>
      <c r="AV63" s="3">
        <v>6.4601300000000001E-13</v>
      </c>
    </row>
    <row r="64" spans="2:48" x14ac:dyDescent="0.25">
      <c r="B64" s="7">
        <v>1.6011900000000001E-13</v>
      </c>
      <c r="C64" s="31">
        <v>4.9392900000000003E-13</v>
      </c>
      <c r="D64" s="5">
        <v>6.7123900000000002E-12</v>
      </c>
      <c r="E64" s="3">
        <v>6.8738299999999996E-12</v>
      </c>
      <c r="F64" s="30">
        <v>6.9039000000000001E-12</v>
      </c>
      <c r="H64" s="3">
        <v>5.11682E-14</v>
      </c>
      <c r="I64" s="3">
        <v>2.2419500000000001E-13</v>
      </c>
      <c r="J64" s="3">
        <v>2.4087599999999999E-12</v>
      </c>
      <c r="K64" s="3">
        <v>2.4398300000000001E-12</v>
      </c>
      <c r="L64" s="30">
        <v>2.3221800000000001E-12</v>
      </c>
      <c r="N64" s="31">
        <v>3.2822599999999998E-14</v>
      </c>
      <c r="O64" s="3">
        <v>3.0878400000000001E-13</v>
      </c>
      <c r="P64" s="3">
        <v>2.8532800000000001E-12</v>
      </c>
      <c r="Q64" s="3">
        <v>3.2724799999999998E-12</v>
      </c>
      <c r="R64" s="30">
        <v>3.2666200000000001E-12</v>
      </c>
      <c r="T64" s="31">
        <v>3.2822599999999998E-14</v>
      </c>
      <c r="U64" s="3">
        <v>2.37295E-13</v>
      </c>
      <c r="V64" s="3">
        <v>2.7156699999999999E-12</v>
      </c>
      <c r="W64" s="3">
        <v>3.0616300000000002E-12</v>
      </c>
      <c r="X64" s="35">
        <v>3.2235700000000002E-12</v>
      </c>
      <c r="Z64" s="31">
        <v>4.3056299999999999E-14</v>
      </c>
      <c r="AA64" s="3">
        <v>4.4951400000000001E-13</v>
      </c>
      <c r="AB64" s="3">
        <v>3.1020599999999998E-12</v>
      </c>
      <c r="AC64" s="3">
        <v>3.1121700000000001E-12</v>
      </c>
      <c r="AD64" s="30">
        <v>3.0280800000000002E-12</v>
      </c>
      <c r="AF64" s="31">
        <v>2.1091300000000001E-14</v>
      </c>
      <c r="AG64" s="3">
        <v>3.14522E-13</v>
      </c>
      <c r="AH64" s="3">
        <v>1.58833E-12</v>
      </c>
      <c r="AI64" s="3">
        <v>1.5642499999999999E-12</v>
      </c>
      <c r="AJ64" s="30">
        <v>1.4473500000000001E-12</v>
      </c>
      <c r="AL64" s="31">
        <v>2.4461100000000001E-14</v>
      </c>
      <c r="AM64" s="3">
        <v>1.9537299999999999E-13</v>
      </c>
      <c r="AN64" s="3">
        <v>8.2129199999999997E-13</v>
      </c>
      <c r="AO64" s="3">
        <v>8.1243399999999999E-13</v>
      </c>
      <c r="AP64" s="30">
        <v>8.7007299999999996E-13</v>
      </c>
      <c r="AR64" s="31">
        <v>3.3696200000000001E-15</v>
      </c>
      <c r="AS64" s="3">
        <v>3.6180699999999998E-13</v>
      </c>
      <c r="AT64" s="3">
        <v>6.8206899999999997E-13</v>
      </c>
      <c r="AU64" s="30">
        <v>4.9904399999999999E-16</v>
      </c>
      <c r="AV64" s="3">
        <v>6.3016799999999999E-13</v>
      </c>
    </row>
    <row r="65" spans="2:48" x14ac:dyDescent="0.25">
      <c r="B65" s="7">
        <v>1.56625E-13</v>
      </c>
      <c r="C65" s="31">
        <v>4.9268100000000005E-13</v>
      </c>
      <c r="D65" s="5">
        <v>6.5862600000000003E-12</v>
      </c>
      <c r="E65" s="3">
        <v>6.82031E-12</v>
      </c>
      <c r="F65" s="30">
        <v>6.8008499999999996E-12</v>
      </c>
      <c r="H65" s="3">
        <v>4.9171400000000001E-14</v>
      </c>
      <c r="I65" s="3">
        <v>1.94752E-13</v>
      </c>
      <c r="J65" s="3">
        <v>2.3836800000000002E-12</v>
      </c>
      <c r="K65" s="3">
        <v>2.4034E-12</v>
      </c>
      <c r="L65" s="30">
        <v>2.30671E-12</v>
      </c>
      <c r="N65" s="31">
        <v>2.8828999999999999E-14</v>
      </c>
      <c r="O65" s="3">
        <v>3.01547E-13</v>
      </c>
      <c r="P65" s="3">
        <v>2.80163E-12</v>
      </c>
      <c r="Q65" s="3">
        <v>3.23019E-12</v>
      </c>
      <c r="R65" s="30">
        <v>3.2587600000000001E-12</v>
      </c>
      <c r="T65" s="31">
        <v>3.2198599999999997E-14</v>
      </c>
      <c r="U65" s="3">
        <v>2.3517399999999998E-13</v>
      </c>
      <c r="V65" s="3">
        <v>2.6852299999999999E-12</v>
      </c>
      <c r="W65" s="3">
        <v>2.8491700000000001E-12</v>
      </c>
      <c r="X65" s="35">
        <v>3.1081700000000001E-12</v>
      </c>
      <c r="Z65" s="31">
        <v>4.2182700000000003E-14</v>
      </c>
      <c r="AA65" s="3">
        <v>4.3154899999999999E-13</v>
      </c>
      <c r="AB65" s="3">
        <v>3.06613E-12</v>
      </c>
      <c r="AC65" s="3">
        <v>3.0716200000000002E-12</v>
      </c>
      <c r="AD65" s="30">
        <v>2.7492400000000001E-12</v>
      </c>
      <c r="AF65" s="31">
        <v>1.88449E-14</v>
      </c>
      <c r="AG65" s="3">
        <v>3.1003100000000001E-13</v>
      </c>
      <c r="AH65" s="3">
        <v>1.57224E-12</v>
      </c>
      <c r="AI65" s="3">
        <v>1.5456600000000001E-12</v>
      </c>
      <c r="AJ65" s="30">
        <v>1.42751E-12</v>
      </c>
      <c r="AL65" s="31">
        <v>2.37123E-14</v>
      </c>
      <c r="AM65" s="3">
        <v>1.9512399999999999E-13</v>
      </c>
      <c r="AN65" s="3">
        <v>7.9970899999999996E-13</v>
      </c>
      <c r="AO65" s="3">
        <v>7.9272200000000002E-13</v>
      </c>
      <c r="AP65" s="30">
        <v>8.3900800000000003E-13</v>
      </c>
      <c r="AR65" s="31">
        <v>2.6208100000000001E-15</v>
      </c>
      <c r="AS65" s="3">
        <v>3.4396600000000001E-13</v>
      </c>
      <c r="AT65" s="3">
        <v>6.7071500000000004E-13</v>
      </c>
      <c r="AU65" s="30">
        <v>2.4952199999999999E-16</v>
      </c>
      <c r="AV65" s="3">
        <v>6.2081100000000003E-13</v>
      </c>
    </row>
    <row r="66" spans="2:48" x14ac:dyDescent="0.25">
      <c r="B66" s="7">
        <v>1.56126E-13</v>
      </c>
      <c r="C66" s="31">
        <v>4.8082900000000001E-13</v>
      </c>
      <c r="D66" s="5">
        <v>6.4021100000000001E-12</v>
      </c>
      <c r="E66" s="3">
        <v>6.6866899999999997E-12</v>
      </c>
      <c r="F66" s="30">
        <v>6.7881200000000004E-12</v>
      </c>
      <c r="H66" s="3">
        <v>4.6924999999999999E-14</v>
      </c>
      <c r="I66" s="3">
        <v>1.8851400000000001E-13</v>
      </c>
      <c r="J66" s="3">
        <v>2.3188099999999999E-12</v>
      </c>
      <c r="K66" s="3">
        <v>2.3549899999999998E-12</v>
      </c>
      <c r="L66" s="30">
        <v>2.2503099999999999E-12</v>
      </c>
      <c r="N66" s="31">
        <v>2.64578E-14</v>
      </c>
      <c r="O66" s="3">
        <v>2.72728E-13</v>
      </c>
      <c r="P66" s="3">
        <v>2.7889100000000001E-12</v>
      </c>
      <c r="Q66" s="3">
        <v>2.8603999999999998E-12</v>
      </c>
      <c r="R66" s="30">
        <v>3.2212E-12</v>
      </c>
      <c r="T66" s="31">
        <v>2.4710500000000001E-14</v>
      </c>
      <c r="U66" s="3">
        <v>2.3093300000000002E-13</v>
      </c>
      <c r="V66" s="3">
        <v>2.6182299999999998E-12</v>
      </c>
      <c r="W66" s="3">
        <v>2.76657E-12</v>
      </c>
      <c r="X66" s="35">
        <v>2.9349999999999999E-12</v>
      </c>
      <c r="Z66" s="31">
        <v>4.1059499999999999E-14</v>
      </c>
      <c r="AA66" s="3">
        <v>4.2705699999999998E-13</v>
      </c>
      <c r="AB66" s="3">
        <v>2.74998E-12</v>
      </c>
      <c r="AC66" s="3">
        <v>3.0082400000000001E-12</v>
      </c>
      <c r="AD66" s="30">
        <v>2.6672699999999998E-12</v>
      </c>
      <c r="AF66" s="31">
        <v>1.83457E-14</v>
      </c>
      <c r="AG66" s="3">
        <v>3.0791E-13</v>
      </c>
      <c r="AH66" s="3">
        <v>1.5637500000000001E-12</v>
      </c>
      <c r="AI66" s="3">
        <v>1.5042400000000001E-12</v>
      </c>
      <c r="AJ66" s="30">
        <v>1.4051800000000001E-12</v>
      </c>
      <c r="AL66" s="31">
        <v>2.2464299999999999E-14</v>
      </c>
      <c r="AM66" s="3">
        <v>1.9387599999999999E-13</v>
      </c>
      <c r="AN66" s="3">
        <v>7.93221E-13</v>
      </c>
      <c r="AO66" s="3">
        <v>7.9072600000000002E-13</v>
      </c>
      <c r="AP66" s="30">
        <v>8.2166599999999998E-13</v>
      </c>
      <c r="AR66" s="31">
        <v>2.2464100000000002E-15</v>
      </c>
      <c r="AS66" s="3">
        <v>3.12526E-13</v>
      </c>
      <c r="AT66" s="3">
        <v>6.3341199999999997E-13</v>
      </c>
      <c r="AU66" s="30">
        <v>4.4090499999999998E-13</v>
      </c>
      <c r="AV66" s="3">
        <v>6.1781699999999997E-13</v>
      </c>
    </row>
    <row r="67" spans="2:48" x14ac:dyDescent="0.25">
      <c r="B67" s="7">
        <v>1.55127E-13</v>
      </c>
      <c r="C67" s="31">
        <v>4.7596300000000004E-13</v>
      </c>
      <c r="D67" s="5">
        <v>6.3540799999999999E-12</v>
      </c>
      <c r="E67" s="3">
        <v>6.6067200000000003E-12</v>
      </c>
      <c r="F67" s="30">
        <v>6.5235099999999999E-12</v>
      </c>
      <c r="H67" s="3">
        <v>4.6051399999999997E-14</v>
      </c>
      <c r="I67" s="3">
        <v>1.86518E-13</v>
      </c>
      <c r="J67" s="3">
        <v>2.29772E-12</v>
      </c>
      <c r="K67" s="3">
        <v>2.3097000000000001E-12</v>
      </c>
      <c r="L67" s="30">
        <v>2.2469400000000001E-12</v>
      </c>
      <c r="N67" s="31">
        <v>2.5459299999999999E-14</v>
      </c>
      <c r="O67" s="3">
        <v>2.6973300000000002E-13</v>
      </c>
      <c r="P67" s="3">
        <v>2.63558E-12</v>
      </c>
      <c r="Q67" s="3">
        <v>2.8425499999999998E-12</v>
      </c>
      <c r="R67" s="30">
        <v>2.8475499999999999E-12</v>
      </c>
      <c r="T67" s="31">
        <v>2.3836899999999999E-14</v>
      </c>
      <c r="U67" s="3">
        <v>2.2818800000000002E-13</v>
      </c>
      <c r="V67" s="3">
        <v>2.4474399999999999E-12</v>
      </c>
      <c r="W67" s="3">
        <v>2.7577200000000001E-12</v>
      </c>
      <c r="X67" s="35">
        <v>2.8515400000000002E-12</v>
      </c>
      <c r="Z67" s="31">
        <v>3.5942600000000002E-14</v>
      </c>
      <c r="AA67" s="3">
        <v>4.1957199999999999E-13</v>
      </c>
      <c r="AB67" s="3">
        <v>2.5975300000000001E-12</v>
      </c>
      <c r="AC67" s="3">
        <v>2.7185399999999998E-12</v>
      </c>
      <c r="AD67" s="30">
        <v>2.45405E-12</v>
      </c>
      <c r="AF67" s="31">
        <v>1.8220899999999999E-14</v>
      </c>
      <c r="AG67" s="3">
        <v>2.9780399999999999E-13</v>
      </c>
      <c r="AH67" s="3">
        <v>1.5295699999999999E-12</v>
      </c>
      <c r="AI67" s="3">
        <v>1.5027399999999999E-12</v>
      </c>
      <c r="AJ67" s="30">
        <v>1.37586E-12</v>
      </c>
      <c r="AL67" s="31">
        <v>2.1965099999999999E-14</v>
      </c>
      <c r="AM67" s="3">
        <v>1.89635E-13</v>
      </c>
      <c r="AN67" s="3">
        <v>7.9284699999999998E-13</v>
      </c>
      <c r="AO67" s="3">
        <v>7.8373999999999995E-13</v>
      </c>
      <c r="AP67" s="30">
        <v>8.1867200000000003E-13</v>
      </c>
      <c r="AR67" s="31">
        <v>2.2464100000000002E-15</v>
      </c>
      <c r="AS67" s="3">
        <v>3.0878400000000001E-13</v>
      </c>
      <c r="AT67" s="3">
        <v>6.1319999999999995E-13</v>
      </c>
      <c r="AU67" s="30">
        <v>5.8063799999999999E-13</v>
      </c>
      <c r="AV67" s="3">
        <v>5.5967799999999995E-13</v>
      </c>
    </row>
    <row r="68" spans="2:48" x14ac:dyDescent="0.25">
      <c r="B68" s="7">
        <v>1.5125800000000001E-13</v>
      </c>
      <c r="C68" s="31">
        <v>4.7097299999999998E-13</v>
      </c>
      <c r="D68" s="5">
        <v>6.0965700000000001E-12</v>
      </c>
      <c r="E68" s="3">
        <v>6.4701100000000002E-12</v>
      </c>
      <c r="F68" s="30">
        <v>6.4372999999999996E-12</v>
      </c>
      <c r="H68" s="3">
        <v>4.5177800000000001E-14</v>
      </c>
      <c r="I68" s="3">
        <v>1.86019E-13</v>
      </c>
      <c r="J68" s="3">
        <v>2.27152E-12</v>
      </c>
      <c r="K68" s="3">
        <v>2.28824E-12</v>
      </c>
      <c r="L68" s="30">
        <v>2.151E-12</v>
      </c>
      <c r="N68" s="31">
        <v>2.24641E-14</v>
      </c>
      <c r="O68" s="3">
        <v>2.6387000000000002E-13</v>
      </c>
      <c r="P68" s="3">
        <v>2.5344000000000002E-12</v>
      </c>
      <c r="Q68" s="3">
        <v>2.8386899999999999E-12</v>
      </c>
      <c r="R68" s="30">
        <v>2.8211000000000002E-12</v>
      </c>
      <c r="T68" s="31">
        <v>2.14657E-14</v>
      </c>
      <c r="U68" s="3">
        <v>2.2394600000000001E-13</v>
      </c>
      <c r="V68" s="3">
        <v>2.4429400000000001E-12</v>
      </c>
      <c r="W68" s="3">
        <v>2.6384499999999999E-12</v>
      </c>
      <c r="X68" s="35">
        <v>2.78292E-12</v>
      </c>
      <c r="Z68" s="31">
        <v>3.3196999999999997E-14</v>
      </c>
      <c r="AA68" s="3">
        <v>4.1271000000000002E-13</v>
      </c>
      <c r="AB68" s="3">
        <v>2.5742000000000001E-12</v>
      </c>
      <c r="AC68" s="3">
        <v>2.5632200000000001E-12</v>
      </c>
      <c r="AD68" s="30">
        <v>2.4027699999999999E-12</v>
      </c>
      <c r="AF68" s="31">
        <v>1.5974500000000001E-14</v>
      </c>
      <c r="AG68" s="3">
        <v>2.9680599999999999E-13</v>
      </c>
      <c r="AH68" s="3">
        <v>1.40032E-12</v>
      </c>
      <c r="AI68" s="3">
        <v>1.5013700000000001E-12</v>
      </c>
      <c r="AJ68" s="30">
        <v>1.3469200000000001E-12</v>
      </c>
      <c r="AL68" s="31">
        <v>2.12163E-14</v>
      </c>
      <c r="AM68" s="3">
        <v>1.8139999999999999E-13</v>
      </c>
      <c r="AN68" s="3">
        <v>7.8548600000000003E-13</v>
      </c>
      <c r="AO68" s="3">
        <v>7.7862399999999995E-13</v>
      </c>
      <c r="AP68" s="30">
        <v>8.05198E-13</v>
      </c>
      <c r="AR68" s="31">
        <v>2.1216100000000002E-15</v>
      </c>
      <c r="AS68" s="3">
        <v>3.0204600000000002E-13</v>
      </c>
      <c r="AT68" s="3">
        <v>6.0134800000000001E-13</v>
      </c>
      <c r="AU68" s="30">
        <v>8.7332699999999998E-16</v>
      </c>
      <c r="AV68" s="3">
        <v>5.5942800000000003E-13</v>
      </c>
    </row>
    <row r="69" spans="2:48" x14ac:dyDescent="0.25">
      <c r="B69" s="7">
        <v>1.5100900000000001E-13</v>
      </c>
      <c r="C69" s="31">
        <v>4.6797900000000002E-13</v>
      </c>
      <c r="D69" s="5">
        <v>5.6853600000000003E-12</v>
      </c>
      <c r="E69" s="3">
        <v>6.3554499999999999E-12</v>
      </c>
      <c r="F69" s="30">
        <v>6.4350499999999997E-12</v>
      </c>
      <c r="H69" s="3">
        <v>4.4054599999999998E-14</v>
      </c>
      <c r="I69" s="3">
        <v>1.8439700000000001E-13</v>
      </c>
      <c r="J69" s="3">
        <v>2.1685900000000002E-12</v>
      </c>
      <c r="K69" s="3">
        <v>2.2521799999999998E-12</v>
      </c>
      <c r="L69" s="30">
        <v>2.1130800000000001E-12</v>
      </c>
      <c r="N69" s="31">
        <v>2.2089700000000001E-14</v>
      </c>
      <c r="O69" s="3">
        <v>2.6187299999999999E-13</v>
      </c>
      <c r="P69" s="3">
        <v>2.5028300000000002E-12</v>
      </c>
      <c r="Q69" s="3">
        <v>2.8047500000000001E-12</v>
      </c>
      <c r="R69" s="30">
        <v>2.7704400000000001E-12</v>
      </c>
      <c r="T69" s="31">
        <v>2.04673E-14</v>
      </c>
      <c r="U69" s="3">
        <v>2.2257399999999999E-13</v>
      </c>
      <c r="V69" s="3">
        <v>2.4287200000000002E-12</v>
      </c>
      <c r="W69" s="3">
        <v>2.5446299999999998E-12</v>
      </c>
      <c r="X69" s="35">
        <v>2.7797999999999999E-12</v>
      </c>
      <c r="Z69" s="31">
        <v>3.10754E-14</v>
      </c>
      <c r="AA69" s="3">
        <v>4.1146199999999999E-13</v>
      </c>
      <c r="AB69" s="3">
        <v>2.5561100000000001E-12</v>
      </c>
      <c r="AC69" s="3">
        <v>2.53777E-12</v>
      </c>
      <c r="AD69" s="30">
        <v>2.2585499999999999E-12</v>
      </c>
      <c r="AF69" s="31">
        <v>1.52257E-14</v>
      </c>
      <c r="AG69" s="3">
        <v>2.8844699999999998E-13</v>
      </c>
      <c r="AH69" s="3">
        <v>1.3781100000000001E-12</v>
      </c>
      <c r="AI69" s="3">
        <v>1.37985E-12</v>
      </c>
      <c r="AJ69" s="30">
        <v>1.3196E-12</v>
      </c>
      <c r="AL69" s="31">
        <v>2.0467499999999999E-14</v>
      </c>
      <c r="AM69" s="3">
        <v>1.5719700000000001E-13</v>
      </c>
      <c r="AN69" s="3">
        <v>7.8448799999999998E-13</v>
      </c>
      <c r="AO69" s="3">
        <v>7.7363399999999999E-13</v>
      </c>
      <c r="AP69" s="30">
        <v>8.0220400000000004E-13</v>
      </c>
      <c r="AR69" s="31">
        <v>1.8720099999999998E-15</v>
      </c>
      <c r="AS69" s="3">
        <v>2.99676E-13</v>
      </c>
      <c r="AT69" s="3">
        <v>5.8475499999999997E-13</v>
      </c>
      <c r="AU69" s="30">
        <v>7.8736699999999999E-13</v>
      </c>
      <c r="AV69" s="3">
        <v>5.12019E-13</v>
      </c>
    </row>
    <row r="70" spans="2:48" x14ac:dyDescent="0.25">
      <c r="B70" s="7">
        <v>1.5075900000000001E-13</v>
      </c>
      <c r="C70" s="31">
        <v>4.6797900000000002E-13</v>
      </c>
      <c r="D70" s="5">
        <v>5.6428200000000004E-12</v>
      </c>
      <c r="E70" s="3">
        <v>6.1824100000000001E-12</v>
      </c>
      <c r="F70" s="30">
        <v>6.2472799999999996E-12</v>
      </c>
      <c r="H70" s="3">
        <v>4.2182600000000002E-14</v>
      </c>
      <c r="I70" s="3">
        <v>1.8414699999999999E-13</v>
      </c>
      <c r="J70" s="3">
        <v>2.12193E-12</v>
      </c>
      <c r="K70" s="3">
        <v>2.24495E-12</v>
      </c>
      <c r="L70" s="30">
        <v>2.08588E-12</v>
      </c>
      <c r="N70" s="31">
        <v>2.0592100000000001E-14</v>
      </c>
      <c r="O70" s="3">
        <v>2.5700799999999999E-13</v>
      </c>
      <c r="P70" s="3">
        <v>2.3977799999999999E-12</v>
      </c>
      <c r="Q70" s="3">
        <v>2.7464899999999999E-12</v>
      </c>
      <c r="R70" s="30">
        <v>2.74923E-12</v>
      </c>
      <c r="T70" s="31">
        <v>1.5974500000000001E-14</v>
      </c>
      <c r="U70" s="3">
        <v>1.94752E-13</v>
      </c>
      <c r="V70" s="3">
        <v>2.32467E-12</v>
      </c>
      <c r="W70" s="3">
        <v>2.5363899999999999E-12</v>
      </c>
      <c r="X70" s="35">
        <v>2.5169299999999999E-12</v>
      </c>
      <c r="Z70" s="31">
        <v>2.7705800000000001E-14</v>
      </c>
      <c r="AA70" s="3">
        <v>4.0934100000000002E-13</v>
      </c>
      <c r="AB70" s="3">
        <v>2.48873E-12</v>
      </c>
      <c r="AC70" s="3">
        <v>2.4939700000000001E-12</v>
      </c>
      <c r="AD70" s="30">
        <v>2.2453300000000001E-12</v>
      </c>
      <c r="AF70" s="31">
        <v>1.52257E-14</v>
      </c>
      <c r="AG70" s="3">
        <v>2.7921499999999999E-13</v>
      </c>
      <c r="AH70" s="3">
        <v>1.3297000000000001E-12</v>
      </c>
      <c r="AI70" s="3">
        <v>1.3579000000000001E-12</v>
      </c>
      <c r="AJ70" s="30">
        <v>1.2778000000000001E-12</v>
      </c>
      <c r="AL70" s="31">
        <v>1.87202E-14</v>
      </c>
      <c r="AM70" s="3">
        <v>1.56573E-13</v>
      </c>
      <c r="AN70" s="3">
        <v>7.5828900000000002E-13</v>
      </c>
      <c r="AO70" s="3">
        <v>7.00899E-13</v>
      </c>
      <c r="AP70" s="30">
        <v>7.9721399999999998E-13</v>
      </c>
      <c r="AR70" s="31">
        <v>1.8720099999999998E-15</v>
      </c>
      <c r="AS70" s="3">
        <v>2.8245900000000002E-13</v>
      </c>
      <c r="AT70" s="3">
        <v>5.7564699999999996E-13</v>
      </c>
      <c r="AU70" s="30">
        <v>1.00682E-13</v>
      </c>
      <c r="AV70" s="3">
        <v>4.8457199999999997E-13</v>
      </c>
    </row>
    <row r="71" spans="2:48" x14ac:dyDescent="0.25">
      <c r="B71" s="7">
        <v>1.5026000000000001E-13</v>
      </c>
      <c r="C71" s="31">
        <v>4.5500399999999997E-13</v>
      </c>
      <c r="D71" s="5">
        <v>5.63171E-12</v>
      </c>
      <c r="E71" s="3">
        <v>5.8606500000000001E-12</v>
      </c>
      <c r="F71" s="30">
        <v>6.0985700000000003E-12</v>
      </c>
      <c r="H71" s="3">
        <v>4.0435399999999998E-14</v>
      </c>
      <c r="I71" s="3">
        <v>1.83274E-13</v>
      </c>
      <c r="J71" s="3">
        <v>2.1159500000000001E-12</v>
      </c>
      <c r="K71" s="3">
        <v>2.2186200000000001E-12</v>
      </c>
      <c r="L71" s="30">
        <v>2.0828800000000001E-12</v>
      </c>
      <c r="N71" s="31">
        <v>1.99681E-14</v>
      </c>
      <c r="O71" s="3">
        <v>2.5338999999999999E-13</v>
      </c>
      <c r="P71" s="3">
        <v>2.3437600000000001E-12</v>
      </c>
      <c r="Q71" s="3">
        <v>2.7377599999999998E-12</v>
      </c>
      <c r="R71" s="30">
        <v>2.6722600000000002E-12</v>
      </c>
      <c r="T71" s="31">
        <v>1.5475300000000001E-14</v>
      </c>
      <c r="U71" s="3">
        <v>1.91633E-13</v>
      </c>
      <c r="V71" s="3">
        <v>2.2945999999999999E-12</v>
      </c>
      <c r="W71" s="3">
        <v>2.4841200000000001E-12</v>
      </c>
      <c r="X71" s="35">
        <v>2.4927199999999999E-12</v>
      </c>
      <c r="Z71" s="31">
        <v>2.5833799999999999E-14</v>
      </c>
      <c r="AA71" s="3">
        <v>4.0859299999999999E-13</v>
      </c>
      <c r="AB71" s="3">
        <v>2.4600400000000001E-12</v>
      </c>
      <c r="AC71" s="3">
        <v>2.4489399999999999E-12</v>
      </c>
      <c r="AD71" s="30">
        <v>2.2128899999999999E-12</v>
      </c>
      <c r="AF71" s="31">
        <v>1.5100899999999999E-14</v>
      </c>
      <c r="AG71" s="3">
        <v>2.6998200000000002E-13</v>
      </c>
      <c r="AH71" s="3">
        <v>1.30175E-12</v>
      </c>
      <c r="AI71" s="3">
        <v>1.31174E-12</v>
      </c>
      <c r="AJ71" s="30">
        <v>1.26894E-12</v>
      </c>
      <c r="AL71" s="31">
        <v>1.7472199999999999E-14</v>
      </c>
      <c r="AM71" s="3">
        <v>1.5495100000000001E-13</v>
      </c>
      <c r="AN71" s="3">
        <v>7.1125400000000001E-13</v>
      </c>
      <c r="AO71" s="3">
        <v>6.9565900000000001E-13</v>
      </c>
      <c r="AP71" s="30">
        <v>7.9247299999999997E-13</v>
      </c>
      <c r="AR71" s="31">
        <v>1.74721E-15</v>
      </c>
      <c r="AS71" s="3">
        <v>2.72728E-13</v>
      </c>
      <c r="AT71" s="3">
        <v>5.3609799999999996E-13</v>
      </c>
      <c r="AU71" s="30">
        <v>2.07453E-12</v>
      </c>
      <c r="AV71" s="3">
        <v>4.5762300000000004E-13</v>
      </c>
    </row>
    <row r="72" spans="2:48" x14ac:dyDescent="0.25">
      <c r="B72" s="7">
        <v>1.50135E-13</v>
      </c>
      <c r="C72" s="31">
        <v>4.5462899999999998E-13</v>
      </c>
      <c r="D72" s="5">
        <v>5.5032100000000003E-12</v>
      </c>
      <c r="E72" s="3">
        <v>5.71755E-12</v>
      </c>
      <c r="F72" s="30">
        <v>5.8953300000000001E-12</v>
      </c>
      <c r="H72" s="3">
        <v>3.93122E-14</v>
      </c>
      <c r="I72" s="3">
        <v>1.7366699999999999E-13</v>
      </c>
      <c r="J72" s="3">
        <v>2.0890000000000001E-12</v>
      </c>
      <c r="K72" s="3">
        <v>2.1200600000000002E-12</v>
      </c>
      <c r="L72" s="30">
        <v>1.95787E-12</v>
      </c>
      <c r="N72" s="31">
        <v>1.99681E-14</v>
      </c>
      <c r="O72" s="3">
        <v>2.5151799999999998E-13</v>
      </c>
      <c r="P72" s="3">
        <v>2.2105200000000002E-12</v>
      </c>
      <c r="Q72" s="3">
        <v>2.6657699999999999E-12</v>
      </c>
      <c r="R72" s="30">
        <v>2.6503000000000001E-12</v>
      </c>
      <c r="T72" s="31">
        <v>1.52257E-14</v>
      </c>
      <c r="U72" s="3">
        <v>1.90136E-13</v>
      </c>
      <c r="V72" s="3">
        <v>2.13653E-12</v>
      </c>
      <c r="W72" s="3">
        <v>2.3936600000000001E-12</v>
      </c>
      <c r="X72" s="35">
        <v>2.4758800000000001E-12</v>
      </c>
      <c r="Z72" s="31">
        <v>2.3462600000000001E-14</v>
      </c>
      <c r="AA72" s="3">
        <v>3.9624100000000001E-13</v>
      </c>
      <c r="AB72" s="3">
        <v>2.4570499999999999E-12</v>
      </c>
      <c r="AC72" s="3">
        <v>2.4372099999999999E-12</v>
      </c>
      <c r="AD72" s="30">
        <v>2.2045300000000001E-12</v>
      </c>
      <c r="AF72" s="31">
        <v>1.4851300000000001E-14</v>
      </c>
      <c r="AG72" s="3">
        <v>2.66863E-13</v>
      </c>
      <c r="AH72" s="3">
        <v>1.2795499999999999E-12</v>
      </c>
      <c r="AI72" s="3">
        <v>1.30936E-12</v>
      </c>
      <c r="AJ72" s="30">
        <v>1.24486E-12</v>
      </c>
      <c r="AL72" s="31">
        <v>1.6972999999999999E-14</v>
      </c>
      <c r="AM72" s="3">
        <v>1.4983600000000001E-13</v>
      </c>
      <c r="AN72" s="3">
        <v>6.9877800000000003E-13</v>
      </c>
      <c r="AO72" s="3">
        <v>6.9478600000000002E-13</v>
      </c>
      <c r="AP72" s="30">
        <v>7.89603E-13</v>
      </c>
      <c r="AR72" s="31">
        <v>1.4976100000000001E-15</v>
      </c>
      <c r="AS72" s="3">
        <v>2.6686400000000002E-13</v>
      </c>
      <c r="AT72" s="3">
        <v>5.1164499999999999E-13</v>
      </c>
      <c r="AU72" s="30">
        <v>1.3975700000000001E-12</v>
      </c>
      <c r="AV72" s="3">
        <v>4.4439899999999998E-13</v>
      </c>
    </row>
    <row r="73" spans="2:48" x14ac:dyDescent="0.25">
      <c r="B73" s="7">
        <v>1.4751400000000001E-13</v>
      </c>
      <c r="C73" s="31">
        <v>4.5338199999999998E-13</v>
      </c>
      <c r="D73" s="5">
        <v>5.37096E-12</v>
      </c>
      <c r="E73" s="3">
        <v>5.7052000000000004E-12</v>
      </c>
      <c r="F73" s="30">
        <v>5.8129900000000003E-12</v>
      </c>
      <c r="H73" s="3">
        <v>3.79393E-14</v>
      </c>
      <c r="I73" s="3">
        <v>1.72045E-13</v>
      </c>
      <c r="J73" s="3">
        <v>2.0469499999999999E-12</v>
      </c>
      <c r="K73" s="3">
        <v>2.11981E-12</v>
      </c>
      <c r="L73" s="30">
        <v>1.9446500000000002E-12</v>
      </c>
      <c r="N73" s="31">
        <v>1.7721699999999999E-14</v>
      </c>
      <c r="O73" s="3">
        <v>2.50021E-13</v>
      </c>
      <c r="P73" s="3">
        <v>2.1884300000000002E-12</v>
      </c>
      <c r="Q73" s="3">
        <v>2.5602200000000002E-12</v>
      </c>
      <c r="R73" s="30">
        <v>2.50059E-12</v>
      </c>
      <c r="T73" s="31">
        <v>1.4851300000000001E-14</v>
      </c>
      <c r="U73" s="3">
        <v>1.8714099999999999E-13</v>
      </c>
      <c r="V73" s="3">
        <v>2.1321700000000002E-12</v>
      </c>
      <c r="W73" s="3">
        <v>2.3926700000000001E-12</v>
      </c>
      <c r="X73" s="35">
        <v>2.4530499999999999E-12</v>
      </c>
      <c r="Z73" s="31">
        <v>2.0841699999999999E-14</v>
      </c>
      <c r="AA73" s="3">
        <v>3.7989799999999998E-13</v>
      </c>
      <c r="AB73" s="3">
        <v>2.3407699999999999E-12</v>
      </c>
      <c r="AC73" s="3">
        <v>2.30134E-12</v>
      </c>
      <c r="AD73" s="30">
        <v>2.1895599999999998E-12</v>
      </c>
      <c r="AF73" s="31">
        <v>1.47265E-14</v>
      </c>
      <c r="AG73" s="3">
        <v>2.6062500000000001E-13</v>
      </c>
      <c r="AH73" s="3">
        <v>1.27805E-12</v>
      </c>
      <c r="AI73" s="3">
        <v>1.28092E-12</v>
      </c>
      <c r="AJ73" s="30">
        <v>1.22191E-12</v>
      </c>
      <c r="AL73" s="31">
        <v>1.6848200000000001E-14</v>
      </c>
      <c r="AM73" s="3">
        <v>1.4958700000000001E-13</v>
      </c>
      <c r="AN73" s="3">
        <v>6.7731999999999999E-13</v>
      </c>
      <c r="AO73" s="3">
        <v>6.6309699999999996E-13</v>
      </c>
      <c r="AP73" s="30">
        <v>7.8623500000000003E-13</v>
      </c>
      <c r="AR73" s="31">
        <v>1.4976100000000001E-15</v>
      </c>
      <c r="AS73" s="3">
        <v>2.61998E-13</v>
      </c>
      <c r="AT73" s="3">
        <v>4.97297E-13</v>
      </c>
      <c r="AU73" s="30">
        <v>5.4894900000000001E-14</v>
      </c>
      <c r="AV73" s="3">
        <v>4.4128000000000001E-13</v>
      </c>
    </row>
    <row r="74" spans="2:48" x14ac:dyDescent="0.25">
      <c r="B74" s="7">
        <v>1.4738999999999999E-13</v>
      </c>
      <c r="C74" s="31">
        <v>4.5163500000000002E-13</v>
      </c>
      <c r="D74" s="5">
        <v>5.2561799999999999E-12</v>
      </c>
      <c r="E74" s="3">
        <v>5.68848E-12</v>
      </c>
      <c r="F74" s="30">
        <v>5.71256E-12</v>
      </c>
      <c r="H74" s="3">
        <v>3.4195300000000002E-14</v>
      </c>
      <c r="I74" s="3">
        <v>1.7092300000000001E-13</v>
      </c>
      <c r="J74" s="3">
        <v>1.94265E-12</v>
      </c>
      <c r="K74" s="3">
        <v>2.0165099999999999E-12</v>
      </c>
      <c r="L74" s="30">
        <v>1.9344200000000002E-12</v>
      </c>
      <c r="N74" s="31">
        <v>1.7097699999999999E-14</v>
      </c>
      <c r="O74" s="3">
        <v>2.4677700000000002E-13</v>
      </c>
      <c r="P74" s="3">
        <v>2.1543699999999998E-12</v>
      </c>
      <c r="Q74" s="3">
        <v>2.4435699999999999E-12</v>
      </c>
      <c r="R74" s="30">
        <v>2.4271E-12</v>
      </c>
      <c r="T74" s="31">
        <v>1.4352100000000001E-14</v>
      </c>
      <c r="U74" s="3">
        <v>1.8414699999999999E-13</v>
      </c>
      <c r="V74" s="3">
        <v>2.1200600000000002E-12</v>
      </c>
      <c r="W74" s="3">
        <v>2.3574800000000002E-12</v>
      </c>
      <c r="X74" s="35">
        <v>2.4483100000000001E-12</v>
      </c>
      <c r="Z74" s="31">
        <v>2.0716899999999999E-14</v>
      </c>
      <c r="AA74" s="3">
        <v>3.78525E-13</v>
      </c>
      <c r="AB74" s="3">
        <v>2.3206800000000002E-12</v>
      </c>
      <c r="AC74" s="3">
        <v>2.2873700000000002E-12</v>
      </c>
      <c r="AD74" s="30">
        <v>2.1611099999999999E-12</v>
      </c>
      <c r="AF74" s="31">
        <v>1.3353699999999999E-14</v>
      </c>
      <c r="AG74" s="3">
        <v>2.5987699999999998E-13</v>
      </c>
      <c r="AH74" s="3">
        <v>1.2625800000000001E-12</v>
      </c>
      <c r="AI74" s="3">
        <v>1.2774299999999999E-12</v>
      </c>
      <c r="AJ74" s="30">
        <v>1.17487E-12</v>
      </c>
      <c r="AL74" s="31">
        <v>1.0233700000000001E-14</v>
      </c>
      <c r="AM74" s="3">
        <v>1.4896299999999999E-13</v>
      </c>
      <c r="AN74" s="3">
        <v>6.76945E-13</v>
      </c>
      <c r="AO74" s="3">
        <v>6.5785699999999997E-13</v>
      </c>
      <c r="AP74" s="30">
        <v>7.8299099999999995E-13</v>
      </c>
      <c r="AR74" s="31">
        <v>1.3728099999999999E-15</v>
      </c>
      <c r="AS74" s="3">
        <v>2.6137400000000001E-13</v>
      </c>
      <c r="AT74" s="3">
        <v>4.8694199999999999E-13</v>
      </c>
      <c r="AU74" s="30">
        <v>2.4952199999999999E-16</v>
      </c>
      <c r="AV74" s="3">
        <v>4.3928400000000001E-13</v>
      </c>
    </row>
    <row r="75" spans="2:48" x14ac:dyDescent="0.25">
      <c r="B75" s="7">
        <v>1.4639099999999999E-13</v>
      </c>
      <c r="C75" s="31">
        <v>4.5163500000000002E-13</v>
      </c>
      <c r="D75" s="5">
        <v>5.1811999999999998E-12</v>
      </c>
      <c r="E75" s="3">
        <v>5.6816199999999998E-12</v>
      </c>
      <c r="F75" s="30">
        <v>5.6221099999999998E-12</v>
      </c>
      <c r="H75" s="3">
        <v>3.2572900000000002E-14</v>
      </c>
      <c r="I75" s="3">
        <v>1.6892600000000001E-13</v>
      </c>
      <c r="J75" s="3">
        <v>1.88851E-12</v>
      </c>
      <c r="K75" s="3">
        <v>1.9678499999999999E-12</v>
      </c>
      <c r="L75" s="30">
        <v>1.9334200000000001E-12</v>
      </c>
      <c r="N75" s="31">
        <v>1.6723299999999999E-14</v>
      </c>
      <c r="O75" s="3">
        <v>2.4153699999999998E-13</v>
      </c>
      <c r="P75" s="3">
        <v>2.1485100000000001E-12</v>
      </c>
      <c r="Q75" s="3">
        <v>2.4390800000000001E-12</v>
      </c>
      <c r="R75" s="30">
        <v>2.34139E-12</v>
      </c>
      <c r="T75" s="31">
        <v>1.42273E-14</v>
      </c>
      <c r="U75" s="3">
        <v>1.8339900000000001E-13</v>
      </c>
      <c r="V75" s="3">
        <v>2.1175699999999998E-12</v>
      </c>
      <c r="W75" s="3">
        <v>2.2872399999999999E-12</v>
      </c>
      <c r="X75" s="35">
        <v>2.3194299999999999E-12</v>
      </c>
      <c r="Z75" s="31">
        <v>1.98433E-14</v>
      </c>
      <c r="AA75" s="3">
        <v>3.7440800000000002E-13</v>
      </c>
      <c r="AB75" s="3">
        <v>2.2823799999999998E-12</v>
      </c>
      <c r="AC75" s="3">
        <v>2.2735200000000002E-12</v>
      </c>
      <c r="AD75" s="30">
        <v>2.1109600000000001E-12</v>
      </c>
      <c r="AF75" s="31">
        <v>1.3353699999999999E-14</v>
      </c>
      <c r="AG75" s="3">
        <v>2.3193E-13</v>
      </c>
      <c r="AH75" s="3">
        <v>1.2437399999999999E-12</v>
      </c>
      <c r="AI75" s="3">
        <v>1.238E-12</v>
      </c>
      <c r="AJ75" s="30">
        <v>1.1656400000000001E-12</v>
      </c>
      <c r="AL75" s="31">
        <v>8.9857100000000006E-15</v>
      </c>
      <c r="AM75" s="3">
        <v>1.4721599999999999E-13</v>
      </c>
      <c r="AN75" s="3">
        <v>5.59422E-13</v>
      </c>
      <c r="AO75" s="3">
        <v>5.90237E-13</v>
      </c>
      <c r="AP75" s="30">
        <v>7.78375E-13</v>
      </c>
      <c r="AR75" s="31">
        <v>1.12321E-15</v>
      </c>
      <c r="AS75" s="3">
        <v>2.61E-13</v>
      </c>
      <c r="AT75" s="3">
        <v>4.53132E-13</v>
      </c>
      <c r="AU75" s="30">
        <v>3.8014699999999999E-13</v>
      </c>
      <c r="AV75" s="3">
        <v>4.2768100000000002E-13</v>
      </c>
    </row>
    <row r="76" spans="2:48" x14ac:dyDescent="0.25">
      <c r="B76" s="7">
        <v>1.4564199999999999E-13</v>
      </c>
      <c r="C76" s="31">
        <v>4.4065599999999998E-13</v>
      </c>
      <c r="D76" s="5">
        <v>5.0941199999999997E-12</v>
      </c>
      <c r="E76" s="3">
        <v>5.5173099999999996E-12</v>
      </c>
      <c r="F76" s="30">
        <v>5.5407600000000003E-12</v>
      </c>
      <c r="H76" s="3">
        <v>3.2073699999999999E-14</v>
      </c>
      <c r="I76" s="3">
        <v>1.6830299999999999E-13</v>
      </c>
      <c r="J76" s="3">
        <v>1.73755E-12</v>
      </c>
      <c r="K76" s="3">
        <v>1.89275E-12</v>
      </c>
      <c r="L76" s="30">
        <v>1.75289E-12</v>
      </c>
      <c r="N76" s="31">
        <v>1.6598499999999999E-14</v>
      </c>
      <c r="O76" s="3">
        <v>2.3592299999999998E-13</v>
      </c>
      <c r="P76" s="3">
        <v>2.1383999999999999E-12</v>
      </c>
      <c r="Q76" s="3">
        <v>2.21276E-12</v>
      </c>
      <c r="R76" s="30">
        <v>2.1865599999999999E-12</v>
      </c>
      <c r="T76" s="31">
        <v>1.27297E-14</v>
      </c>
      <c r="U76" s="3">
        <v>1.83274E-13</v>
      </c>
      <c r="V76" s="3">
        <v>2.1159500000000001E-12</v>
      </c>
      <c r="W76" s="3">
        <v>2.2186200000000001E-12</v>
      </c>
      <c r="X76" s="35">
        <v>2.2969700000000001E-12</v>
      </c>
      <c r="Z76" s="31">
        <v>1.94689E-14</v>
      </c>
      <c r="AA76" s="3">
        <v>3.59312E-13</v>
      </c>
      <c r="AB76" s="3">
        <v>2.2359699999999998E-12</v>
      </c>
      <c r="AC76" s="3">
        <v>2.2222500000000001E-12</v>
      </c>
      <c r="AD76" s="30">
        <v>2.0662900000000001E-12</v>
      </c>
      <c r="AF76" s="31">
        <v>1.22305E-14</v>
      </c>
      <c r="AG76" s="3">
        <v>2.1770799999999999E-13</v>
      </c>
      <c r="AH76" s="3">
        <v>1.2423700000000001E-12</v>
      </c>
      <c r="AI76" s="3">
        <v>1.2368800000000001E-12</v>
      </c>
      <c r="AJ76" s="30">
        <v>1.1636400000000001E-12</v>
      </c>
      <c r="AL76" s="31">
        <v>8.3617000000000002E-15</v>
      </c>
      <c r="AM76" s="3">
        <v>1.47092E-13</v>
      </c>
      <c r="AN76" s="3">
        <v>5.5929700000000004E-13</v>
      </c>
      <c r="AO76" s="3">
        <v>5.8075599999999995E-13</v>
      </c>
      <c r="AP76" s="30">
        <v>7.5941099999999996E-13</v>
      </c>
      <c r="AR76" s="31">
        <v>8.7360400000000001E-16</v>
      </c>
      <c r="AS76" s="3">
        <v>2.5750700000000002E-13</v>
      </c>
      <c r="AT76" s="3">
        <v>4.4814199999999999E-13</v>
      </c>
      <c r="AU76" s="30">
        <v>2.4952199999999999E-16</v>
      </c>
      <c r="AV76" s="3">
        <v>4.0098200000000002E-13</v>
      </c>
    </row>
    <row r="77" spans="2:48" x14ac:dyDescent="0.25">
      <c r="B77" s="7">
        <v>1.4514299999999999E-13</v>
      </c>
      <c r="C77" s="31">
        <v>4.40157E-13</v>
      </c>
      <c r="D77" s="5">
        <v>5.0377300000000002E-12</v>
      </c>
      <c r="E77" s="3">
        <v>5.2335999999999998E-12</v>
      </c>
      <c r="F77" s="30">
        <v>5.5302800000000001E-12</v>
      </c>
      <c r="H77" s="3">
        <v>3.1075299999999999E-14</v>
      </c>
      <c r="I77" s="3">
        <v>1.6356200000000001E-13</v>
      </c>
      <c r="J77" s="3">
        <v>1.72732E-12</v>
      </c>
      <c r="K77" s="3">
        <v>1.80766E-12</v>
      </c>
      <c r="L77" s="30">
        <v>1.7129699999999999E-12</v>
      </c>
      <c r="N77" s="31">
        <v>1.62241E-14</v>
      </c>
      <c r="O77" s="3">
        <v>2.3417599999999998E-13</v>
      </c>
      <c r="P77" s="3">
        <v>2.1300400000000001E-12</v>
      </c>
      <c r="Q77" s="3">
        <v>2.1855599999999998E-12</v>
      </c>
      <c r="R77" s="30">
        <v>2.17908E-12</v>
      </c>
      <c r="T77" s="31">
        <v>1.2355299999999999E-14</v>
      </c>
      <c r="U77" s="3">
        <v>1.79905E-13</v>
      </c>
      <c r="V77" s="3">
        <v>2.10958E-12</v>
      </c>
      <c r="W77" s="3">
        <v>2.20216E-12</v>
      </c>
      <c r="X77" s="35">
        <v>2.1934200000000002E-12</v>
      </c>
      <c r="Z77" s="31">
        <v>1.7971300000000001E-14</v>
      </c>
      <c r="AA77" s="3">
        <v>3.4895699999999999E-13</v>
      </c>
      <c r="AB77" s="3">
        <v>2.1778299999999998E-12</v>
      </c>
      <c r="AC77" s="3">
        <v>2.2150099999999999E-12</v>
      </c>
      <c r="AD77" s="30">
        <v>1.9762199999999998E-12</v>
      </c>
      <c r="AF77" s="31">
        <v>1.14817E-14</v>
      </c>
      <c r="AG77" s="3">
        <v>2.07477E-13</v>
      </c>
      <c r="AH77" s="3">
        <v>1.2095599999999999E-12</v>
      </c>
      <c r="AI77" s="3">
        <v>1.20319E-12</v>
      </c>
      <c r="AJ77" s="30">
        <v>1.1460499999999999E-12</v>
      </c>
      <c r="AL77" s="31">
        <v>5.6160699999999998E-15</v>
      </c>
      <c r="AM77" s="3">
        <v>1.46343E-13</v>
      </c>
      <c r="AN77" s="3">
        <v>5.5854900000000001E-13</v>
      </c>
      <c r="AO77" s="3">
        <v>5.6877899999999995E-13</v>
      </c>
      <c r="AP77" s="30">
        <v>7.3620599999999996E-13</v>
      </c>
      <c r="AR77" s="31">
        <v>4.9920299999999996E-16</v>
      </c>
      <c r="AS77" s="3">
        <v>2.3317799999999998E-13</v>
      </c>
      <c r="AT77" s="3">
        <v>4.45771E-13</v>
      </c>
      <c r="AU77" s="30">
        <v>6.16569E-13</v>
      </c>
      <c r="AV77" s="3">
        <v>3.9474399999999998E-13</v>
      </c>
    </row>
    <row r="78" spans="2:48" x14ac:dyDescent="0.25">
      <c r="B78" s="7">
        <v>1.4439399999999999E-13</v>
      </c>
      <c r="C78" s="31">
        <v>4.3990699999999998E-13</v>
      </c>
      <c r="D78" s="5">
        <v>4.9614999999999998E-12</v>
      </c>
      <c r="E78" s="3">
        <v>5.2017899999999998E-12</v>
      </c>
      <c r="F78" s="30">
        <v>5.4414499999999996E-12</v>
      </c>
      <c r="H78" s="3">
        <v>2.9203299999999997E-14</v>
      </c>
      <c r="I78" s="3">
        <v>1.5607599999999999E-13</v>
      </c>
      <c r="J78" s="3">
        <v>1.71946E-12</v>
      </c>
      <c r="K78" s="3">
        <v>1.78695E-12</v>
      </c>
      <c r="L78" s="30">
        <v>1.6755399999999999E-12</v>
      </c>
      <c r="N78" s="31">
        <v>1.5974500000000001E-14</v>
      </c>
      <c r="O78" s="3">
        <v>2.3080800000000001E-13</v>
      </c>
      <c r="P78" s="3">
        <v>2.1206899999999999E-12</v>
      </c>
      <c r="Q78" s="3">
        <v>2.1774500000000002E-12</v>
      </c>
      <c r="R78" s="30">
        <v>2.17446E-12</v>
      </c>
      <c r="T78" s="31">
        <v>1.16065E-14</v>
      </c>
      <c r="U78" s="3">
        <v>1.7903199999999999E-13</v>
      </c>
      <c r="V78" s="3">
        <v>2.0878800000000002E-12</v>
      </c>
      <c r="W78" s="3">
        <v>2.1581200000000001E-12</v>
      </c>
      <c r="X78" s="35">
        <v>2.14751E-12</v>
      </c>
      <c r="Z78" s="31">
        <v>1.63489E-14</v>
      </c>
      <c r="AA78" s="3">
        <v>3.3910100000000001E-13</v>
      </c>
      <c r="AB78" s="3">
        <v>2.1490099999999999E-12</v>
      </c>
      <c r="AC78" s="3">
        <v>2.1859399999999999E-12</v>
      </c>
      <c r="AD78" s="30">
        <v>1.8853899999999999E-12</v>
      </c>
      <c r="AF78" s="31">
        <v>1.12321E-14</v>
      </c>
      <c r="AG78" s="3">
        <v>2.07228E-13</v>
      </c>
      <c r="AH78" s="3">
        <v>1.19159E-12</v>
      </c>
      <c r="AI78" s="3">
        <v>1.1945799999999999E-12</v>
      </c>
      <c r="AJ78" s="30">
        <v>1.13133E-12</v>
      </c>
      <c r="AL78" s="31">
        <v>5.2416699999999998E-15</v>
      </c>
      <c r="AM78" s="3">
        <v>1.3860800000000001E-13</v>
      </c>
      <c r="AN78" s="3">
        <v>5.4557399999999995E-13</v>
      </c>
      <c r="AO78" s="3">
        <v>5.6628399999999997E-13</v>
      </c>
      <c r="AP78" s="30">
        <v>7.1936399999999996E-13</v>
      </c>
      <c r="AR78" s="31">
        <v>4.9920299999999996E-16</v>
      </c>
      <c r="AS78" s="3">
        <v>2.2307299999999999E-13</v>
      </c>
      <c r="AT78" s="3">
        <v>4.4414900000000001E-13</v>
      </c>
      <c r="AU78" s="30">
        <v>4.6036800000000001E-14</v>
      </c>
      <c r="AV78" s="3">
        <v>3.7752699999999999E-13</v>
      </c>
    </row>
    <row r="79" spans="2:48" x14ac:dyDescent="0.25">
      <c r="B79" s="7">
        <v>1.4427E-13</v>
      </c>
      <c r="C79" s="31">
        <v>4.3878499999999998E-13</v>
      </c>
      <c r="D79" s="5">
        <v>4.9335500000000001E-12</v>
      </c>
      <c r="E79" s="3">
        <v>5.0858800000000001E-12</v>
      </c>
      <c r="F79" s="30">
        <v>5.20516E-12</v>
      </c>
      <c r="H79" s="3">
        <v>2.5958499999999999E-14</v>
      </c>
      <c r="I79" s="3">
        <v>1.5582599999999999E-13</v>
      </c>
      <c r="J79" s="3">
        <v>1.62801E-12</v>
      </c>
      <c r="K79" s="3">
        <v>1.6861399999999999E-12</v>
      </c>
      <c r="L79" s="30">
        <v>1.60131E-12</v>
      </c>
      <c r="N79" s="31">
        <v>1.42273E-14</v>
      </c>
      <c r="O79" s="3">
        <v>2.2906100000000001E-13</v>
      </c>
      <c r="P79" s="3">
        <v>2.0878800000000002E-12</v>
      </c>
      <c r="Q79" s="3">
        <v>2.1597399999999998E-12</v>
      </c>
      <c r="R79" s="30">
        <v>2.1666000000000001E-12</v>
      </c>
      <c r="T79" s="31">
        <v>1.03585E-14</v>
      </c>
      <c r="U79" s="3">
        <v>1.7316799999999999E-13</v>
      </c>
      <c r="V79" s="3">
        <v>1.96823E-12</v>
      </c>
      <c r="W79" s="3">
        <v>2.1362799999999999E-12</v>
      </c>
      <c r="X79" s="35">
        <v>2.1416499999999999E-12</v>
      </c>
      <c r="Z79" s="31">
        <v>1.63489E-14</v>
      </c>
      <c r="AA79" s="3">
        <v>3.3473400000000002E-13</v>
      </c>
      <c r="AB79" s="3">
        <v>2.0334799999999999E-12</v>
      </c>
      <c r="AC79" s="3">
        <v>2.1308000000000002E-12</v>
      </c>
      <c r="AD79" s="30">
        <v>1.86293E-12</v>
      </c>
      <c r="AF79" s="31">
        <v>1.12321E-14</v>
      </c>
      <c r="AG79" s="3">
        <v>2.0710300000000001E-13</v>
      </c>
      <c r="AH79" s="3">
        <v>1.19034E-12</v>
      </c>
      <c r="AI79" s="3">
        <v>1.1745000000000001E-12</v>
      </c>
      <c r="AJ79" s="30">
        <v>1.1238499999999999E-12</v>
      </c>
      <c r="AL79" s="31">
        <v>4.7424600000000002E-15</v>
      </c>
      <c r="AM79" s="3">
        <v>1.3498999999999999E-13</v>
      </c>
      <c r="AN79" s="3">
        <v>5.3646600000000005E-13</v>
      </c>
      <c r="AO79" s="3">
        <v>5.4320299999999996E-13</v>
      </c>
      <c r="AP79" s="30">
        <v>6.7831800000000004E-13</v>
      </c>
      <c r="AR79" s="31">
        <v>3.7440200000000001E-16</v>
      </c>
      <c r="AS79" s="3">
        <v>2.2057699999999999E-13</v>
      </c>
      <c r="AT79" s="3">
        <v>4.4128000000000001E-13</v>
      </c>
      <c r="AU79" s="30">
        <v>6.3465899999999997E-13</v>
      </c>
      <c r="AV79" s="3">
        <v>3.7740199999999998E-13</v>
      </c>
    </row>
    <row r="80" spans="2:48" x14ac:dyDescent="0.25">
      <c r="B80" s="7">
        <v>1.4314599999999999E-13</v>
      </c>
      <c r="C80" s="31">
        <v>4.3129900000000002E-13</v>
      </c>
      <c r="D80" s="5">
        <v>4.8895100000000002E-12</v>
      </c>
      <c r="E80" s="3">
        <v>5.0393499999999999E-12</v>
      </c>
      <c r="F80" s="30">
        <v>5.1790799999999998E-12</v>
      </c>
      <c r="H80" s="3">
        <v>2.3836899999999999E-14</v>
      </c>
      <c r="I80" s="3">
        <v>1.55452E-13</v>
      </c>
      <c r="J80" s="3">
        <v>1.6141600000000001E-12</v>
      </c>
      <c r="K80" s="3">
        <v>1.6716700000000001E-12</v>
      </c>
      <c r="L80" s="30">
        <v>1.5351799999999999E-12</v>
      </c>
      <c r="N80" s="31">
        <v>1.18561E-14</v>
      </c>
      <c r="O80" s="3">
        <v>2.2132599999999999E-13</v>
      </c>
      <c r="P80" s="3">
        <v>2.0497E-12</v>
      </c>
      <c r="Q80" s="3">
        <v>2.1490099999999999E-12</v>
      </c>
      <c r="R80" s="30">
        <v>2.14477E-12</v>
      </c>
      <c r="T80" s="31">
        <v>8.2368500000000005E-15</v>
      </c>
      <c r="U80" s="3">
        <v>1.72544E-13</v>
      </c>
      <c r="V80" s="3">
        <v>1.88851E-12</v>
      </c>
      <c r="W80" s="3">
        <v>2.1306699999999998E-12</v>
      </c>
      <c r="X80" s="35">
        <v>2.1110799999999999E-12</v>
      </c>
      <c r="Z80" s="31">
        <v>1.6099299999999999E-14</v>
      </c>
      <c r="AA80" s="3">
        <v>3.22632E-13</v>
      </c>
      <c r="AB80" s="3">
        <v>1.96823E-12</v>
      </c>
      <c r="AC80" s="3">
        <v>2.0604299999999999E-12</v>
      </c>
      <c r="AD80" s="30">
        <v>1.8515800000000001E-12</v>
      </c>
      <c r="AF80" s="31">
        <v>1.08577E-14</v>
      </c>
      <c r="AG80" s="3">
        <v>2.06729E-13</v>
      </c>
      <c r="AH80" s="3">
        <v>1.19009E-12</v>
      </c>
      <c r="AI80" s="3">
        <v>1.1594000000000001E-12</v>
      </c>
      <c r="AJ80" s="30">
        <v>1.0995199999999999E-12</v>
      </c>
      <c r="AL80" s="31">
        <v>4.2432499999999997E-15</v>
      </c>
      <c r="AM80" s="3">
        <v>1.32619E-13</v>
      </c>
      <c r="AN80" s="3">
        <v>5.3247400000000004E-13</v>
      </c>
      <c r="AO80" s="3">
        <v>5.0639899999999997E-13</v>
      </c>
      <c r="AP80" s="30">
        <v>6.5997800000000004E-13</v>
      </c>
      <c r="AR80" s="31">
        <v>3.7440200000000001E-16</v>
      </c>
      <c r="AS80" s="3">
        <v>2.1982900000000001E-13</v>
      </c>
      <c r="AT80" s="3">
        <v>4.3903399999999998E-13</v>
      </c>
      <c r="AU80" s="30">
        <v>1.24761E-16</v>
      </c>
      <c r="AV80" s="3">
        <v>3.6979199999999998E-13</v>
      </c>
    </row>
    <row r="81" spans="2:48" x14ac:dyDescent="0.25">
      <c r="B81" s="7">
        <v>1.4189799999999999E-13</v>
      </c>
      <c r="C81" s="31">
        <v>4.3079999999999999E-13</v>
      </c>
      <c r="D81" s="5">
        <v>4.83586E-12</v>
      </c>
      <c r="E81" s="3">
        <v>4.9644900000000004E-12</v>
      </c>
      <c r="F81" s="30">
        <v>5.1528799999999997E-12</v>
      </c>
      <c r="H81" s="3">
        <v>2.2838499999999999E-14</v>
      </c>
      <c r="I81" s="3">
        <v>1.54454E-13</v>
      </c>
      <c r="J81" s="3">
        <v>1.6036800000000001E-12</v>
      </c>
      <c r="K81" s="3">
        <v>1.64235E-12</v>
      </c>
      <c r="L81" s="30">
        <v>1.5138500000000001E-12</v>
      </c>
      <c r="N81" s="31">
        <v>1.18561E-14</v>
      </c>
      <c r="O81" s="3">
        <v>2.20453E-13</v>
      </c>
      <c r="P81" s="3">
        <v>1.9862000000000002E-12</v>
      </c>
      <c r="Q81" s="3">
        <v>2.1320399999999999E-12</v>
      </c>
      <c r="R81" s="30">
        <v>2.1299199999999999E-12</v>
      </c>
      <c r="T81" s="31">
        <v>7.9872500000000006E-15</v>
      </c>
      <c r="U81" s="3">
        <v>1.7242000000000001E-13</v>
      </c>
      <c r="V81" s="3">
        <v>1.8507000000000002E-12</v>
      </c>
      <c r="W81" s="3">
        <v>2.1142E-12</v>
      </c>
      <c r="X81" s="35">
        <v>2.0916199999999999E-12</v>
      </c>
      <c r="Z81" s="31">
        <v>1.58497E-14</v>
      </c>
      <c r="AA81" s="3">
        <v>3.17018E-13</v>
      </c>
      <c r="AB81" s="3">
        <v>1.93218E-12</v>
      </c>
      <c r="AC81" s="3">
        <v>1.9970499999999999E-12</v>
      </c>
      <c r="AD81" s="30">
        <v>1.8341100000000001E-12</v>
      </c>
      <c r="AF81" s="31">
        <v>1.0732900000000001E-14</v>
      </c>
      <c r="AG81" s="3">
        <v>2.0473299999999999E-13</v>
      </c>
      <c r="AH81" s="3">
        <v>1.14156E-12</v>
      </c>
      <c r="AI81" s="3">
        <v>1.1544099999999999E-12</v>
      </c>
      <c r="AJ81" s="30">
        <v>1.0745699999999999E-12</v>
      </c>
      <c r="AL81" s="31">
        <v>3.7440499999999998E-15</v>
      </c>
      <c r="AM81" s="3">
        <v>1.295E-13</v>
      </c>
      <c r="AN81" s="3">
        <v>5.1588099999999999E-13</v>
      </c>
      <c r="AO81" s="3">
        <v>4.9679299999999996E-13</v>
      </c>
      <c r="AP81" s="30">
        <v>6.5773200000000001E-13</v>
      </c>
      <c r="AR81" s="31">
        <v>3.7440200000000001E-16</v>
      </c>
      <c r="AS81" s="3">
        <v>2.1770799999999999E-13</v>
      </c>
      <c r="AT81" s="3">
        <v>4.3117400000000001E-13</v>
      </c>
      <c r="AU81" s="30">
        <v>3.4583799999999997E-13</v>
      </c>
      <c r="AV81" s="3">
        <v>3.6904299999999998E-13</v>
      </c>
    </row>
    <row r="82" spans="2:48" x14ac:dyDescent="0.25">
      <c r="B82" s="7">
        <v>1.3940200000000001E-13</v>
      </c>
      <c r="C82" s="31">
        <v>4.3005099999999999E-13</v>
      </c>
      <c r="D82" s="5">
        <v>4.8332399999999997E-12</v>
      </c>
      <c r="E82" s="3">
        <v>4.9376700000000003E-12</v>
      </c>
      <c r="F82" s="30">
        <v>5.0638000000000003E-12</v>
      </c>
      <c r="H82" s="3">
        <v>2.2214500000000002E-14</v>
      </c>
      <c r="I82" s="3">
        <v>1.52707E-13</v>
      </c>
      <c r="J82" s="3">
        <v>1.5981900000000001E-12</v>
      </c>
      <c r="K82" s="3">
        <v>1.6287499999999999E-12</v>
      </c>
      <c r="L82" s="30">
        <v>1.47455E-12</v>
      </c>
      <c r="N82" s="31">
        <v>1.14817E-14</v>
      </c>
      <c r="O82" s="3">
        <v>2.1957899999999999E-13</v>
      </c>
      <c r="P82" s="3">
        <v>1.8323700000000002E-12</v>
      </c>
      <c r="Q82" s="3">
        <v>2.1273E-12</v>
      </c>
      <c r="R82" s="30">
        <v>2.12805E-12</v>
      </c>
      <c r="T82" s="31">
        <v>7.4880399999999993E-15</v>
      </c>
      <c r="U82" s="3">
        <v>1.7217000000000001E-13</v>
      </c>
      <c r="V82" s="3">
        <v>1.8487100000000001E-12</v>
      </c>
      <c r="W82" s="3">
        <v>1.9251900000000002E-12</v>
      </c>
      <c r="X82" s="35">
        <v>2.08663E-12</v>
      </c>
      <c r="Z82" s="31">
        <v>1.5475300000000001E-14</v>
      </c>
      <c r="AA82" s="3">
        <v>3.1452300000000002E-13</v>
      </c>
      <c r="AB82" s="3">
        <v>1.92432E-12</v>
      </c>
      <c r="AC82" s="3">
        <v>1.9537599999999999E-12</v>
      </c>
      <c r="AD82" s="30">
        <v>1.8258799999999999E-12</v>
      </c>
      <c r="AF82" s="31">
        <v>1.0483300000000001E-14</v>
      </c>
      <c r="AG82" s="3">
        <v>1.9637400000000001E-13</v>
      </c>
      <c r="AH82" s="3">
        <v>1.1117400000000001E-12</v>
      </c>
      <c r="AI82" s="3">
        <v>1.1530399999999999E-12</v>
      </c>
      <c r="AJ82" s="30">
        <v>1.07182E-12</v>
      </c>
      <c r="AL82" s="31">
        <v>3.49444E-15</v>
      </c>
      <c r="AM82" s="3">
        <v>1.295E-13</v>
      </c>
      <c r="AN82" s="3">
        <v>4.8244499999999997E-13</v>
      </c>
      <c r="AO82" s="3">
        <v>4.9080399999999998E-13</v>
      </c>
      <c r="AP82" s="30">
        <v>6.38894E-13</v>
      </c>
      <c r="AR82" s="31">
        <v>2.4960100000000002E-16</v>
      </c>
      <c r="AS82" s="3">
        <v>2.17458E-13</v>
      </c>
      <c r="AT82" s="3">
        <v>4.11587E-13</v>
      </c>
      <c r="AU82" s="30">
        <v>4.9904399999999999E-16</v>
      </c>
      <c r="AV82" s="3">
        <v>3.5182599999999999E-13</v>
      </c>
    </row>
    <row r="83" spans="2:48" x14ac:dyDescent="0.25">
      <c r="B83" s="7">
        <v>1.39028E-13</v>
      </c>
      <c r="C83" s="31">
        <v>4.2705699999999998E-13</v>
      </c>
      <c r="D83" s="5">
        <v>4.7917000000000003E-12</v>
      </c>
      <c r="E83" s="3">
        <v>4.79257E-12</v>
      </c>
      <c r="F83" s="30">
        <v>5.0181399999999999E-12</v>
      </c>
      <c r="H83" s="3">
        <v>2.14657E-14</v>
      </c>
      <c r="I83" s="3">
        <v>1.5208400000000001E-13</v>
      </c>
      <c r="J83" s="3">
        <v>1.56113E-12</v>
      </c>
      <c r="K83" s="3">
        <v>1.57785E-12</v>
      </c>
      <c r="L83" s="30">
        <v>1.45434E-12</v>
      </c>
      <c r="N83" s="31">
        <v>8.1120499999999998E-15</v>
      </c>
      <c r="O83" s="3">
        <v>2.1496299999999999E-13</v>
      </c>
      <c r="P83" s="3">
        <v>1.7199600000000001E-12</v>
      </c>
      <c r="Q83" s="3">
        <v>2.1148200000000001E-12</v>
      </c>
      <c r="R83" s="30">
        <v>2.1054699999999999E-12</v>
      </c>
      <c r="T83" s="31">
        <v>6.6144400000000003E-15</v>
      </c>
      <c r="U83" s="3">
        <v>1.6967500000000001E-13</v>
      </c>
      <c r="V83" s="3">
        <v>1.8074100000000001E-12</v>
      </c>
      <c r="W83" s="3">
        <v>1.9034799999999999E-12</v>
      </c>
      <c r="X83" s="35">
        <v>2.08588E-12</v>
      </c>
      <c r="Z83" s="31">
        <v>1.4102500000000001E-14</v>
      </c>
      <c r="AA83" s="3">
        <v>3.1003100000000001E-13</v>
      </c>
      <c r="AB83" s="3">
        <v>1.9039800000000001E-12</v>
      </c>
      <c r="AC83" s="3">
        <v>1.9138399999999999E-12</v>
      </c>
      <c r="AD83" s="30">
        <v>1.8196400000000001E-12</v>
      </c>
      <c r="AF83" s="31">
        <v>1.01089E-14</v>
      </c>
      <c r="AG83" s="3">
        <v>1.9300499999999999E-13</v>
      </c>
      <c r="AH83" s="3">
        <v>1.0809299999999999E-12</v>
      </c>
      <c r="AI83" s="3">
        <v>1.1067499999999999E-12</v>
      </c>
      <c r="AJ83" s="30">
        <v>1.06808E-12</v>
      </c>
      <c r="AL83" s="31">
        <v>3.49444E-15</v>
      </c>
      <c r="AM83" s="3">
        <v>1.2862699999999999E-13</v>
      </c>
      <c r="AN83" s="3">
        <v>4.7071799999999999E-13</v>
      </c>
      <c r="AO83" s="3">
        <v>4.7171600000000005E-13</v>
      </c>
      <c r="AP83" s="30">
        <v>6.1169600000000002E-13</v>
      </c>
      <c r="AR83" s="31">
        <v>2.4960100000000002E-16</v>
      </c>
      <c r="AS83" s="3">
        <v>2.16835E-13</v>
      </c>
      <c r="AT83" s="3">
        <v>4.0609699999999999E-13</v>
      </c>
      <c r="AU83" s="30">
        <v>8.7332699999999998E-16</v>
      </c>
      <c r="AV83" s="3">
        <v>3.3810199999999999E-13</v>
      </c>
    </row>
    <row r="84" spans="2:48" x14ac:dyDescent="0.25">
      <c r="B84" s="7">
        <v>1.3740600000000001E-13</v>
      </c>
      <c r="C84" s="31">
        <v>4.1395700000000002E-13</v>
      </c>
      <c r="D84" s="5">
        <v>4.7849599999999998E-12</v>
      </c>
      <c r="E84" s="3">
        <v>4.7757299999999999E-12</v>
      </c>
      <c r="F84" s="30">
        <v>4.8994900000000002E-12</v>
      </c>
      <c r="H84" s="3">
        <v>2.0841699999999999E-14</v>
      </c>
      <c r="I84" s="3">
        <v>1.5145999999999999E-13</v>
      </c>
      <c r="J84" s="3">
        <v>1.55552E-12</v>
      </c>
      <c r="K84" s="3">
        <v>1.5774800000000001E-12</v>
      </c>
      <c r="L84" s="30">
        <v>1.44847E-12</v>
      </c>
      <c r="N84" s="31">
        <v>7.2384399999999993E-15</v>
      </c>
      <c r="O84" s="3">
        <v>2.1059699999999999E-13</v>
      </c>
      <c r="P84" s="3">
        <v>1.69588E-12</v>
      </c>
      <c r="Q84" s="3">
        <v>2.0981099999999998E-12</v>
      </c>
      <c r="R84" s="30">
        <v>2.0747800000000002E-12</v>
      </c>
      <c r="T84" s="31">
        <v>6.4896400000000003E-15</v>
      </c>
      <c r="U84" s="3">
        <v>1.66431E-13</v>
      </c>
      <c r="V84" s="3">
        <v>1.7668699999999999E-12</v>
      </c>
      <c r="W84" s="3">
        <v>1.89275E-12</v>
      </c>
      <c r="X84" s="35">
        <v>1.9344200000000002E-12</v>
      </c>
      <c r="Z84" s="31">
        <v>1.29793E-14</v>
      </c>
      <c r="AA84" s="3">
        <v>3.0791E-13</v>
      </c>
      <c r="AB84" s="3">
        <v>1.8908800000000001E-12</v>
      </c>
      <c r="AC84" s="3">
        <v>1.9107200000000002E-12</v>
      </c>
      <c r="AD84" s="30">
        <v>1.7954400000000001E-12</v>
      </c>
      <c r="AF84" s="31">
        <v>9.8592600000000008E-15</v>
      </c>
      <c r="AG84" s="3">
        <v>1.9075899999999999E-13</v>
      </c>
      <c r="AH84" s="3">
        <v>1.07182E-12</v>
      </c>
      <c r="AI84" s="3">
        <v>1.07793E-12</v>
      </c>
      <c r="AJ84" s="30">
        <v>1.0546E-12</v>
      </c>
      <c r="AL84" s="31">
        <v>3.2448400000000001E-15</v>
      </c>
      <c r="AM84" s="3">
        <v>1.28253E-13</v>
      </c>
      <c r="AN84" s="3">
        <v>4.6959499999999998E-13</v>
      </c>
      <c r="AO84" s="3">
        <v>4.4264700000000002E-13</v>
      </c>
      <c r="AP84" s="30">
        <v>5.6353899999999997E-13</v>
      </c>
      <c r="AR84" s="31">
        <v>1.2480099999999999E-16</v>
      </c>
      <c r="AS84" s="3">
        <v>2.13092E-13</v>
      </c>
      <c r="AT84" s="3">
        <v>4.0148099999999999E-13</v>
      </c>
      <c r="AU84" s="30">
        <v>4.9904399999999999E-16</v>
      </c>
      <c r="AV84" s="3">
        <v>3.3448399999999999E-13</v>
      </c>
    </row>
    <row r="85" spans="2:48" x14ac:dyDescent="0.25">
      <c r="B85" s="7">
        <v>1.3478499999999999E-13</v>
      </c>
      <c r="C85" s="31">
        <v>4.1245999999999999E-13</v>
      </c>
      <c r="D85" s="5">
        <v>4.5935799999999999E-12</v>
      </c>
      <c r="E85" s="3">
        <v>4.7500300000000001E-12</v>
      </c>
      <c r="F85" s="30">
        <v>4.8891399999999999E-12</v>
      </c>
      <c r="H85" s="3">
        <v>1.9593700000000001E-14</v>
      </c>
      <c r="I85" s="3">
        <v>1.4721800000000001E-13</v>
      </c>
      <c r="J85" s="3">
        <v>1.52633E-12</v>
      </c>
      <c r="K85" s="3">
        <v>1.5759799999999999E-12</v>
      </c>
      <c r="L85" s="30">
        <v>1.4365E-12</v>
      </c>
      <c r="N85" s="31">
        <v>7.1136400000000002E-15</v>
      </c>
      <c r="O85" s="3">
        <v>2.0884999999999999E-13</v>
      </c>
      <c r="P85" s="3">
        <v>1.6945000000000001E-12</v>
      </c>
      <c r="Q85" s="3">
        <v>2.07702E-12</v>
      </c>
      <c r="R85" s="30">
        <v>2.0659200000000001E-12</v>
      </c>
      <c r="T85" s="31">
        <v>6.2400400000000003E-15</v>
      </c>
      <c r="U85" s="3">
        <v>1.6480900000000001E-13</v>
      </c>
      <c r="V85" s="3">
        <v>1.73206E-12</v>
      </c>
      <c r="W85" s="3">
        <v>1.8545699999999998E-12</v>
      </c>
      <c r="X85" s="35">
        <v>1.8678000000000002E-12</v>
      </c>
      <c r="Z85" s="31">
        <v>1.14817E-14</v>
      </c>
      <c r="AA85" s="3">
        <v>2.9780500000000001E-13</v>
      </c>
      <c r="AB85" s="3">
        <v>1.8816500000000002E-12</v>
      </c>
      <c r="AC85" s="3">
        <v>1.8579400000000001E-12</v>
      </c>
      <c r="AD85" s="30">
        <v>1.7511500000000001E-12</v>
      </c>
      <c r="AF85" s="31">
        <v>9.1104499999999996E-15</v>
      </c>
      <c r="AG85" s="3">
        <v>1.89387E-13</v>
      </c>
      <c r="AH85" s="3">
        <v>1.0586E-12</v>
      </c>
      <c r="AI85" s="3">
        <v>1.07644E-12</v>
      </c>
      <c r="AJ85" s="30">
        <v>1.042E-12</v>
      </c>
      <c r="AL85" s="31">
        <v>2.2464300000000001E-15</v>
      </c>
      <c r="AM85" s="3">
        <v>1.2326199999999999E-13</v>
      </c>
      <c r="AN85" s="3">
        <v>4.6809799999999995E-13</v>
      </c>
      <c r="AO85" s="3">
        <v>4.3827999999999998E-13</v>
      </c>
      <c r="AP85" s="30">
        <v>5.37464E-13</v>
      </c>
      <c r="AR85" s="6"/>
      <c r="AS85" s="3">
        <v>1.95501E-13</v>
      </c>
      <c r="AT85" s="3">
        <v>3.9935999999999998E-13</v>
      </c>
      <c r="AU85" s="30">
        <v>4.9904399999999999E-16</v>
      </c>
      <c r="AV85" s="3">
        <v>3.2737300000000001E-13</v>
      </c>
    </row>
    <row r="86" spans="2:48" x14ac:dyDescent="0.25">
      <c r="B86" s="7">
        <v>1.3353699999999999E-13</v>
      </c>
      <c r="C86" s="31">
        <v>4.1046399999999999E-13</v>
      </c>
      <c r="D86" s="5">
        <v>4.5496599999999998E-12</v>
      </c>
      <c r="E86" s="3">
        <v>4.7122200000000003E-12</v>
      </c>
      <c r="F86" s="30">
        <v>4.7865800000000004E-12</v>
      </c>
      <c r="H86" s="3">
        <v>1.94689E-14</v>
      </c>
      <c r="I86" s="3">
        <v>1.4622000000000001E-13</v>
      </c>
      <c r="J86" s="3">
        <v>1.4997499999999999E-12</v>
      </c>
      <c r="K86" s="3">
        <v>1.56737E-12</v>
      </c>
      <c r="L86" s="30">
        <v>1.42939E-12</v>
      </c>
      <c r="N86" s="31">
        <v>6.3648400000000003E-15</v>
      </c>
      <c r="O86" s="3">
        <v>2.0735300000000001E-13</v>
      </c>
      <c r="P86" s="3">
        <v>1.6509600000000001E-12</v>
      </c>
      <c r="Q86" s="3">
        <v>1.8116500000000001E-12</v>
      </c>
      <c r="R86" s="30">
        <v>2.0383500000000001E-12</v>
      </c>
      <c r="T86" s="31">
        <v>5.9904299999999998E-15</v>
      </c>
      <c r="U86" s="3">
        <v>1.5869600000000001E-13</v>
      </c>
      <c r="V86" s="3">
        <v>1.72594E-12</v>
      </c>
      <c r="W86" s="3">
        <v>1.82787E-12</v>
      </c>
      <c r="X86" s="35">
        <v>1.84559E-12</v>
      </c>
      <c r="Z86" s="31">
        <v>1.12321E-14</v>
      </c>
      <c r="AA86" s="3">
        <v>2.9680700000000001E-13</v>
      </c>
      <c r="AB86" s="3">
        <v>1.8531999999999998E-12</v>
      </c>
      <c r="AC86" s="3">
        <v>1.83324E-12</v>
      </c>
      <c r="AD86" s="30">
        <v>1.72782E-12</v>
      </c>
      <c r="AF86" s="31">
        <v>8.9856500000000004E-15</v>
      </c>
      <c r="AG86" s="3">
        <v>1.89137E-13</v>
      </c>
      <c r="AH86" s="3">
        <v>1.0110599999999999E-12</v>
      </c>
      <c r="AI86" s="3">
        <v>1.0713199999999999E-12</v>
      </c>
      <c r="AJ86" s="30">
        <v>9.6602300000000007E-13</v>
      </c>
      <c r="AL86" s="31">
        <v>2.2464300000000001E-15</v>
      </c>
      <c r="AM86" s="3">
        <v>1.2101700000000001E-13</v>
      </c>
      <c r="AN86" s="3">
        <v>4.3965300000000001E-13</v>
      </c>
      <c r="AO86" s="3">
        <v>4.2705199999999998E-13</v>
      </c>
      <c r="AP86" s="30">
        <v>5.3609200000000003E-13</v>
      </c>
      <c r="AR86" s="6"/>
      <c r="AS86" s="3">
        <v>1.94003E-13</v>
      </c>
      <c r="AT86" s="3">
        <v>3.9374599999999998E-13</v>
      </c>
      <c r="AU86" s="30">
        <v>8.7332699999999998E-16</v>
      </c>
      <c r="AV86" s="3">
        <v>3.2363000000000001E-13</v>
      </c>
    </row>
    <row r="87" spans="2:48" x14ac:dyDescent="0.25">
      <c r="B87" s="7">
        <v>1.32164E-13</v>
      </c>
      <c r="C87" s="31">
        <v>4.0173100000000002E-13</v>
      </c>
      <c r="D87" s="5">
        <v>4.4755500000000003E-12</v>
      </c>
      <c r="E87" s="3">
        <v>4.6204E-12</v>
      </c>
      <c r="F87" s="30">
        <v>4.7367999999999998E-12</v>
      </c>
      <c r="H87" s="3">
        <v>1.8096100000000002E-14</v>
      </c>
      <c r="I87" s="3">
        <v>1.4110500000000001E-13</v>
      </c>
      <c r="J87" s="3">
        <v>1.44897E-12</v>
      </c>
      <c r="K87" s="3">
        <v>1.5455400000000001E-12</v>
      </c>
      <c r="L87" s="30">
        <v>1.42901E-12</v>
      </c>
      <c r="N87" s="31">
        <v>6.2400400000000003E-15</v>
      </c>
      <c r="O87" s="3">
        <v>2.0585600000000001E-13</v>
      </c>
      <c r="P87" s="3">
        <v>1.6416099999999999E-12</v>
      </c>
      <c r="Q87" s="3">
        <v>1.78957E-12</v>
      </c>
      <c r="R87" s="30">
        <v>2.0121500000000001E-12</v>
      </c>
      <c r="T87" s="31">
        <v>5.9904299999999998E-15</v>
      </c>
      <c r="U87" s="3">
        <v>1.55452E-13</v>
      </c>
      <c r="V87" s="3">
        <v>1.71609E-12</v>
      </c>
      <c r="W87" s="3">
        <v>1.8150200000000001E-12</v>
      </c>
      <c r="X87" s="35">
        <v>1.77722E-12</v>
      </c>
      <c r="Z87" s="31">
        <v>9.6096599999999993E-15</v>
      </c>
      <c r="AA87" s="3">
        <v>2.9318900000000001E-13</v>
      </c>
      <c r="AB87" s="3">
        <v>1.81727E-12</v>
      </c>
      <c r="AC87" s="3">
        <v>1.81178E-12</v>
      </c>
      <c r="AD87" s="30">
        <v>1.70586E-12</v>
      </c>
      <c r="AF87" s="31">
        <v>8.7360500000000004E-15</v>
      </c>
      <c r="AG87" s="3">
        <v>1.8514499999999999E-13</v>
      </c>
      <c r="AH87" s="3">
        <v>9.8299100000000001E-13</v>
      </c>
      <c r="AI87" s="3">
        <v>1.04662E-12</v>
      </c>
      <c r="AJ87" s="30">
        <v>9.4256799999999995E-13</v>
      </c>
      <c r="AL87" s="31">
        <v>2.1216300000000001E-15</v>
      </c>
      <c r="AM87" s="3">
        <v>1.20892E-13</v>
      </c>
      <c r="AN87" s="3">
        <v>4.3067000000000002E-13</v>
      </c>
      <c r="AO87" s="3">
        <v>4.2355899999999999E-13</v>
      </c>
      <c r="AP87" s="30">
        <v>5.1463300000000001E-13</v>
      </c>
      <c r="AR87" s="6"/>
      <c r="AS87" s="3">
        <v>1.86268E-13</v>
      </c>
      <c r="AT87" s="3">
        <v>3.93496E-13</v>
      </c>
      <c r="AU87" s="30">
        <v>7.4856599999999998E-16</v>
      </c>
      <c r="AV87" s="3">
        <v>3.21883E-13</v>
      </c>
    </row>
    <row r="88" spans="2:48" x14ac:dyDescent="0.25">
      <c r="B88" s="7">
        <v>1.2867E-13</v>
      </c>
      <c r="C88" s="31">
        <v>3.9299699999999998E-13</v>
      </c>
      <c r="D88" s="5">
        <v>4.32197E-12</v>
      </c>
      <c r="E88" s="3">
        <v>4.4908999999999998E-12</v>
      </c>
      <c r="F88" s="30">
        <v>4.70898E-12</v>
      </c>
      <c r="H88" s="3">
        <v>1.7596899999999998E-14</v>
      </c>
      <c r="I88" s="3">
        <v>1.4085500000000001E-13</v>
      </c>
      <c r="J88" s="3">
        <v>1.44635E-12</v>
      </c>
      <c r="K88" s="3">
        <v>1.5392999999999999E-12</v>
      </c>
      <c r="L88" s="30">
        <v>1.41728E-12</v>
      </c>
      <c r="N88" s="31">
        <v>6.2400400000000003E-15</v>
      </c>
      <c r="O88" s="3">
        <v>2.0398399999999999E-13</v>
      </c>
      <c r="P88" s="3">
        <v>1.6159E-12</v>
      </c>
      <c r="Q88" s="3">
        <v>1.7820899999999999E-12</v>
      </c>
      <c r="R88" s="30">
        <v>1.76949E-12</v>
      </c>
      <c r="T88" s="31">
        <v>5.4912299999999999E-15</v>
      </c>
      <c r="U88" s="3">
        <v>1.5482799999999999E-13</v>
      </c>
      <c r="V88" s="3">
        <v>1.70299E-12</v>
      </c>
      <c r="W88" s="3">
        <v>1.80816E-12</v>
      </c>
      <c r="X88" s="35">
        <v>1.7143399999999999E-12</v>
      </c>
      <c r="Z88" s="31">
        <v>9.2352600000000001E-15</v>
      </c>
      <c r="AA88" s="3">
        <v>2.88448E-13</v>
      </c>
      <c r="AB88" s="3">
        <v>1.76163E-12</v>
      </c>
      <c r="AC88" s="3">
        <v>1.7800899999999999E-12</v>
      </c>
      <c r="AD88" s="30">
        <v>1.6936299999999999E-12</v>
      </c>
      <c r="AF88" s="31">
        <v>8.6112499999999997E-15</v>
      </c>
      <c r="AG88" s="3">
        <v>1.84771E-13</v>
      </c>
      <c r="AH88" s="3">
        <v>9.8136899999999992E-13</v>
      </c>
      <c r="AI88" s="3">
        <v>9.6402699999999997E-13</v>
      </c>
      <c r="AJ88" s="30">
        <v>9.2560099999999999E-13</v>
      </c>
      <c r="AL88" s="31">
        <v>1.99682E-15</v>
      </c>
      <c r="AM88" s="3">
        <v>1.19021E-13</v>
      </c>
      <c r="AN88" s="3">
        <v>4.2717699999999999E-13</v>
      </c>
      <c r="AO88" s="3">
        <v>4.2343399999999998E-13</v>
      </c>
      <c r="AP88" s="30">
        <v>4.8980600000000002E-13</v>
      </c>
      <c r="AR88" s="6"/>
      <c r="AS88" s="3">
        <v>1.83523E-13</v>
      </c>
      <c r="AT88" s="3">
        <v>3.93247E-13</v>
      </c>
      <c r="AU88" s="30">
        <v>7.4856599999999998E-16</v>
      </c>
      <c r="AV88" s="3">
        <v>3.0005000000000002E-13</v>
      </c>
    </row>
    <row r="89" spans="2:48" x14ac:dyDescent="0.25">
      <c r="B89" s="7">
        <v>1.26423E-13</v>
      </c>
      <c r="C89" s="31">
        <v>3.8912999999999998E-13</v>
      </c>
      <c r="D89" s="5">
        <v>4.2885400000000002E-12</v>
      </c>
      <c r="E89" s="3">
        <v>4.3380700000000003E-12</v>
      </c>
      <c r="F89" s="30">
        <v>4.6498400000000003E-12</v>
      </c>
      <c r="H89" s="3">
        <v>1.6723299999999999E-14</v>
      </c>
      <c r="I89" s="3">
        <v>1.36863E-13</v>
      </c>
      <c r="J89" s="3">
        <v>1.44473E-12</v>
      </c>
      <c r="K89" s="3">
        <v>1.5205900000000001E-12</v>
      </c>
      <c r="L89" s="30">
        <v>1.4139200000000001E-12</v>
      </c>
      <c r="N89" s="31">
        <v>5.8656299999999998E-15</v>
      </c>
      <c r="O89" s="3">
        <v>2.02861E-13</v>
      </c>
      <c r="P89" s="3">
        <v>1.6068E-12</v>
      </c>
      <c r="Q89" s="3">
        <v>1.77847E-12</v>
      </c>
      <c r="R89" s="30">
        <v>1.76038E-12</v>
      </c>
      <c r="T89" s="31">
        <v>5.3664299999999999E-15</v>
      </c>
      <c r="U89" s="3">
        <v>1.53706E-13</v>
      </c>
      <c r="V89" s="3">
        <v>1.69837E-12</v>
      </c>
      <c r="W89" s="3">
        <v>1.7817100000000001E-12</v>
      </c>
      <c r="X89" s="35">
        <v>1.6408599999999999E-12</v>
      </c>
      <c r="Z89" s="31">
        <v>8.8608599999999994E-15</v>
      </c>
      <c r="AA89" s="3">
        <v>2.7098099999999999E-13</v>
      </c>
      <c r="AB89" s="3">
        <v>1.73555E-12</v>
      </c>
      <c r="AC89" s="3">
        <v>1.75202E-12</v>
      </c>
      <c r="AD89" s="30">
        <v>1.6140299999999999E-12</v>
      </c>
      <c r="AF89" s="31">
        <v>7.2384399999999993E-15</v>
      </c>
      <c r="AG89" s="3">
        <v>1.8339799999999999E-13</v>
      </c>
      <c r="AH89" s="3">
        <v>9.7263499999999992E-13</v>
      </c>
      <c r="AI89" s="3">
        <v>9.6240500000000008E-13</v>
      </c>
      <c r="AJ89" s="30">
        <v>9.2073499999999991E-13</v>
      </c>
      <c r="AL89" s="31">
        <v>1.99682E-15</v>
      </c>
      <c r="AM89" s="3">
        <v>1.1402999999999999E-13</v>
      </c>
      <c r="AN89" s="3">
        <v>4.2131300000000001E-13</v>
      </c>
      <c r="AO89" s="3">
        <v>4.1133200000000002E-13</v>
      </c>
      <c r="AP89" s="30">
        <v>4.7221500000000002E-13</v>
      </c>
      <c r="AR89" s="6"/>
      <c r="AS89" s="3">
        <v>1.7653700000000001E-13</v>
      </c>
      <c r="AT89" s="3">
        <v>3.7378399999999999E-13</v>
      </c>
      <c r="AU89" s="30">
        <v>3.7428300000000001E-15</v>
      </c>
      <c r="AV89" s="3">
        <v>2.7622099999999998E-13</v>
      </c>
    </row>
    <row r="90" spans="2:48" x14ac:dyDescent="0.25">
      <c r="B90" s="7">
        <v>1.20058E-13</v>
      </c>
      <c r="C90" s="31">
        <v>3.8601100000000001E-13</v>
      </c>
      <c r="D90" s="5">
        <v>4.2433699999999999E-12</v>
      </c>
      <c r="E90" s="3">
        <v>4.2828000000000003E-12</v>
      </c>
      <c r="F90" s="30">
        <v>4.6497199999999997E-12</v>
      </c>
      <c r="H90" s="3">
        <v>1.63489E-14</v>
      </c>
      <c r="I90" s="3">
        <v>1.35615E-13</v>
      </c>
      <c r="J90" s="3">
        <v>1.37574E-12</v>
      </c>
      <c r="K90" s="3">
        <v>1.48341E-12</v>
      </c>
      <c r="L90" s="30">
        <v>1.37749E-12</v>
      </c>
      <c r="N90" s="31">
        <v>5.3664299999999999E-15</v>
      </c>
      <c r="O90" s="3">
        <v>2.0248699999999999E-13</v>
      </c>
      <c r="P90" s="3">
        <v>1.57349E-12</v>
      </c>
      <c r="Q90" s="3">
        <v>1.70735E-12</v>
      </c>
      <c r="R90" s="30">
        <v>1.7345499999999999E-12</v>
      </c>
      <c r="T90" s="31">
        <v>5.11683E-15</v>
      </c>
      <c r="U90" s="3">
        <v>1.52458E-13</v>
      </c>
      <c r="V90" s="3">
        <v>1.69326E-12</v>
      </c>
      <c r="W90" s="3">
        <v>1.7664900000000001E-12</v>
      </c>
      <c r="X90" s="35">
        <v>1.6180299999999999E-12</v>
      </c>
      <c r="Z90" s="31">
        <v>7.8624499999999998E-15</v>
      </c>
      <c r="AA90" s="3">
        <v>2.6998299999999999E-13</v>
      </c>
      <c r="AB90" s="3">
        <v>1.6589499999999999E-12</v>
      </c>
      <c r="AC90" s="3">
        <v>1.7309400000000001E-12</v>
      </c>
      <c r="AD90" s="30">
        <v>1.6125399999999999E-12</v>
      </c>
      <c r="AF90" s="31">
        <v>6.7392400000000002E-15</v>
      </c>
      <c r="AG90" s="3">
        <v>1.83024E-13</v>
      </c>
      <c r="AH90" s="3">
        <v>9.6078299999999999E-13</v>
      </c>
      <c r="AI90" s="3">
        <v>9.4606100000000008E-13</v>
      </c>
      <c r="AJ90" s="30">
        <v>9.09631E-13</v>
      </c>
      <c r="AL90" s="31">
        <v>1.74722E-15</v>
      </c>
      <c r="AM90" s="3">
        <v>1.1390500000000001E-13</v>
      </c>
      <c r="AN90" s="3">
        <v>4.14576E-13</v>
      </c>
      <c r="AO90" s="3">
        <v>4.0708999999999998E-13</v>
      </c>
      <c r="AP90" s="30">
        <v>4.7071799999999999E-13</v>
      </c>
      <c r="AR90" s="6"/>
      <c r="AS90" s="3">
        <v>1.7603800000000001E-13</v>
      </c>
      <c r="AT90" s="3">
        <v>3.63179E-13</v>
      </c>
      <c r="AU90" s="30">
        <v>8.4837500000000006E-15</v>
      </c>
      <c r="AV90" s="3">
        <v>2.7484900000000001E-13</v>
      </c>
    </row>
    <row r="91" spans="2:48" x14ac:dyDescent="0.25">
      <c r="B91" s="7">
        <v>1.16813E-13</v>
      </c>
      <c r="C91" s="31">
        <v>3.8476299999999998E-13</v>
      </c>
      <c r="D91" s="5">
        <v>4.2318900000000001E-12</v>
      </c>
      <c r="E91" s="3">
        <v>4.1705099999999998E-12</v>
      </c>
      <c r="F91" s="30">
        <v>4.6209000000000002E-12</v>
      </c>
      <c r="H91" s="3">
        <v>1.4976100000000001E-14</v>
      </c>
      <c r="I91" s="3">
        <v>1.3349400000000001E-13</v>
      </c>
      <c r="J91" s="3">
        <v>1.37087E-12</v>
      </c>
      <c r="K91" s="3">
        <v>1.45683E-12</v>
      </c>
      <c r="L91" s="30">
        <v>1.3759900000000001E-12</v>
      </c>
      <c r="N91" s="31">
        <v>5.11683E-15</v>
      </c>
      <c r="O91" s="3">
        <v>1.9974200000000001E-13</v>
      </c>
      <c r="P91" s="3">
        <v>1.5731099999999999E-12</v>
      </c>
      <c r="Q91" s="3">
        <v>1.68914E-12</v>
      </c>
      <c r="R91" s="30">
        <v>1.68652E-12</v>
      </c>
      <c r="T91" s="31">
        <v>4.99203E-15</v>
      </c>
      <c r="U91" s="3">
        <v>1.5208400000000001E-13</v>
      </c>
      <c r="V91" s="3">
        <v>1.6791600000000001E-12</v>
      </c>
      <c r="W91" s="3">
        <v>1.69413E-12</v>
      </c>
      <c r="X91" s="35">
        <v>1.61378E-12</v>
      </c>
      <c r="Z91" s="31">
        <v>7.8624499999999998E-15</v>
      </c>
      <c r="AA91" s="3">
        <v>2.6686400000000002E-13</v>
      </c>
      <c r="AB91" s="3">
        <v>1.6449799999999999E-12</v>
      </c>
      <c r="AC91" s="3">
        <v>1.7128499999999999E-12</v>
      </c>
      <c r="AD91" s="30">
        <v>1.5535299999999999E-12</v>
      </c>
      <c r="AF91" s="31">
        <v>6.2400400000000003E-15</v>
      </c>
      <c r="AG91" s="3">
        <v>1.82525E-13</v>
      </c>
      <c r="AH91" s="3">
        <v>9.5180000000000004E-13</v>
      </c>
      <c r="AI91" s="3">
        <v>9.2896900000000006E-13</v>
      </c>
      <c r="AJ91" s="30">
        <v>8.7232800000000004E-13</v>
      </c>
      <c r="AL91" s="31">
        <v>1.62242E-15</v>
      </c>
      <c r="AM91" s="3">
        <v>1.09913E-13</v>
      </c>
      <c r="AN91" s="3">
        <v>4.1195600000000001E-13</v>
      </c>
      <c r="AO91" s="3">
        <v>3.9923099999999998E-13</v>
      </c>
      <c r="AP91" s="30">
        <v>4.6460500000000002E-13</v>
      </c>
      <c r="AR91" s="6"/>
      <c r="AS91" s="3">
        <v>1.7266899999999999E-13</v>
      </c>
      <c r="AT91" s="3">
        <v>3.5282399999999999E-13</v>
      </c>
      <c r="AU91" s="30">
        <v>1.31723E-12</v>
      </c>
      <c r="AV91" s="3">
        <v>2.7210400000000001E-13</v>
      </c>
    </row>
    <row r="92" spans="2:48" x14ac:dyDescent="0.25">
      <c r="B92" s="7">
        <v>1.1594000000000001E-13</v>
      </c>
      <c r="C92" s="31">
        <v>3.8264200000000002E-13</v>
      </c>
      <c r="D92" s="5">
        <v>4.2184200000000001E-12</v>
      </c>
      <c r="E92" s="3">
        <v>4.0947799999999996E-12</v>
      </c>
      <c r="F92" s="30">
        <v>4.4181600000000002E-12</v>
      </c>
      <c r="H92" s="3">
        <v>1.4851300000000001E-14</v>
      </c>
      <c r="I92" s="3">
        <v>1.3299500000000001E-13</v>
      </c>
      <c r="J92" s="3">
        <v>1.36863E-12</v>
      </c>
      <c r="K92" s="3">
        <v>1.4519699999999999E-12</v>
      </c>
      <c r="L92" s="30">
        <v>1.36576E-12</v>
      </c>
      <c r="N92" s="31">
        <v>4.2432200000000003E-15</v>
      </c>
      <c r="O92" s="3">
        <v>1.9412800000000001E-13</v>
      </c>
      <c r="P92" s="3">
        <v>1.55165E-12</v>
      </c>
      <c r="Q92" s="3">
        <v>1.6535799999999999E-12</v>
      </c>
      <c r="R92" s="30">
        <v>1.6834000000000001E-12</v>
      </c>
      <c r="T92" s="31">
        <v>4.99203E-15</v>
      </c>
      <c r="U92" s="3">
        <v>1.49588E-13</v>
      </c>
      <c r="V92" s="3">
        <v>1.64136E-12</v>
      </c>
      <c r="W92" s="3">
        <v>1.6698E-12</v>
      </c>
      <c r="X92" s="35">
        <v>1.53755E-12</v>
      </c>
      <c r="Z92" s="31">
        <v>7.7376500000000006E-15</v>
      </c>
      <c r="AA92" s="3">
        <v>2.6623999999999998E-13</v>
      </c>
      <c r="AB92" s="3">
        <v>1.6328700000000001E-12</v>
      </c>
      <c r="AC92" s="3">
        <v>1.70711E-12</v>
      </c>
      <c r="AD92" s="30">
        <v>1.5190899999999999E-12</v>
      </c>
      <c r="AF92" s="31">
        <v>6.1152299999999998E-15</v>
      </c>
      <c r="AG92" s="3">
        <v>1.72794E-13</v>
      </c>
      <c r="AH92" s="3">
        <v>9.203610000000001E-13</v>
      </c>
      <c r="AI92" s="3">
        <v>9.0189600000000004E-13</v>
      </c>
      <c r="AJ92" s="30">
        <v>8.6484200000000002E-13</v>
      </c>
      <c r="AL92" s="31">
        <v>1.62242E-15</v>
      </c>
      <c r="AM92" s="3">
        <v>1.0916499999999999E-13</v>
      </c>
      <c r="AN92" s="3">
        <v>4.0122699999999998E-13</v>
      </c>
      <c r="AO92" s="3">
        <v>3.7565099999999999E-13</v>
      </c>
      <c r="AP92" s="30">
        <v>4.57868E-13</v>
      </c>
      <c r="AR92" s="6"/>
      <c r="AS92" s="3">
        <v>1.7192100000000001E-13</v>
      </c>
      <c r="AT92" s="3">
        <v>3.5207600000000001E-13</v>
      </c>
      <c r="AU92" s="30">
        <v>1.3723700000000001E-15</v>
      </c>
      <c r="AV92" s="3">
        <v>2.4777500000000002E-13</v>
      </c>
    </row>
    <row r="93" spans="2:48" x14ac:dyDescent="0.25">
      <c r="B93" s="7">
        <v>1.1406799999999999E-13</v>
      </c>
      <c r="C93" s="31">
        <v>3.7839999999999998E-13</v>
      </c>
      <c r="D93" s="5">
        <v>4.2051999999999999E-12</v>
      </c>
      <c r="E93" s="3">
        <v>4.0801800000000001E-12</v>
      </c>
      <c r="F93" s="30">
        <v>4.2871600000000001E-12</v>
      </c>
      <c r="H93" s="3">
        <v>1.3353699999999999E-14</v>
      </c>
      <c r="I93" s="3">
        <v>1.29751E-13</v>
      </c>
      <c r="J93" s="3">
        <v>1.36651E-12</v>
      </c>
      <c r="K93" s="3">
        <v>1.44473E-12</v>
      </c>
      <c r="L93" s="30">
        <v>1.3475399999999999E-12</v>
      </c>
      <c r="N93" s="31">
        <v>3.8688199999999996E-15</v>
      </c>
      <c r="O93" s="3">
        <v>1.93504E-13</v>
      </c>
      <c r="P93" s="3">
        <v>1.48091E-12</v>
      </c>
      <c r="Q93" s="3">
        <v>1.6357400000000001E-12</v>
      </c>
      <c r="R93" s="30">
        <v>1.66681E-12</v>
      </c>
      <c r="T93" s="31">
        <v>3.7440199999999996E-15</v>
      </c>
      <c r="U93" s="3">
        <v>1.4846600000000001E-13</v>
      </c>
      <c r="V93" s="3">
        <v>1.63849E-12</v>
      </c>
      <c r="W93" s="3">
        <v>1.5600099999999999E-12</v>
      </c>
      <c r="X93" s="35">
        <v>1.49339E-12</v>
      </c>
      <c r="Z93" s="31">
        <v>7.6128499999999998E-15</v>
      </c>
      <c r="AA93" s="3">
        <v>2.6062599999999998E-13</v>
      </c>
      <c r="AB93" s="3">
        <v>1.60193E-12</v>
      </c>
      <c r="AC93" s="3">
        <v>1.61865E-12</v>
      </c>
      <c r="AD93" s="30">
        <v>1.4473500000000001E-12</v>
      </c>
      <c r="AF93" s="31">
        <v>5.3664299999999999E-15</v>
      </c>
      <c r="AG93" s="3">
        <v>1.70798E-13</v>
      </c>
      <c r="AH93" s="3">
        <v>8.9827800000000004E-13</v>
      </c>
      <c r="AI93" s="3">
        <v>8.9453499999999998E-13</v>
      </c>
      <c r="AJ93" s="30">
        <v>8.49746E-13</v>
      </c>
      <c r="AL93" s="31">
        <v>1.3728200000000001E-15</v>
      </c>
      <c r="AM93" s="3">
        <v>1.05547E-13</v>
      </c>
      <c r="AN93" s="3">
        <v>3.8875100000000001E-13</v>
      </c>
      <c r="AO93" s="3">
        <v>3.6018100000000001E-13</v>
      </c>
      <c r="AP93" s="30">
        <v>4.4152400000000001E-13</v>
      </c>
      <c r="AR93" s="6"/>
      <c r="AS93" s="3">
        <v>1.6530800000000001E-13</v>
      </c>
      <c r="AT93" s="3">
        <v>3.2238199999999998E-13</v>
      </c>
      <c r="AU93" s="30">
        <v>3.7428299999999999E-16</v>
      </c>
      <c r="AV93" s="3">
        <v>2.4577900000000002E-13</v>
      </c>
    </row>
    <row r="94" spans="2:48" x14ac:dyDescent="0.25">
      <c r="B94" s="7">
        <v>1.10199E-13</v>
      </c>
      <c r="C94" s="31">
        <v>3.7577999999999999E-13</v>
      </c>
      <c r="D94" s="5">
        <v>4.1540399999999999E-12</v>
      </c>
      <c r="E94" s="3">
        <v>4.0776899999999998E-12</v>
      </c>
      <c r="F94" s="30">
        <v>4.2417500000000002E-12</v>
      </c>
      <c r="H94" s="3">
        <v>1.29793E-14</v>
      </c>
      <c r="I94" s="3">
        <v>1.2675699999999999E-13</v>
      </c>
      <c r="J94" s="3">
        <v>1.36401E-12</v>
      </c>
      <c r="K94" s="3">
        <v>1.4126700000000001E-12</v>
      </c>
      <c r="L94" s="30">
        <v>1.3233400000000001E-12</v>
      </c>
      <c r="N94" s="31">
        <v>3.6192199999999997E-15</v>
      </c>
      <c r="O94" s="3">
        <v>1.9238100000000001E-13</v>
      </c>
      <c r="P94" s="3">
        <v>1.46906E-12</v>
      </c>
      <c r="Q94" s="3">
        <v>1.61715E-12</v>
      </c>
      <c r="R94" s="30">
        <v>1.62077E-12</v>
      </c>
      <c r="T94" s="31">
        <v>3.4944200000000001E-15</v>
      </c>
      <c r="U94" s="3">
        <v>1.4721800000000001E-13</v>
      </c>
      <c r="V94" s="3">
        <v>1.55552E-12</v>
      </c>
      <c r="W94" s="3">
        <v>1.55964E-12</v>
      </c>
      <c r="X94" s="35">
        <v>1.47368E-12</v>
      </c>
      <c r="Z94" s="31">
        <v>7.3632499999999999E-15</v>
      </c>
      <c r="AA94" s="3">
        <v>2.3754500000000002E-13</v>
      </c>
      <c r="AB94" s="3">
        <v>1.5889599999999999E-12</v>
      </c>
      <c r="AC94" s="3">
        <v>1.6066700000000001E-12</v>
      </c>
      <c r="AD94" s="30">
        <v>1.43712E-12</v>
      </c>
      <c r="AF94" s="31">
        <v>4.99203E-15</v>
      </c>
      <c r="AG94" s="3">
        <v>1.6954999999999999E-13</v>
      </c>
      <c r="AH94" s="3">
        <v>8.7993800000000004E-13</v>
      </c>
      <c r="AI94" s="3">
        <v>8.8530299999999999E-13</v>
      </c>
      <c r="AJ94" s="30">
        <v>8.2466899999999999E-13</v>
      </c>
      <c r="AL94" s="31">
        <v>1.3728200000000001E-15</v>
      </c>
      <c r="AM94" s="3">
        <v>1.0217799999999999E-13</v>
      </c>
      <c r="AN94" s="3">
        <v>3.7427900000000003E-13</v>
      </c>
      <c r="AO94" s="3">
        <v>3.5905799999999999E-13</v>
      </c>
      <c r="AP94" s="30">
        <v>4.3141900000000002E-13</v>
      </c>
      <c r="AR94" s="6"/>
      <c r="AS94" s="3">
        <v>1.5919500000000001E-13</v>
      </c>
      <c r="AT94" s="3">
        <v>3.1676799999999998E-13</v>
      </c>
      <c r="AU94" s="30">
        <v>2.4952199999999999E-16</v>
      </c>
      <c r="AV94" s="3">
        <v>2.4178700000000001E-13</v>
      </c>
    </row>
    <row r="95" spans="2:48" x14ac:dyDescent="0.25">
      <c r="B95" s="7">
        <v>1.04458E-13</v>
      </c>
      <c r="C95" s="31">
        <v>3.7565499999999998E-13</v>
      </c>
      <c r="D95" s="5">
        <v>4.0780600000000001E-12</v>
      </c>
      <c r="E95" s="3">
        <v>4.07682E-12</v>
      </c>
      <c r="F95" s="30">
        <v>4.1539200000000001E-12</v>
      </c>
      <c r="H95" s="3">
        <v>1.2479999999999999E-14</v>
      </c>
      <c r="I95" s="3">
        <v>1.2650799999999999E-13</v>
      </c>
      <c r="J95" s="3">
        <v>1.33918E-12</v>
      </c>
      <c r="K95" s="3">
        <v>1.3865900000000001E-12</v>
      </c>
      <c r="L95" s="30">
        <v>1.31186E-12</v>
      </c>
      <c r="N95" s="31">
        <v>3.4944200000000001E-15</v>
      </c>
      <c r="O95" s="3">
        <v>1.7978099999999999E-13</v>
      </c>
      <c r="P95" s="3">
        <v>1.45134E-12</v>
      </c>
      <c r="Q95" s="3">
        <v>1.5966899999999999E-12</v>
      </c>
      <c r="R95" s="30">
        <v>1.5924499999999999E-12</v>
      </c>
      <c r="T95" s="31">
        <v>3.3696200000000001E-15</v>
      </c>
      <c r="U95" s="3">
        <v>1.41728E-13</v>
      </c>
      <c r="V95" s="3">
        <v>1.4873999999999999E-12</v>
      </c>
      <c r="W95" s="3">
        <v>1.54155E-12</v>
      </c>
      <c r="X95" s="35">
        <v>1.4443599999999999E-12</v>
      </c>
      <c r="Z95" s="31">
        <v>5.9904400000000004E-15</v>
      </c>
      <c r="AA95" s="3">
        <v>2.2868699999999999E-13</v>
      </c>
      <c r="AB95" s="3">
        <v>1.58833E-12</v>
      </c>
      <c r="AC95" s="3">
        <v>1.5641299999999999E-12</v>
      </c>
      <c r="AD95" s="30">
        <v>1.43575E-12</v>
      </c>
      <c r="AF95" s="31">
        <v>4.4928300000000001E-15</v>
      </c>
      <c r="AG95" s="3">
        <v>1.67679E-13</v>
      </c>
      <c r="AH95" s="3">
        <v>8.5261599999999997E-13</v>
      </c>
      <c r="AI95" s="3">
        <v>8.6633899999999995E-13</v>
      </c>
      <c r="AJ95" s="30">
        <v>7.87116E-13</v>
      </c>
      <c r="AL95" s="31">
        <v>1.3728200000000001E-15</v>
      </c>
      <c r="AM95" s="3">
        <v>1.01929E-13</v>
      </c>
      <c r="AN95" s="3">
        <v>3.6654400000000001E-13</v>
      </c>
      <c r="AO95" s="3">
        <v>3.51822E-13</v>
      </c>
      <c r="AP95" s="30">
        <v>4.2156299999999999E-13</v>
      </c>
      <c r="AR95" s="6"/>
      <c r="AS95" s="3">
        <v>1.5732399999999999E-13</v>
      </c>
      <c r="AT95" s="3">
        <v>3.0641300000000002E-13</v>
      </c>
      <c r="AU95" s="30">
        <v>4.5250800000000001E-13</v>
      </c>
      <c r="AV95" s="3">
        <v>2.4053899999999998E-13</v>
      </c>
    </row>
    <row r="96" spans="2:48" x14ac:dyDescent="0.25">
      <c r="B96" s="7">
        <v>9.2102900000000002E-14</v>
      </c>
      <c r="C96" s="31">
        <v>3.7478199999999999E-13</v>
      </c>
      <c r="D96" s="5">
        <v>4.02716E-12</v>
      </c>
      <c r="E96" s="3">
        <v>4.0650900000000004E-12</v>
      </c>
      <c r="F96" s="30">
        <v>4.0573500000000003E-12</v>
      </c>
      <c r="H96" s="3">
        <v>1.23552E-14</v>
      </c>
      <c r="I96" s="3">
        <v>1.26133E-13</v>
      </c>
      <c r="J96" s="3">
        <v>1.3027500000000001E-12</v>
      </c>
      <c r="K96" s="3">
        <v>1.3846E-12</v>
      </c>
      <c r="L96" s="30">
        <v>1.3038800000000001E-12</v>
      </c>
      <c r="N96" s="31">
        <v>3.2448200000000001E-15</v>
      </c>
      <c r="O96" s="3">
        <v>1.7678600000000001E-13</v>
      </c>
      <c r="P96" s="3">
        <v>1.4436099999999999E-12</v>
      </c>
      <c r="Q96" s="3">
        <v>1.57099E-12</v>
      </c>
      <c r="R96" s="30">
        <v>1.58808E-12</v>
      </c>
      <c r="T96" s="31">
        <v>3.3696200000000001E-15</v>
      </c>
      <c r="U96" s="3">
        <v>1.4160400000000001E-13</v>
      </c>
      <c r="V96" s="3">
        <v>1.48503E-12</v>
      </c>
      <c r="W96" s="3">
        <v>1.5392999999999999E-12</v>
      </c>
      <c r="X96" s="35">
        <v>1.44261E-12</v>
      </c>
      <c r="Z96" s="31">
        <v>5.8656400000000004E-15</v>
      </c>
      <c r="AA96" s="3">
        <v>2.18956E-13</v>
      </c>
      <c r="AB96" s="3">
        <v>1.57224E-12</v>
      </c>
      <c r="AC96" s="3">
        <v>1.54567E-12</v>
      </c>
      <c r="AD96" s="30">
        <v>1.41579E-12</v>
      </c>
      <c r="AF96" s="31">
        <v>3.9936200000000004E-15</v>
      </c>
      <c r="AG96" s="3">
        <v>1.6705499999999999E-13</v>
      </c>
      <c r="AH96" s="3">
        <v>8.3427599999999997E-13</v>
      </c>
      <c r="AI96" s="3">
        <v>8.6434300000000005E-13</v>
      </c>
      <c r="AJ96" s="30">
        <v>7.8225000000000002E-13</v>
      </c>
      <c r="AL96" s="31">
        <v>1.2480199999999999E-15</v>
      </c>
      <c r="AM96" s="3">
        <v>9.7437199999999999E-14</v>
      </c>
      <c r="AN96" s="3">
        <v>3.6354899999999998E-13</v>
      </c>
      <c r="AO96" s="3">
        <v>3.5044999999999999E-13</v>
      </c>
      <c r="AP96" s="30">
        <v>4.1507499999999998E-13</v>
      </c>
      <c r="AR96" s="6"/>
      <c r="AS96" s="3">
        <v>1.4996299999999999E-13</v>
      </c>
      <c r="AT96" s="3">
        <v>2.9568399999999999E-13</v>
      </c>
      <c r="AU96" s="30">
        <v>2.4269799999999998E-12</v>
      </c>
      <c r="AV96" s="3">
        <v>2.3916700000000001E-13</v>
      </c>
    </row>
    <row r="97" spans="2:48" x14ac:dyDescent="0.25">
      <c r="B97" s="7">
        <v>9.2102900000000002E-14</v>
      </c>
      <c r="C97" s="31">
        <v>3.6916799999999999E-13</v>
      </c>
      <c r="D97" s="5">
        <v>4.0034600000000004E-12</v>
      </c>
      <c r="E97" s="3">
        <v>4.0546100000000002E-12</v>
      </c>
      <c r="F97" s="30">
        <v>4.0322799999999999E-12</v>
      </c>
      <c r="H97" s="3">
        <v>1.2230399999999999E-14</v>
      </c>
      <c r="I97" s="3">
        <v>1.2500999999999999E-13</v>
      </c>
      <c r="J97" s="3">
        <v>1.29365E-12</v>
      </c>
      <c r="K97" s="3">
        <v>1.3794800000000001E-12</v>
      </c>
      <c r="L97" s="30">
        <v>1.2802999999999999E-12</v>
      </c>
      <c r="N97" s="31">
        <v>2.8704199999999998E-15</v>
      </c>
      <c r="O97" s="3">
        <v>1.7029899999999999E-13</v>
      </c>
      <c r="P97" s="3">
        <v>1.4326299999999999E-12</v>
      </c>
      <c r="Q97" s="3">
        <v>1.55352E-12</v>
      </c>
      <c r="R97" s="30">
        <v>1.57698E-12</v>
      </c>
      <c r="T97" s="31">
        <v>3.1200200000000002E-15</v>
      </c>
      <c r="U97" s="3">
        <v>1.36863E-13</v>
      </c>
      <c r="V97" s="3">
        <v>1.45297E-12</v>
      </c>
      <c r="W97" s="3">
        <v>1.5233299999999999E-12</v>
      </c>
      <c r="X97" s="35">
        <v>1.42901E-12</v>
      </c>
      <c r="Z97" s="31">
        <v>5.11683E-15</v>
      </c>
      <c r="AA97" s="3">
        <v>2.12343E-13</v>
      </c>
      <c r="AB97" s="3">
        <v>1.56376E-12</v>
      </c>
      <c r="AC97" s="3">
        <v>1.50275E-12</v>
      </c>
      <c r="AD97" s="30">
        <v>1.4069299999999999E-12</v>
      </c>
      <c r="AF97" s="31">
        <v>3.8688199999999996E-15</v>
      </c>
      <c r="AG97" s="3">
        <v>1.6268799999999999E-13</v>
      </c>
      <c r="AH97" s="3">
        <v>8.2966000000000002E-13</v>
      </c>
      <c r="AI97" s="3">
        <v>8.3514899999999996E-13</v>
      </c>
      <c r="AJ97" s="30">
        <v>7.8200099999999997E-13</v>
      </c>
      <c r="AL97" s="31">
        <v>9.9841200000000002E-16</v>
      </c>
      <c r="AM97" s="3">
        <v>9.6563899999999999E-14</v>
      </c>
      <c r="AN97" s="3">
        <v>3.6167799999999999E-13</v>
      </c>
      <c r="AO97" s="3">
        <v>3.4758000000000002E-13</v>
      </c>
      <c r="AP97" s="30">
        <v>3.9960499999999999E-13</v>
      </c>
      <c r="AR97" s="6"/>
      <c r="AS97" s="3">
        <v>1.48341E-13</v>
      </c>
      <c r="AT97" s="3">
        <v>2.94062E-13</v>
      </c>
      <c r="AU97" s="30">
        <v>7.4856599999999998E-16</v>
      </c>
      <c r="AV97" s="3">
        <v>2.2981000000000001E-13</v>
      </c>
    </row>
    <row r="98" spans="2:48" x14ac:dyDescent="0.25">
      <c r="B98" s="7">
        <v>8.9107699999999996E-14</v>
      </c>
      <c r="C98" s="31">
        <v>3.6642299999999998E-13</v>
      </c>
      <c r="D98" s="5">
        <v>3.9320900000000001E-12</v>
      </c>
      <c r="E98" s="3">
        <v>3.9934799999999997E-12</v>
      </c>
      <c r="F98" s="30">
        <v>4.0276600000000002E-12</v>
      </c>
      <c r="H98" s="3">
        <v>1.1980799999999999E-14</v>
      </c>
      <c r="I98" s="3">
        <v>1.2376300000000001E-13</v>
      </c>
      <c r="J98" s="3">
        <v>1.24773E-12</v>
      </c>
      <c r="K98" s="3">
        <v>1.3183499999999999E-12</v>
      </c>
      <c r="L98" s="30">
        <v>1.2781799999999999E-12</v>
      </c>
      <c r="N98" s="31">
        <v>2.7456199999999998E-15</v>
      </c>
      <c r="O98" s="3">
        <v>1.6555800000000001E-13</v>
      </c>
      <c r="P98" s="3">
        <v>1.4154099999999999E-12</v>
      </c>
      <c r="Q98" s="3">
        <v>1.5506500000000001E-12</v>
      </c>
      <c r="R98" s="30">
        <v>1.5746100000000001E-12</v>
      </c>
      <c r="T98" s="31">
        <v>2.9952200000000002E-15</v>
      </c>
      <c r="U98" s="3">
        <v>1.3673799999999999E-13</v>
      </c>
      <c r="V98" s="3">
        <v>1.45097E-12</v>
      </c>
      <c r="W98" s="3">
        <v>1.52021E-12</v>
      </c>
      <c r="X98" s="35">
        <v>1.41841E-12</v>
      </c>
      <c r="Z98" s="31">
        <v>3.9936300000000002E-15</v>
      </c>
      <c r="AA98" s="3">
        <v>2.07478E-13</v>
      </c>
      <c r="AB98" s="3">
        <v>1.5295699999999999E-12</v>
      </c>
      <c r="AC98" s="3">
        <v>1.50138E-12</v>
      </c>
      <c r="AD98" s="30">
        <v>1.39021E-12</v>
      </c>
      <c r="AF98" s="31">
        <v>3.7440199999999996E-15</v>
      </c>
      <c r="AG98" s="3">
        <v>1.61565E-13</v>
      </c>
      <c r="AH98" s="3">
        <v>8.2604099999999995E-13</v>
      </c>
      <c r="AI98" s="3">
        <v>8.1019700000000001E-13</v>
      </c>
      <c r="AJ98" s="30">
        <v>7.6478399999999999E-13</v>
      </c>
      <c r="AL98" s="31">
        <v>8.7361100000000003E-16</v>
      </c>
      <c r="AM98" s="3">
        <v>9.3070599999999994E-14</v>
      </c>
      <c r="AN98" s="3">
        <v>3.54691E-13</v>
      </c>
      <c r="AO98" s="3">
        <v>3.4358800000000001E-13</v>
      </c>
      <c r="AP98" s="30">
        <v>3.8625599999999997E-13</v>
      </c>
      <c r="AR98" s="6"/>
      <c r="AS98" s="3">
        <v>1.36863E-13</v>
      </c>
      <c r="AT98" s="3">
        <v>2.8220899999999999E-13</v>
      </c>
      <c r="AU98" s="30">
        <v>1.3723700000000001E-15</v>
      </c>
      <c r="AV98" s="3">
        <v>2.28812E-13</v>
      </c>
    </row>
    <row r="99" spans="2:48" x14ac:dyDescent="0.25">
      <c r="B99" s="7">
        <v>6.0528299999999999E-14</v>
      </c>
      <c r="C99" s="31">
        <v>3.6442699999999998E-13</v>
      </c>
      <c r="D99" s="5">
        <v>3.8544899999999997E-12</v>
      </c>
      <c r="E99" s="3">
        <v>3.9816200000000002E-12</v>
      </c>
      <c r="F99" s="30">
        <v>3.9793800000000004E-12</v>
      </c>
      <c r="H99" s="3">
        <v>1.1231999999999999E-14</v>
      </c>
      <c r="I99" s="3">
        <v>1.2239E-13</v>
      </c>
      <c r="J99" s="3">
        <v>1.2374999999999999E-12</v>
      </c>
      <c r="K99" s="3">
        <v>1.2990099999999999E-12</v>
      </c>
      <c r="L99" s="30">
        <v>1.2157999999999999E-12</v>
      </c>
      <c r="N99" s="31">
        <v>2.3712100000000001E-15</v>
      </c>
      <c r="O99" s="3">
        <v>1.6293799999999999E-13</v>
      </c>
      <c r="P99" s="3">
        <v>1.39857E-12</v>
      </c>
      <c r="Q99" s="3">
        <v>1.44972E-12</v>
      </c>
      <c r="R99" s="30">
        <v>1.56899E-12</v>
      </c>
      <c r="T99" s="31">
        <v>2.7456199999999998E-15</v>
      </c>
      <c r="U99" s="3">
        <v>1.36613E-13</v>
      </c>
      <c r="V99" s="3">
        <v>1.45085E-12</v>
      </c>
      <c r="W99" s="3">
        <v>1.5155999999999999E-12</v>
      </c>
      <c r="X99" s="35">
        <v>1.4119199999999999E-12</v>
      </c>
      <c r="Z99" s="31">
        <v>3.4944200000000001E-15</v>
      </c>
      <c r="AA99" s="3">
        <v>2.07228E-13</v>
      </c>
      <c r="AB99" s="3">
        <v>1.5114799999999999E-12</v>
      </c>
      <c r="AC99" s="3">
        <v>1.4780499999999999E-12</v>
      </c>
      <c r="AD99" s="30">
        <v>1.3758700000000001E-12</v>
      </c>
      <c r="AF99" s="31">
        <v>3.7440199999999996E-15</v>
      </c>
      <c r="AG99" s="3">
        <v>1.57822E-13</v>
      </c>
      <c r="AH99" s="3">
        <v>7.9772100000000003E-13</v>
      </c>
      <c r="AI99" s="3">
        <v>7.9210700000000003E-13</v>
      </c>
      <c r="AJ99" s="30">
        <v>7.5792200000000001E-13</v>
      </c>
      <c r="AL99" s="31">
        <v>7.4880900000000002E-16</v>
      </c>
      <c r="AM99" s="3">
        <v>9.1074499999999995E-14</v>
      </c>
      <c r="AN99" s="3">
        <v>3.52571E-13</v>
      </c>
      <c r="AO99" s="3">
        <v>3.4146699999999999E-13</v>
      </c>
      <c r="AP99" s="30">
        <v>3.78396E-13</v>
      </c>
      <c r="AR99" s="6"/>
      <c r="AS99" s="3">
        <v>1.36364E-13</v>
      </c>
      <c r="AT99" s="3">
        <v>2.8171000000000002E-13</v>
      </c>
      <c r="AU99" s="30">
        <v>8.7332699999999998E-16</v>
      </c>
      <c r="AV99" s="3">
        <v>2.2494400000000001E-13</v>
      </c>
    </row>
    <row r="100" spans="2:48" x14ac:dyDescent="0.25">
      <c r="B100" s="7">
        <v>5.5910699999999999E-14</v>
      </c>
      <c r="C100" s="31">
        <v>3.55818E-13</v>
      </c>
      <c r="D100" s="5">
        <v>3.8380199999999998E-12</v>
      </c>
      <c r="E100" s="3">
        <v>3.9545500000000004E-12</v>
      </c>
      <c r="F100" s="30">
        <v>3.9544299999999997E-12</v>
      </c>
      <c r="H100" s="3">
        <v>1.11072E-14</v>
      </c>
      <c r="I100" s="3">
        <v>1.2201600000000001E-13</v>
      </c>
      <c r="J100" s="3">
        <v>1.2187900000000001E-12</v>
      </c>
      <c r="K100" s="3">
        <v>1.2943899999999999E-12</v>
      </c>
      <c r="L100" s="30">
        <v>1.2131800000000001E-12</v>
      </c>
      <c r="N100" s="31">
        <v>2.3712100000000001E-15</v>
      </c>
      <c r="O100" s="3">
        <v>1.6218899999999999E-13</v>
      </c>
      <c r="P100" s="3">
        <v>1.3898400000000001E-12</v>
      </c>
      <c r="Q100" s="3">
        <v>1.4342500000000001E-12</v>
      </c>
      <c r="R100" s="30">
        <v>1.5531499999999999E-12</v>
      </c>
      <c r="T100" s="31">
        <v>2.4960100000000001E-15</v>
      </c>
      <c r="U100" s="3">
        <v>1.3349400000000001E-13</v>
      </c>
      <c r="V100" s="3">
        <v>1.4236500000000001E-12</v>
      </c>
      <c r="W100" s="3">
        <v>1.49264E-12</v>
      </c>
      <c r="X100" s="35">
        <v>1.4014399999999999E-12</v>
      </c>
      <c r="Z100" s="31">
        <v>3.2448200000000001E-15</v>
      </c>
      <c r="AA100" s="3">
        <v>2.0473299999999999E-13</v>
      </c>
      <c r="AB100" s="3">
        <v>1.51061E-12</v>
      </c>
      <c r="AC100" s="3">
        <v>1.4540899999999999E-12</v>
      </c>
      <c r="AD100" s="30">
        <v>1.3722499999999999E-12</v>
      </c>
      <c r="AF100" s="31">
        <v>3.7440199999999996E-15</v>
      </c>
      <c r="AG100" s="3">
        <v>1.5108500000000001E-13</v>
      </c>
      <c r="AH100" s="3">
        <v>7.9322899999999997E-13</v>
      </c>
      <c r="AI100" s="3">
        <v>7.7576300000000003E-13</v>
      </c>
      <c r="AJ100" s="30">
        <v>7.5393E-13</v>
      </c>
      <c r="AL100" s="31">
        <v>7.4880900000000002E-16</v>
      </c>
      <c r="AM100" s="3">
        <v>8.9577399999999997E-14</v>
      </c>
      <c r="AN100" s="3">
        <v>3.52571E-13</v>
      </c>
      <c r="AO100" s="3">
        <v>3.3023899999999999E-13</v>
      </c>
      <c r="AP100" s="30">
        <v>3.7689900000000002E-13</v>
      </c>
      <c r="AR100" s="6"/>
      <c r="AS100" s="3">
        <v>1.28753E-13</v>
      </c>
      <c r="AT100" s="3">
        <v>2.8171000000000002E-13</v>
      </c>
      <c r="AU100" s="30">
        <v>3.0581400000000001E-12</v>
      </c>
      <c r="AV100" s="3">
        <v>2.1346600000000001E-13</v>
      </c>
    </row>
    <row r="101" spans="2:48" x14ac:dyDescent="0.25">
      <c r="B101" s="7">
        <v>5.4413100000000002E-14</v>
      </c>
      <c r="C101" s="31">
        <v>3.5519499999999998E-13</v>
      </c>
      <c r="D101" s="5">
        <v>3.7211199999999998E-12</v>
      </c>
      <c r="E101" s="3">
        <v>3.8309099999999999E-12</v>
      </c>
      <c r="F101" s="30">
        <v>3.9461900000000002E-12</v>
      </c>
      <c r="H101" s="3">
        <v>1.07328E-14</v>
      </c>
      <c r="I101" s="3">
        <v>1.2064399999999999E-13</v>
      </c>
      <c r="J101" s="3">
        <v>1.2148E-12</v>
      </c>
      <c r="K101" s="3">
        <v>1.2866600000000001E-12</v>
      </c>
      <c r="L101" s="30">
        <v>1.2090600000000001E-12</v>
      </c>
      <c r="N101" s="31">
        <v>2.2464100000000002E-15</v>
      </c>
      <c r="O101" s="3">
        <v>1.59569E-13</v>
      </c>
      <c r="P101" s="3">
        <v>1.3897099999999999E-12</v>
      </c>
      <c r="Q101" s="3">
        <v>1.4291399999999999E-12</v>
      </c>
      <c r="R101" s="30">
        <v>1.45796E-12</v>
      </c>
      <c r="T101" s="31">
        <v>2.3712100000000001E-15</v>
      </c>
      <c r="U101" s="3">
        <v>1.31997E-13</v>
      </c>
      <c r="V101" s="3">
        <v>1.3925799999999999E-12</v>
      </c>
      <c r="W101" s="3">
        <v>1.48927E-12</v>
      </c>
      <c r="X101" s="35">
        <v>1.4009400000000001E-12</v>
      </c>
      <c r="Z101" s="31">
        <v>3.2448200000000001E-15</v>
      </c>
      <c r="AA101" s="3">
        <v>2.03111E-13</v>
      </c>
      <c r="AB101" s="3">
        <v>1.50711E-12</v>
      </c>
      <c r="AC101" s="3">
        <v>1.437E-12</v>
      </c>
      <c r="AD101" s="30">
        <v>1.37137E-12</v>
      </c>
      <c r="AF101" s="31">
        <v>3.6192199999999997E-15</v>
      </c>
      <c r="AG101" s="3">
        <v>1.5096099999999999E-13</v>
      </c>
      <c r="AH101" s="3">
        <v>7.9185700000000001E-13</v>
      </c>
      <c r="AI101" s="3">
        <v>7.7127099999999998E-13</v>
      </c>
      <c r="AJ101" s="30">
        <v>7.3496599999999996E-13</v>
      </c>
      <c r="AL101" s="31">
        <v>7.4880900000000002E-16</v>
      </c>
      <c r="AM101" s="3">
        <v>7.8972800000000004E-14</v>
      </c>
      <c r="AN101" s="3">
        <v>3.5119800000000001E-13</v>
      </c>
      <c r="AO101" s="3">
        <v>3.24001E-13</v>
      </c>
      <c r="AP101" s="30">
        <v>3.7365499999999999E-13</v>
      </c>
      <c r="AR101" s="6"/>
      <c r="AS101" s="3">
        <v>1.2750599999999999E-13</v>
      </c>
      <c r="AT101" s="3">
        <v>2.7672000000000001E-13</v>
      </c>
      <c r="AU101" s="30">
        <v>1.59158E-12</v>
      </c>
      <c r="AV101" s="3">
        <v>2.1221900000000001E-13</v>
      </c>
    </row>
    <row r="102" spans="2:48" x14ac:dyDescent="0.25">
      <c r="B102" s="7">
        <v>5.3289899999999998E-14</v>
      </c>
      <c r="C102" s="31">
        <v>3.49206E-13</v>
      </c>
      <c r="D102" s="5">
        <v>3.7083999999999998E-12</v>
      </c>
      <c r="E102" s="3">
        <v>3.7540600000000003E-12</v>
      </c>
      <c r="F102" s="30">
        <v>3.86697E-12</v>
      </c>
      <c r="H102" s="3">
        <v>1.01088E-14</v>
      </c>
      <c r="I102" s="3">
        <v>1.19771E-13</v>
      </c>
      <c r="J102" s="3">
        <v>1.2065600000000001E-12</v>
      </c>
      <c r="K102" s="3">
        <v>1.2735600000000001E-12</v>
      </c>
      <c r="L102" s="30">
        <v>1.1891000000000001E-12</v>
      </c>
      <c r="N102" s="31">
        <v>2.2464100000000002E-15</v>
      </c>
      <c r="O102" s="3">
        <v>1.5894600000000001E-13</v>
      </c>
      <c r="P102" s="3">
        <v>1.3662600000000001E-12</v>
      </c>
      <c r="Q102" s="3">
        <v>1.4242699999999999E-12</v>
      </c>
      <c r="R102" s="30">
        <v>1.4368699999999999E-12</v>
      </c>
      <c r="T102" s="31">
        <v>2.3712100000000001E-15</v>
      </c>
      <c r="U102" s="3">
        <v>1.2675699999999999E-13</v>
      </c>
      <c r="V102" s="3">
        <v>1.3862199999999999E-12</v>
      </c>
      <c r="W102" s="3">
        <v>1.48565E-12</v>
      </c>
      <c r="X102" s="35">
        <v>1.3668799999999999E-12</v>
      </c>
      <c r="Z102" s="31">
        <v>3.1200200000000002E-15</v>
      </c>
      <c r="AA102" s="3">
        <v>1.9911899999999999E-13</v>
      </c>
      <c r="AB102" s="3">
        <v>1.5042400000000001E-12</v>
      </c>
      <c r="AC102" s="3">
        <v>1.4326299999999999E-12</v>
      </c>
      <c r="AD102" s="30">
        <v>1.3557799999999999E-12</v>
      </c>
      <c r="AF102" s="31">
        <v>3.3696200000000001E-15</v>
      </c>
      <c r="AG102" s="3">
        <v>1.4971299999999999E-13</v>
      </c>
      <c r="AH102" s="3">
        <v>7.8312399999999999E-13</v>
      </c>
      <c r="AI102" s="3">
        <v>7.7002399999999997E-13</v>
      </c>
      <c r="AJ102" s="30">
        <v>7.3284499999999999E-13</v>
      </c>
      <c r="AL102" s="31">
        <v>6.2400800000000002E-16</v>
      </c>
      <c r="AM102" s="3">
        <v>7.8972800000000004E-14</v>
      </c>
      <c r="AN102" s="3">
        <v>3.5069899999999999E-13</v>
      </c>
      <c r="AO102" s="3">
        <v>3.2375099999999998E-13</v>
      </c>
      <c r="AP102" s="30">
        <v>3.6579500000000001E-13</v>
      </c>
      <c r="AR102" s="6"/>
      <c r="AS102" s="3">
        <v>1.2750599999999999E-13</v>
      </c>
      <c r="AT102" s="3">
        <v>2.7484900000000001E-13</v>
      </c>
      <c r="AU102" s="30">
        <v>1.1228500000000001E-15</v>
      </c>
      <c r="AV102" s="3">
        <v>2.1022200000000001E-13</v>
      </c>
    </row>
    <row r="103" spans="2:48" x14ac:dyDescent="0.25">
      <c r="B103" s="7">
        <v>5.3289899999999998E-14</v>
      </c>
      <c r="C103" s="31">
        <v>3.4571300000000001E-13</v>
      </c>
      <c r="D103" s="5">
        <v>3.6643599999999999E-12</v>
      </c>
      <c r="E103" s="3">
        <v>3.7360899999999997E-12</v>
      </c>
      <c r="F103" s="30">
        <v>3.8467599999999997E-12</v>
      </c>
      <c r="H103" s="3">
        <v>8.6112300000000001E-15</v>
      </c>
      <c r="I103" s="3">
        <v>1.18024E-13</v>
      </c>
      <c r="J103" s="3">
        <v>1.2061899999999999E-12</v>
      </c>
      <c r="K103" s="3">
        <v>1.2698199999999999E-12</v>
      </c>
      <c r="L103" s="30">
        <v>1.1861E-12</v>
      </c>
      <c r="N103" s="31">
        <v>2.1216100000000002E-15</v>
      </c>
      <c r="O103" s="3">
        <v>1.58571E-13</v>
      </c>
      <c r="P103" s="3">
        <v>1.36039E-12</v>
      </c>
      <c r="Q103" s="3">
        <v>1.4160400000000001E-12</v>
      </c>
      <c r="R103" s="30">
        <v>1.4236500000000001E-12</v>
      </c>
      <c r="T103" s="31">
        <v>2.3712100000000001E-15</v>
      </c>
      <c r="U103" s="3">
        <v>1.26133E-13</v>
      </c>
      <c r="V103" s="3">
        <v>1.3415500000000001E-12</v>
      </c>
      <c r="W103" s="3">
        <v>1.4797900000000001E-12</v>
      </c>
      <c r="X103" s="35">
        <v>1.3641400000000001E-12</v>
      </c>
      <c r="Z103" s="31">
        <v>3.1200200000000002E-15</v>
      </c>
      <c r="AA103" s="3">
        <v>1.9300499999999999E-13</v>
      </c>
      <c r="AB103" s="3">
        <v>1.46644E-12</v>
      </c>
      <c r="AC103" s="3">
        <v>1.42041E-12</v>
      </c>
      <c r="AD103" s="30">
        <v>1.3162299999999999E-12</v>
      </c>
      <c r="AF103" s="31">
        <v>3.2448200000000001E-15</v>
      </c>
      <c r="AG103" s="3">
        <v>1.47842E-13</v>
      </c>
      <c r="AH103" s="3">
        <v>7.7526399999999996E-13</v>
      </c>
      <c r="AI103" s="3">
        <v>7.6291199999999997E-13</v>
      </c>
      <c r="AJ103" s="30">
        <v>6.8568599999999999E-13</v>
      </c>
      <c r="AL103" s="31">
        <v>6.2400800000000002E-16</v>
      </c>
      <c r="AM103" s="3">
        <v>7.5354799999999996E-14</v>
      </c>
      <c r="AN103" s="3">
        <v>3.49826E-13</v>
      </c>
      <c r="AO103" s="3">
        <v>3.2187999999999999E-13</v>
      </c>
      <c r="AP103" s="30">
        <v>3.6230200000000002E-13</v>
      </c>
      <c r="AR103" s="6"/>
      <c r="AS103" s="3">
        <v>1.2426200000000001E-13</v>
      </c>
      <c r="AT103" s="3">
        <v>2.7210400000000001E-13</v>
      </c>
      <c r="AU103" s="30">
        <v>4.5413000000000002E-14</v>
      </c>
      <c r="AV103" s="3">
        <v>2.06479E-13</v>
      </c>
    </row>
    <row r="104" spans="2:48" x14ac:dyDescent="0.25">
      <c r="B104" s="7">
        <v>5.1667499999999998E-14</v>
      </c>
      <c r="C104" s="31">
        <v>3.4546299999999999E-13</v>
      </c>
      <c r="D104" s="5">
        <v>3.6552499999999998E-12</v>
      </c>
      <c r="E104" s="3">
        <v>3.7186300000000003E-12</v>
      </c>
      <c r="F104" s="30">
        <v>3.81519E-12</v>
      </c>
      <c r="H104" s="3">
        <v>8.3616300000000001E-15</v>
      </c>
      <c r="I104" s="3">
        <v>1.17525E-13</v>
      </c>
      <c r="J104" s="3">
        <v>1.20594E-12</v>
      </c>
      <c r="K104" s="3">
        <v>1.26533E-12</v>
      </c>
      <c r="L104" s="30">
        <v>1.1773700000000001E-12</v>
      </c>
      <c r="N104" s="31">
        <v>1.8720099999999998E-15</v>
      </c>
      <c r="O104" s="3">
        <v>1.57199E-13</v>
      </c>
      <c r="P104" s="3">
        <v>1.3510400000000001E-12</v>
      </c>
      <c r="Q104" s="3">
        <v>1.40581E-12</v>
      </c>
      <c r="R104" s="30">
        <v>1.4174099999999999E-12</v>
      </c>
      <c r="T104" s="31">
        <v>2.3712100000000001E-15</v>
      </c>
      <c r="U104" s="3">
        <v>1.14905E-13</v>
      </c>
      <c r="V104" s="3">
        <v>1.32521E-12</v>
      </c>
      <c r="W104" s="3">
        <v>1.4077999999999999E-12</v>
      </c>
      <c r="X104" s="35">
        <v>1.3026300000000001E-12</v>
      </c>
      <c r="Z104" s="31">
        <v>2.8704199999999998E-15</v>
      </c>
      <c r="AA104" s="3">
        <v>1.9001100000000001E-13</v>
      </c>
      <c r="AB104" s="3">
        <v>1.4650699999999999E-12</v>
      </c>
      <c r="AC104" s="3">
        <v>1.4165399999999999E-12</v>
      </c>
      <c r="AD104" s="30">
        <v>1.31336E-12</v>
      </c>
      <c r="AF104" s="31">
        <v>3.1200200000000002E-15</v>
      </c>
      <c r="AG104" s="3">
        <v>1.45222E-13</v>
      </c>
      <c r="AH104" s="3">
        <v>7.4993700000000002E-13</v>
      </c>
      <c r="AI104" s="3">
        <v>7.5966899999999996E-13</v>
      </c>
      <c r="AJ104" s="30">
        <v>6.6223E-13</v>
      </c>
      <c r="AL104" s="31">
        <v>4.9920600000000001E-16</v>
      </c>
      <c r="AM104" s="3">
        <v>7.3109100000000001E-14</v>
      </c>
      <c r="AN104" s="3">
        <v>3.4221500000000002E-13</v>
      </c>
      <c r="AO104" s="3">
        <v>3.20507E-13</v>
      </c>
      <c r="AP104" s="30">
        <v>3.57436E-13</v>
      </c>
      <c r="AR104" s="6"/>
      <c r="AS104" s="3">
        <v>1.20769E-13</v>
      </c>
      <c r="AT104" s="3">
        <v>2.5214200000000002E-13</v>
      </c>
      <c r="AU104" s="30">
        <v>1.24761E-16</v>
      </c>
      <c r="AV104" s="3">
        <v>2.04858E-13</v>
      </c>
    </row>
    <row r="105" spans="2:48" x14ac:dyDescent="0.25">
      <c r="B105" s="7">
        <v>4.5926700000000001E-14</v>
      </c>
      <c r="C105" s="31">
        <v>3.43592E-13</v>
      </c>
      <c r="D105" s="5">
        <v>3.59224E-12</v>
      </c>
      <c r="E105" s="3">
        <v>3.69405E-12</v>
      </c>
      <c r="F105" s="30">
        <v>3.7963499999999997E-12</v>
      </c>
      <c r="H105" s="3">
        <v>8.1120300000000002E-15</v>
      </c>
      <c r="I105" s="3">
        <v>1.1652699999999999E-13</v>
      </c>
      <c r="J105" s="3">
        <v>1.14219E-12</v>
      </c>
      <c r="K105" s="3">
        <v>1.2529700000000001E-12</v>
      </c>
      <c r="L105" s="30">
        <v>1.1758699999999999E-12</v>
      </c>
      <c r="N105" s="31">
        <v>1.8720099999999998E-15</v>
      </c>
      <c r="O105" s="3">
        <v>1.5432899999999999E-13</v>
      </c>
      <c r="P105" s="3">
        <v>1.3240900000000001E-12</v>
      </c>
      <c r="Q105" s="3">
        <v>1.3630100000000001E-12</v>
      </c>
      <c r="R105" s="30">
        <v>1.40281E-12</v>
      </c>
      <c r="T105" s="31">
        <v>2.2464100000000002E-15</v>
      </c>
      <c r="U105" s="3">
        <v>1.13158E-13</v>
      </c>
      <c r="V105" s="3">
        <v>1.3245899999999999E-12</v>
      </c>
      <c r="W105" s="3">
        <v>1.3571499999999999E-12</v>
      </c>
      <c r="X105" s="35">
        <v>1.2896500000000001E-12</v>
      </c>
      <c r="Z105" s="31">
        <v>2.1216100000000002E-15</v>
      </c>
      <c r="AA105" s="3">
        <v>1.89387E-13</v>
      </c>
      <c r="AB105" s="3">
        <v>1.45384E-12</v>
      </c>
      <c r="AC105" s="3">
        <v>1.4021899999999999E-12</v>
      </c>
      <c r="AD105" s="30">
        <v>1.29515E-12</v>
      </c>
      <c r="AF105" s="31">
        <v>2.8704199999999998E-15</v>
      </c>
      <c r="AG105" s="3">
        <v>1.3960700000000001E-13</v>
      </c>
      <c r="AH105" s="3">
        <v>7.4419799999999996E-13</v>
      </c>
      <c r="AI105" s="3">
        <v>7.5417899999999995E-13</v>
      </c>
      <c r="AJ105" s="30">
        <v>6.51751E-13</v>
      </c>
      <c r="AL105" s="31">
        <v>4.9920600000000001E-16</v>
      </c>
      <c r="AM105" s="3">
        <v>7.1487200000000006E-14</v>
      </c>
      <c r="AN105" s="3">
        <v>3.3660100000000002E-13</v>
      </c>
      <c r="AO105" s="3">
        <v>3.10277E-13</v>
      </c>
      <c r="AP105" s="30">
        <v>3.5406799999999998E-13</v>
      </c>
      <c r="AR105" s="6"/>
      <c r="AS105" s="3">
        <v>1.13408E-13</v>
      </c>
      <c r="AT105" s="3">
        <v>2.5214200000000002E-13</v>
      </c>
      <c r="AU105" s="30">
        <v>3.7428299999999999E-16</v>
      </c>
      <c r="AV105" s="3">
        <v>1.9537600000000001E-13</v>
      </c>
    </row>
    <row r="106" spans="2:48" x14ac:dyDescent="0.25">
      <c r="B106" s="7">
        <v>4.4054599999999998E-14</v>
      </c>
      <c r="C106" s="31">
        <v>3.4334200000000002E-13</v>
      </c>
      <c r="D106" s="5">
        <v>3.5378499999999999E-12</v>
      </c>
      <c r="E106" s="3">
        <v>3.6099600000000001E-12</v>
      </c>
      <c r="F106" s="30">
        <v>3.7753900000000001E-12</v>
      </c>
      <c r="H106" s="3">
        <v>6.7392299999999997E-15</v>
      </c>
      <c r="I106" s="3">
        <v>1.1615200000000001E-13</v>
      </c>
      <c r="J106" s="3">
        <v>1.13545E-12</v>
      </c>
      <c r="K106" s="3">
        <v>1.20394E-12</v>
      </c>
      <c r="L106" s="30">
        <v>1.1390699999999999E-12</v>
      </c>
      <c r="N106" s="31">
        <v>1.74721E-15</v>
      </c>
      <c r="O106" s="3">
        <v>1.5308200000000001E-13</v>
      </c>
      <c r="P106" s="3">
        <v>1.28142E-12</v>
      </c>
      <c r="Q106" s="3">
        <v>1.35478E-12</v>
      </c>
      <c r="R106" s="30">
        <v>1.4013199999999999E-12</v>
      </c>
      <c r="T106" s="31">
        <v>2.1216100000000002E-15</v>
      </c>
      <c r="U106" s="3">
        <v>1.11536E-13</v>
      </c>
      <c r="V106" s="3">
        <v>1.3068700000000001E-12</v>
      </c>
      <c r="W106" s="3">
        <v>1.34729E-12</v>
      </c>
      <c r="X106" s="35">
        <v>1.28392E-12</v>
      </c>
      <c r="Z106" s="31">
        <v>1.9968100000000002E-15</v>
      </c>
      <c r="AA106" s="3">
        <v>1.8776500000000001E-13</v>
      </c>
      <c r="AB106" s="3">
        <v>1.3970799999999999E-12</v>
      </c>
      <c r="AC106" s="3">
        <v>1.4009400000000001E-12</v>
      </c>
      <c r="AD106" s="30">
        <v>1.28853E-12</v>
      </c>
      <c r="AF106" s="31">
        <v>2.7456199999999998E-15</v>
      </c>
      <c r="AG106" s="3">
        <v>1.3698699999999999E-13</v>
      </c>
      <c r="AH106" s="3">
        <v>7.3708700000000003E-13</v>
      </c>
      <c r="AI106" s="3">
        <v>7.3733699999999995E-13</v>
      </c>
      <c r="AJ106" s="30">
        <v>6.4888100000000003E-13</v>
      </c>
      <c r="AL106" s="31">
        <v>3.7440500000000002E-16</v>
      </c>
      <c r="AM106" s="3">
        <v>7.1237700000000005E-14</v>
      </c>
      <c r="AN106" s="3">
        <v>3.3460500000000002E-13</v>
      </c>
      <c r="AO106" s="3">
        <v>2.91937E-13</v>
      </c>
      <c r="AP106" s="30">
        <v>3.4820400000000001E-13</v>
      </c>
      <c r="AR106" s="6"/>
      <c r="AS106" s="3">
        <v>1.12659E-13</v>
      </c>
      <c r="AT106" s="3">
        <v>2.4228599999999998E-13</v>
      </c>
      <c r="AU106" s="30">
        <v>5.3497500000000005E-13</v>
      </c>
      <c r="AV106" s="3">
        <v>1.9175799999999999E-13</v>
      </c>
    </row>
    <row r="107" spans="2:48" x14ac:dyDescent="0.25">
      <c r="B107" s="7">
        <v>4.1808200000000003E-14</v>
      </c>
      <c r="C107" s="31">
        <v>3.3760300000000001E-13</v>
      </c>
      <c r="D107" s="5">
        <v>3.33112E-12</v>
      </c>
      <c r="E107" s="3">
        <v>3.5571900000000001E-12</v>
      </c>
      <c r="F107" s="30">
        <v>3.7141399999999998E-12</v>
      </c>
      <c r="H107" s="3">
        <v>5.86562E-15</v>
      </c>
      <c r="I107" s="3">
        <v>1.1552899999999999E-13</v>
      </c>
      <c r="J107" s="3">
        <v>1.12984E-12</v>
      </c>
      <c r="K107" s="3">
        <v>1.20319E-12</v>
      </c>
      <c r="L107" s="30">
        <v>1.12834E-12</v>
      </c>
      <c r="N107" s="31">
        <v>1.4976100000000001E-15</v>
      </c>
      <c r="O107" s="3">
        <v>1.51709E-13</v>
      </c>
      <c r="P107" s="3">
        <v>1.27393E-12</v>
      </c>
      <c r="Q107" s="3">
        <v>1.3314499999999999E-12</v>
      </c>
      <c r="R107" s="30">
        <v>1.37923E-12</v>
      </c>
      <c r="T107" s="31">
        <v>1.3728099999999999E-15</v>
      </c>
      <c r="U107" s="3">
        <v>1.0979E-13</v>
      </c>
      <c r="V107" s="3">
        <v>1.2813E-12</v>
      </c>
      <c r="W107" s="3">
        <v>1.34293E-12</v>
      </c>
      <c r="X107" s="35">
        <v>1.28142E-12</v>
      </c>
      <c r="Z107" s="31">
        <v>1.8720099999999998E-15</v>
      </c>
      <c r="AA107" s="3">
        <v>1.86268E-13</v>
      </c>
      <c r="AB107" s="3">
        <v>1.39296E-12</v>
      </c>
      <c r="AC107" s="3">
        <v>1.3676300000000001E-12</v>
      </c>
      <c r="AD107" s="30">
        <v>1.2778000000000001E-12</v>
      </c>
      <c r="AF107" s="31">
        <v>2.2464100000000002E-15</v>
      </c>
      <c r="AG107" s="3">
        <v>1.29751E-13</v>
      </c>
      <c r="AH107" s="3">
        <v>7.14381E-13</v>
      </c>
      <c r="AI107" s="3">
        <v>6.9080100000000002E-13</v>
      </c>
      <c r="AJ107" s="30">
        <v>6.4551299999999996E-13</v>
      </c>
      <c r="AL107" s="31">
        <v>3.7440500000000002E-16</v>
      </c>
      <c r="AM107" s="3">
        <v>6.8867299999999995E-14</v>
      </c>
      <c r="AN107" s="3">
        <v>3.3435600000000001E-13</v>
      </c>
      <c r="AO107" s="3">
        <v>2.8869399999999999E-13</v>
      </c>
      <c r="AP107" s="30">
        <v>3.3622700000000001E-13</v>
      </c>
      <c r="AR107" s="6"/>
      <c r="AS107" s="3">
        <v>1.11786E-13</v>
      </c>
      <c r="AT107" s="3">
        <v>2.36297E-13</v>
      </c>
      <c r="AU107" s="30">
        <v>3.7428299999999999E-16</v>
      </c>
      <c r="AV107" s="3">
        <v>1.8801500000000001E-13</v>
      </c>
    </row>
    <row r="108" spans="2:48" x14ac:dyDescent="0.25">
      <c r="B108" s="7">
        <v>4.0435399999999998E-14</v>
      </c>
      <c r="C108" s="31">
        <v>3.3685499999999998E-13</v>
      </c>
      <c r="D108" s="5">
        <v>3.2971799999999999E-12</v>
      </c>
      <c r="E108" s="3">
        <v>3.5514500000000002E-12</v>
      </c>
      <c r="F108" s="30">
        <v>3.6865600000000004E-12</v>
      </c>
      <c r="H108" s="3">
        <v>5.6160200000000001E-15</v>
      </c>
      <c r="I108" s="3">
        <v>1.1477999999999999E-13</v>
      </c>
      <c r="J108" s="3">
        <v>1.10563E-12</v>
      </c>
      <c r="K108" s="3">
        <v>1.1939600000000001E-12</v>
      </c>
      <c r="L108" s="30">
        <v>1.10775E-12</v>
      </c>
      <c r="N108" s="31">
        <v>1.4976100000000001E-15</v>
      </c>
      <c r="O108" s="3">
        <v>1.51086E-13</v>
      </c>
      <c r="P108" s="3">
        <v>1.27044E-12</v>
      </c>
      <c r="Q108" s="3">
        <v>1.3297000000000001E-12</v>
      </c>
      <c r="R108" s="30">
        <v>1.35004E-12</v>
      </c>
      <c r="T108" s="31">
        <v>1.3728099999999999E-15</v>
      </c>
      <c r="U108" s="3">
        <v>1.0966500000000001E-13</v>
      </c>
      <c r="V108" s="3">
        <v>1.2368800000000001E-12</v>
      </c>
      <c r="W108" s="3">
        <v>1.33819E-12</v>
      </c>
      <c r="X108" s="35">
        <v>1.25609E-12</v>
      </c>
      <c r="Z108" s="31">
        <v>1.4976100000000001E-15</v>
      </c>
      <c r="AA108" s="3">
        <v>1.8514600000000001E-13</v>
      </c>
      <c r="AB108" s="3">
        <v>1.36389E-12</v>
      </c>
      <c r="AC108" s="3">
        <v>1.3621400000000001E-12</v>
      </c>
      <c r="AD108" s="30">
        <v>1.26895E-12</v>
      </c>
      <c r="AF108" s="31">
        <v>2.2464100000000002E-15</v>
      </c>
      <c r="AG108" s="3">
        <v>1.2862800000000001E-13</v>
      </c>
      <c r="AH108" s="3">
        <v>6.8556100000000003E-13</v>
      </c>
      <c r="AI108" s="3">
        <v>6.8518600000000005E-13</v>
      </c>
      <c r="AJ108" s="30">
        <v>6.2754699999999997E-13</v>
      </c>
      <c r="AL108" s="31">
        <v>3.7440500000000002E-16</v>
      </c>
      <c r="AM108" s="3">
        <v>6.8867299999999995E-14</v>
      </c>
      <c r="AN108" s="3">
        <v>3.2599700000000001E-13</v>
      </c>
      <c r="AO108" s="3">
        <v>2.8470100000000001E-13</v>
      </c>
      <c r="AP108" s="30">
        <v>3.3398099999999998E-13</v>
      </c>
      <c r="AR108" s="6"/>
      <c r="AS108" s="3">
        <v>1.11287E-13</v>
      </c>
      <c r="AT108" s="3">
        <v>2.3018400000000002E-13</v>
      </c>
      <c r="AU108" s="30">
        <v>2.5689499999999999E-12</v>
      </c>
      <c r="AV108" s="3">
        <v>1.87017E-13</v>
      </c>
    </row>
    <row r="109" spans="2:48" x14ac:dyDescent="0.25">
      <c r="B109" s="7">
        <v>3.9436999999999998E-14</v>
      </c>
      <c r="C109" s="31">
        <v>3.3136500000000002E-13</v>
      </c>
      <c r="D109" s="5">
        <v>3.26986E-12</v>
      </c>
      <c r="E109" s="3">
        <v>3.4830800000000001E-12</v>
      </c>
      <c r="F109" s="30">
        <v>3.6669800000000002E-12</v>
      </c>
      <c r="H109" s="3">
        <v>5.6160200000000001E-15</v>
      </c>
      <c r="I109" s="3">
        <v>1.1403199999999999E-13</v>
      </c>
      <c r="J109" s="3">
        <v>1.0886599999999999E-12</v>
      </c>
      <c r="K109" s="3">
        <v>1.1888499999999999E-12</v>
      </c>
      <c r="L109" s="30">
        <v>1.10339E-12</v>
      </c>
      <c r="N109" s="31">
        <v>1.3728099999999999E-15</v>
      </c>
      <c r="O109" s="3">
        <v>1.4409899999999999E-13</v>
      </c>
      <c r="P109" s="3">
        <v>1.26483E-12</v>
      </c>
      <c r="Q109" s="3">
        <v>1.3055E-12</v>
      </c>
      <c r="R109" s="30">
        <v>1.34642E-12</v>
      </c>
      <c r="T109" s="31">
        <v>1.3728099999999999E-15</v>
      </c>
      <c r="U109" s="3">
        <v>1.08417E-13</v>
      </c>
      <c r="V109" s="3">
        <v>1.22665E-12</v>
      </c>
      <c r="W109" s="3">
        <v>1.31461E-12</v>
      </c>
      <c r="X109" s="35">
        <v>1.2196600000000001E-12</v>
      </c>
      <c r="Z109" s="31">
        <v>1.4976100000000001E-15</v>
      </c>
      <c r="AA109" s="3">
        <v>1.84771E-13</v>
      </c>
      <c r="AB109" s="3">
        <v>1.33469E-12</v>
      </c>
      <c r="AC109" s="3">
        <v>1.3620200000000001E-12</v>
      </c>
      <c r="AD109" s="30">
        <v>1.2448699999999999E-12</v>
      </c>
      <c r="AF109" s="31">
        <v>2.1216100000000002E-15</v>
      </c>
      <c r="AG109" s="3">
        <v>1.2850399999999999E-13</v>
      </c>
      <c r="AH109" s="3">
        <v>6.7894800000000001E-13</v>
      </c>
      <c r="AI109" s="3">
        <v>6.7732699999999999E-13</v>
      </c>
      <c r="AJ109" s="30">
        <v>6.2193299999999997E-13</v>
      </c>
      <c r="AL109" s="31">
        <v>3.7440500000000002E-16</v>
      </c>
      <c r="AM109" s="3">
        <v>6.8368199999999999E-14</v>
      </c>
      <c r="AN109" s="3">
        <v>3.0715799999999998E-13</v>
      </c>
      <c r="AO109" s="3">
        <v>2.7958599999999999E-13</v>
      </c>
      <c r="AP109" s="30">
        <v>3.3373199999999998E-13</v>
      </c>
      <c r="AR109" s="6"/>
      <c r="AS109" s="3">
        <v>1.07918E-13</v>
      </c>
      <c r="AT109" s="3">
        <v>2.20203E-13</v>
      </c>
      <c r="AU109" s="30">
        <v>7.4856599999999998E-16</v>
      </c>
      <c r="AV109" s="3">
        <v>1.8152699999999999E-13</v>
      </c>
    </row>
    <row r="110" spans="2:48" x14ac:dyDescent="0.25">
      <c r="B110" s="7">
        <v>3.7440199999999998E-14</v>
      </c>
      <c r="C110" s="31">
        <v>3.2175900000000001E-13</v>
      </c>
      <c r="D110" s="5">
        <v>3.2541400000000001E-12</v>
      </c>
      <c r="E110" s="3">
        <v>3.3096599999999999E-12</v>
      </c>
      <c r="F110" s="30">
        <v>3.5973599999999999E-12</v>
      </c>
      <c r="H110" s="3">
        <v>5.4912200000000001E-15</v>
      </c>
      <c r="I110" s="3">
        <v>1.1403199999999999E-13</v>
      </c>
      <c r="J110" s="3">
        <v>1.08754E-12</v>
      </c>
      <c r="K110" s="3">
        <v>1.1542899999999999E-12</v>
      </c>
      <c r="L110" s="30">
        <v>1.0942800000000001E-12</v>
      </c>
      <c r="N110" s="31">
        <v>1.2480099999999999E-15</v>
      </c>
      <c r="O110" s="3">
        <v>1.4334999999999999E-13</v>
      </c>
      <c r="P110" s="3">
        <v>1.2347600000000001E-12</v>
      </c>
      <c r="Q110" s="3">
        <v>1.2735600000000001E-12</v>
      </c>
      <c r="R110" s="30">
        <v>1.27331E-12</v>
      </c>
      <c r="T110" s="31">
        <v>1.2480099999999999E-15</v>
      </c>
      <c r="U110" s="3">
        <v>1.08168E-13</v>
      </c>
      <c r="V110" s="3">
        <v>1.2095599999999999E-12</v>
      </c>
      <c r="W110" s="3">
        <v>1.2866600000000001E-12</v>
      </c>
      <c r="X110" s="35">
        <v>1.16864E-12</v>
      </c>
      <c r="Z110" s="31">
        <v>1.3728099999999999E-15</v>
      </c>
      <c r="AA110" s="3">
        <v>1.8339900000000001E-13</v>
      </c>
      <c r="AB110" s="3">
        <v>1.3297000000000001E-12</v>
      </c>
      <c r="AC110" s="3">
        <v>1.31174E-12</v>
      </c>
      <c r="AD110" s="30">
        <v>1.22478E-12</v>
      </c>
      <c r="AF110" s="31">
        <v>2.1216100000000002E-15</v>
      </c>
      <c r="AG110" s="3">
        <v>1.28254E-13</v>
      </c>
      <c r="AH110" s="3">
        <v>6.7420799999999997E-13</v>
      </c>
      <c r="AI110" s="3">
        <v>6.63728E-13</v>
      </c>
      <c r="AJ110" s="30">
        <v>6.0384200000000002E-13</v>
      </c>
      <c r="AL110" s="31">
        <v>2.4960300000000001E-16</v>
      </c>
      <c r="AM110" s="3">
        <v>6.74949E-14</v>
      </c>
      <c r="AN110" s="3">
        <v>2.96553E-13</v>
      </c>
      <c r="AO110" s="3">
        <v>2.7734099999999998E-13</v>
      </c>
      <c r="AP110" s="30">
        <v>3.3111199999999998E-13</v>
      </c>
      <c r="AR110" s="6"/>
      <c r="AS110" s="3">
        <v>1.07669E-13</v>
      </c>
      <c r="AT110" s="3">
        <v>2.1883100000000001E-13</v>
      </c>
      <c r="AU110" s="30">
        <v>4.9676100000000001E-12</v>
      </c>
      <c r="AV110" s="3">
        <v>1.6580700000000001E-13</v>
      </c>
    </row>
    <row r="111" spans="2:48" x14ac:dyDescent="0.25">
      <c r="B111" s="7">
        <v>3.6192200000000003E-14</v>
      </c>
      <c r="C111" s="31">
        <v>3.1976300000000001E-13</v>
      </c>
      <c r="D111" s="5">
        <v>3.1604499999999999E-12</v>
      </c>
      <c r="E111" s="3">
        <v>3.2724799999999998E-12</v>
      </c>
      <c r="F111" s="30">
        <v>3.56929E-12</v>
      </c>
      <c r="H111" s="3">
        <v>5.1168200000000002E-15</v>
      </c>
      <c r="I111" s="3">
        <v>1.13532E-13</v>
      </c>
      <c r="J111" s="3">
        <v>1.0809299999999999E-12</v>
      </c>
      <c r="K111" s="3">
        <v>1.1330800000000001E-12</v>
      </c>
      <c r="L111" s="30">
        <v>1.0936500000000001E-12</v>
      </c>
      <c r="N111" s="31">
        <v>1.2480099999999999E-15</v>
      </c>
      <c r="O111" s="3">
        <v>1.4135400000000001E-13</v>
      </c>
      <c r="P111" s="3">
        <v>1.21093E-12</v>
      </c>
      <c r="Q111" s="3">
        <v>1.2682E-12</v>
      </c>
      <c r="R111" s="30">
        <v>1.24012E-12</v>
      </c>
      <c r="T111" s="31">
        <v>1.2480099999999999E-15</v>
      </c>
      <c r="U111" s="3">
        <v>1.06795E-13</v>
      </c>
      <c r="V111" s="3">
        <v>1.17675E-12</v>
      </c>
      <c r="W111" s="3">
        <v>1.27855E-12</v>
      </c>
      <c r="X111" s="35">
        <v>1.14942E-12</v>
      </c>
      <c r="Z111" s="31">
        <v>1.3728099999999999E-15</v>
      </c>
      <c r="AA111" s="3">
        <v>1.83025E-13</v>
      </c>
      <c r="AB111" s="3">
        <v>1.3017600000000001E-12</v>
      </c>
      <c r="AC111" s="3">
        <v>1.29115E-12</v>
      </c>
      <c r="AD111" s="30">
        <v>1.22191E-12</v>
      </c>
      <c r="AF111" s="31">
        <v>1.9968100000000002E-15</v>
      </c>
      <c r="AG111" s="3">
        <v>1.2700699999999999E-13</v>
      </c>
      <c r="AH111" s="3">
        <v>6.7034000000000005E-13</v>
      </c>
      <c r="AI111" s="3">
        <v>6.4800800000000004E-13</v>
      </c>
      <c r="AJ111" s="30">
        <v>5.9710500000000001E-13</v>
      </c>
      <c r="AL111" s="31">
        <v>2.4960300000000001E-16</v>
      </c>
      <c r="AM111" s="3">
        <v>6.74949E-14</v>
      </c>
      <c r="AN111" s="3">
        <v>2.95555E-13</v>
      </c>
      <c r="AO111" s="3">
        <v>2.74346E-13</v>
      </c>
      <c r="AP111" s="30">
        <v>3.2699500000000001E-13</v>
      </c>
      <c r="AR111" s="6"/>
      <c r="AS111" s="3">
        <v>9.8436399999999999E-14</v>
      </c>
      <c r="AT111" s="3">
        <v>2.1271800000000001E-13</v>
      </c>
      <c r="AU111" s="30">
        <v>2.6574100000000001E-14</v>
      </c>
      <c r="AV111" s="3">
        <v>1.5757299999999999E-13</v>
      </c>
    </row>
    <row r="112" spans="2:48" x14ac:dyDescent="0.25">
      <c r="B112" s="7">
        <v>3.5568200000000002E-14</v>
      </c>
      <c r="C112" s="31">
        <v>3.1814100000000002E-13</v>
      </c>
      <c r="D112" s="5">
        <v>3.1471000000000002E-12</v>
      </c>
      <c r="E112" s="3">
        <v>3.23019E-12</v>
      </c>
      <c r="F112" s="30">
        <v>3.5445899999999999E-12</v>
      </c>
      <c r="H112" s="3">
        <v>4.9920200000000002E-15</v>
      </c>
      <c r="I112" s="3">
        <v>1.13408E-13</v>
      </c>
      <c r="J112" s="3">
        <v>1.0566E-12</v>
      </c>
      <c r="K112" s="3">
        <v>1.0997700000000001E-12</v>
      </c>
      <c r="L112" s="30">
        <v>1.06059E-12</v>
      </c>
      <c r="N112" s="31">
        <v>9.9840599999999992E-16</v>
      </c>
      <c r="O112" s="3">
        <v>1.3811E-13</v>
      </c>
      <c r="P112" s="3">
        <v>1.14356E-12</v>
      </c>
      <c r="Q112" s="3">
        <v>1.2629599999999999E-12</v>
      </c>
      <c r="R112" s="30">
        <v>1.23513E-12</v>
      </c>
      <c r="T112" s="31">
        <v>1.2480099999999999E-15</v>
      </c>
      <c r="U112" s="3">
        <v>1.06546E-13</v>
      </c>
      <c r="V112" s="3">
        <v>1.1550400000000001E-12</v>
      </c>
      <c r="W112" s="3">
        <v>1.27843E-12</v>
      </c>
      <c r="X112" s="35">
        <v>1.14643E-12</v>
      </c>
      <c r="Z112" s="31">
        <v>1.3728099999999999E-15</v>
      </c>
      <c r="AA112" s="3">
        <v>1.8252599999999999E-13</v>
      </c>
      <c r="AB112" s="3">
        <v>1.28017E-12</v>
      </c>
      <c r="AC112" s="3">
        <v>1.2832900000000001E-12</v>
      </c>
      <c r="AD112" s="30">
        <v>1.2076900000000001E-12</v>
      </c>
      <c r="AF112" s="31">
        <v>1.9968100000000002E-15</v>
      </c>
      <c r="AG112" s="3">
        <v>1.2650699999999999E-13</v>
      </c>
      <c r="AH112" s="3">
        <v>6.4838199999999995E-13</v>
      </c>
      <c r="AI112" s="3">
        <v>6.4626099999999999E-13</v>
      </c>
      <c r="AJ112" s="30">
        <v>5.8525299999999997E-13</v>
      </c>
      <c r="AL112" s="31">
        <v>2.4960300000000001E-16</v>
      </c>
      <c r="AM112" s="3">
        <v>6.6372099999999999E-14</v>
      </c>
      <c r="AN112" s="3">
        <v>2.7758999999999998E-13</v>
      </c>
      <c r="AO112" s="3">
        <v>2.7060299999999999E-13</v>
      </c>
      <c r="AP112" s="30">
        <v>3.2574699999999999E-13</v>
      </c>
      <c r="AR112" s="6"/>
      <c r="AS112" s="3">
        <v>9.7438399999999997E-14</v>
      </c>
      <c r="AT112" s="3">
        <v>2.1147000000000001E-13</v>
      </c>
      <c r="AU112" s="30">
        <v>2.4952199999999999E-16</v>
      </c>
      <c r="AV112" s="3">
        <v>1.5557699999999999E-13</v>
      </c>
    </row>
    <row r="113" spans="2:48" x14ac:dyDescent="0.25">
      <c r="B113" s="7">
        <v>3.5568200000000002E-14</v>
      </c>
      <c r="C113" s="31">
        <v>3.1676799999999998E-13</v>
      </c>
      <c r="D113" s="5">
        <v>3.12851E-12</v>
      </c>
      <c r="E113" s="3">
        <v>3.2002499999999998E-12</v>
      </c>
      <c r="F113" s="30">
        <v>3.4571299999999998E-12</v>
      </c>
      <c r="H113" s="3">
        <v>4.9920200000000002E-15</v>
      </c>
      <c r="I113" s="3">
        <v>1.13158E-13</v>
      </c>
      <c r="J113" s="3">
        <v>1.04737E-12</v>
      </c>
      <c r="K113" s="3">
        <v>1.0979E-12</v>
      </c>
      <c r="L113" s="30">
        <v>1.0457500000000001E-12</v>
      </c>
      <c r="N113" s="31">
        <v>8.7360500000000002E-16</v>
      </c>
      <c r="O113" s="3">
        <v>1.3311999999999999E-13</v>
      </c>
      <c r="P113" s="3">
        <v>1.11387E-12</v>
      </c>
      <c r="Q113" s="3">
        <v>1.2365099999999999E-12</v>
      </c>
      <c r="R113" s="30">
        <v>1.2291500000000001E-12</v>
      </c>
      <c r="T113" s="31">
        <v>1.2480099999999999E-15</v>
      </c>
      <c r="U113" s="3">
        <v>1.0454999999999999E-13</v>
      </c>
      <c r="V113" s="3">
        <v>1.1391899999999999E-12</v>
      </c>
      <c r="W113" s="3">
        <v>1.2012E-12</v>
      </c>
      <c r="X113" s="35">
        <v>1.1390699999999999E-12</v>
      </c>
      <c r="Z113" s="31">
        <v>1.12321E-15</v>
      </c>
      <c r="AA113" s="3">
        <v>1.7753500000000001E-13</v>
      </c>
      <c r="AB113" s="3">
        <v>1.2795499999999999E-12</v>
      </c>
      <c r="AC113" s="3">
        <v>1.28092E-12</v>
      </c>
      <c r="AD113" s="30">
        <v>1.19272E-12</v>
      </c>
      <c r="AF113" s="31">
        <v>1.9968100000000002E-15</v>
      </c>
      <c r="AG113" s="3">
        <v>1.2376300000000001E-13</v>
      </c>
      <c r="AH113" s="3">
        <v>6.3952399999999997E-13</v>
      </c>
      <c r="AI113" s="3">
        <v>6.3952399999999997E-13</v>
      </c>
      <c r="AJ113" s="30">
        <v>5.8163499999999997E-13</v>
      </c>
      <c r="AL113" s="31">
        <v>1.2480200000000001E-16</v>
      </c>
      <c r="AM113" s="3">
        <v>6.1381699999999996E-14</v>
      </c>
      <c r="AN113" s="3">
        <v>2.7721600000000002E-13</v>
      </c>
      <c r="AO113" s="3">
        <v>2.6523900000000002E-13</v>
      </c>
      <c r="AP113" s="30">
        <v>3.2350199999999998E-13</v>
      </c>
      <c r="AR113" s="6"/>
      <c r="AS113" s="3">
        <v>9.5691700000000004E-14</v>
      </c>
      <c r="AT113" s="3">
        <v>2.07727E-13</v>
      </c>
      <c r="AU113" s="30">
        <v>1.24761E-16</v>
      </c>
      <c r="AV113" s="3">
        <v>1.5532699999999999E-13</v>
      </c>
    </row>
    <row r="114" spans="2:48" x14ac:dyDescent="0.25">
      <c r="B114" s="7">
        <v>2.9702600000000001E-14</v>
      </c>
      <c r="C114" s="31">
        <v>3.15271E-13</v>
      </c>
      <c r="D114" s="5">
        <v>3.12639E-12</v>
      </c>
      <c r="E114" s="3">
        <v>3.1878900000000001E-12</v>
      </c>
      <c r="F114" s="30">
        <v>3.4488899999999999E-12</v>
      </c>
      <c r="H114" s="3">
        <v>4.8672200000000002E-15</v>
      </c>
      <c r="I114" s="3">
        <v>1.0966500000000001E-13</v>
      </c>
      <c r="J114" s="3">
        <v>1.0456199999999999E-12</v>
      </c>
      <c r="K114" s="3">
        <v>1.0922800000000001E-12</v>
      </c>
      <c r="L114" s="30">
        <v>1.0428800000000001E-12</v>
      </c>
      <c r="N114" s="31">
        <v>8.7360500000000002E-16</v>
      </c>
      <c r="O114" s="3">
        <v>1.3237099999999999E-13</v>
      </c>
      <c r="P114" s="3">
        <v>1.08692E-12</v>
      </c>
      <c r="Q114" s="3">
        <v>1.1501699999999999E-12</v>
      </c>
      <c r="R114" s="30">
        <v>1.21018E-12</v>
      </c>
      <c r="T114" s="31">
        <v>9.9840599999999992E-16</v>
      </c>
      <c r="U114" s="3">
        <v>1.0367599999999999E-13</v>
      </c>
      <c r="V114" s="3">
        <v>1.1385700000000001E-12</v>
      </c>
      <c r="W114" s="3">
        <v>1.19159E-12</v>
      </c>
      <c r="X114" s="35">
        <v>1.1210999999999999E-12</v>
      </c>
      <c r="Z114" s="31">
        <v>8.7360600000000004E-16</v>
      </c>
      <c r="AA114" s="3">
        <v>1.74291E-13</v>
      </c>
      <c r="AB114" s="3">
        <v>1.2714400000000001E-12</v>
      </c>
      <c r="AC114" s="3">
        <v>1.2774299999999999E-12</v>
      </c>
      <c r="AD114" s="30">
        <v>1.1656400000000001E-12</v>
      </c>
      <c r="AF114" s="31">
        <v>1.8720099999999998E-15</v>
      </c>
      <c r="AG114" s="3">
        <v>1.2064399999999999E-13</v>
      </c>
      <c r="AH114" s="3">
        <v>6.3802700000000004E-13</v>
      </c>
      <c r="AI114" s="3">
        <v>6.2729700000000005E-13</v>
      </c>
      <c r="AJ114" s="30">
        <v>5.6317000000000001E-13</v>
      </c>
      <c r="AL114" s="31">
        <v>1.2480200000000001E-16</v>
      </c>
      <c r="AM114" s="3">
        <v>5.8137999999999999E-14</v>
      </c>
      <c r="AN114" s="3">
        <v>2.7684099999999998E-13</v>
      </c>
      <c r="AO114" s="3">
        <v>2.5837699999999999E-13</v>
      </c>
      <c r="AP114" s="30">
        <v>3.2113099999999999E-13</v>
      </c>
      <c r="AR114" s="6"/>
      <c r="AS114" s="3">
        <v>9.1325099999999999E-14</v>
      </c>
      <c r="AT114" s="3">
        <v>2.0323599999999999E-13</v>
      </c>
      <c r="AU114" s="30">
        <v>8.9079400000000005E-14</v>
      </c>
      <c r="AV114" s="3">
        <v>1.5408000000000001E-13</v>
      </c>
    </row>
    <row r="115" spans="2:48" x14ac:dyDescent="0.25">
      <c r="B115" s="7">
        <v>2.8329799999999999E-14</v>
      </c>
      <c r="C115" s="31">
        <v>3.1439800000000001E-13</v>
      </c>
      <c r="D115" s="5">
        <v>3.01011E-12</v>
      </c>
      <c r="E115" s="3">
        <v>3.0657499999999999E-12</v>
      </c>
      <c r="F115" s="30">
        <v>3.3288700000000001E-12</v>
      </c>
      <c r="H115" s="3">
        <v>4.7424200000000003E-15</v>
      </c>
      <c r="I115" s="3">
        <v>1.09166E-13</v>
      </c>
      <c r="J115" s="3">
        <v>1.04313E-12</v>
      </c>
      <c r="K115" s="3">
        <v>1.08629E-12</v>
      </c>
      <c r="L115" s="30">
        <v>1.01219E-12</v>
      </c>
      <c r="N115" s="31">
        <v>8.7360500000000002E-16</v>
      </c>
      <c r="O115" s="3">
        <v>1.3037500000000001E-13</v>
      </c>
      <c r="P115" s="3">
        <v>1.0571E-12</v>
      </c>
      <c r="Q115" s="3">
        <v>1.13183E-12</v>
      </c>
      <c r="R115" s="30">
        <v>1.17637E-12</v>
      </c>
      <c r="T115" s="31">
        <v>8.7360500000000002E-16</v>
      </c>
      <c r="U115" s="3">
        <v>1.02678E-13</v>
      </c>
      <c r="V115" s="3">
        <v>1.12235E-12</v>
      </c>
      <c r="W115" s="3">
        <v>1.1813599999999999E-12</v>
      </c>
      <c r="X115" s="35">
        <v>1.11461E-12</v>
      </c>
      <c r="Z115" s="31">
        <v>8.7360600000000004E-16</v>
      </c>
      <c r="AA115" s="3">
        <v>1.72794E-13</v>
      </c>
      <c r="AB115" s="3">
        <v>1.2659500000000001E-12</v>
      </c>
      <c r="AC115" s="3">
        <v>1.24686E-12</v>
      </c>
      <c r="AD115" s="30">
        <v>1.16365E-12</v>
      </c>
      <c r="AF115" s="31">
        <v>1.8720099999999998E-15</v>
      </c>
      <c r="AG115" s="3">
        <v>1.14905E-13</v>
      </c>
      <c r="AH115" s="3">
        <v>6.2118399999999997E-13</v>
      </c>
      <c r="AI115" s="3">
        <v>6.17816E-13</v>
      </c>
      <c r="AJ115" s="30">
        <v>5.6067500000000003E-13</v>
      </c>
      <c r="AL115" s="31">
        <v>1.2480200000000001E-16</v>
      </c>
      <c r="AM115" s="3">
        <v>5.4020900000000002E-14</v>
      </c>
      <c r="AN115" s="3">
        <v>2.73099E-13</v>
      </c>
      <c r="AO115" s="3">
        <v>2.4989300000000002E-13</v>
      </c>
      <c r="AP115" s="30">
        <v>3.1114999999999999E-13</v>
      </c>
      <c r="AR115" s="6"/>
      <c r="AS115" s="3">
        <v>8.9952700000000004E-14</v>
      </c>
      <c r="AT115" s="3">
        <v>2.02861E-13</v>
      </c>
      <c r="AU115" s="30">
        <v>4.3104899999999999E-13</v>
      </c>
      <c r="AV115" s="3">
        <v>1.42727E-13</v>
      </c>
    </row>
    <row r="116" spans="2:48" x14ac:dyDescent="0.25">
      <c r="B116" s="7">
        <v>2.3337699999999999E-14</v>
      </c>
      <c r="C116" s="31">
        <v>3.1215199999999998E-13</v>
      </c>
      <c r="D116" s="5">
        <v>2.9640699999999999E-12</v>
      </c>
      <c r="E116" s="3">
        <v>3.0410499999999999E-12</v>
      </c>
      <c r="F116" s="30">
        <v>3.2963100000000001E-12</v>
      </c>
      <c r="H116" s="3">
        <v>4.7424200000000003E-15</v>
      </c>
      <c r="I116" s="3">
        <v>1.06546E-13</v>
      </c>
      <c r="J116" s="3">
        <v>1.0360099999999999E-12</v>
      </c>
      <c r="K116" s="3">
        <v>1.08405E-12</v>
      </c>
      <c r="L116" s="30">
        <v>9.9771299999999991E-13</v>
      </c>
      <c r="N116" s="31">
        <v>8.7360500000000002E-16</v>
      </c>
      <c r="O116" s="3">
        <v>1.29003E-13</v>
      </c>
      <c r="P116" s="3">
        <v>1.02516E-12</v>
      </c>
      <c r="Q116" s="3">
        <v>1.12984E-12</v>
      </c>
      <c r="R116" s="30">
        <v>1.1745000000000001E-12</v>
      </c>
      <c r="T116" s="31">
        <v>8.7360500000000002E-16</v>
      </c>
      <c r="U116" s="3">
        <v>1.01805E-13</v>
      </c>
      <c r="V116" s="3">
        <v>1.1176099999999999E-12</v>
      </c>
      <c r="W116" s="3">
        <v>1.18049E-12</v>
      </c>
      <c r="X116" s="35">
        <v>1.1134899999999999E-12</v>
      </c>
      <c r="Z116" s="31">
        <v>8.7360600000000004E-16</v>
      </c>
      <c r="AA116" s="3">
        <v>1.70798E-13</v>
      </c>
      <c r="AB116" s="3">
        <v>1.2625800000000001E-12</v>
      </c>
      <c r="AC116" s="3">
        <v>1.238E-12</v>
      </c>
      <c r="AD116" s="30">
        <v>1.1635200000000001E-12</v>
      </c>
      <c r="AF116" s="31">
        <v>1.74721E-15</v>
      </c>
      <c r="AG116" s="3">
        <v>1.1191E-13</v>
      </c>
      <c r="AH116" s="3">
        <v>6.1007999999999996E-13</v>
      </c>
      <c r="AI116" s="3">
        <v>6.1382300000000002E-13</v>
      </c>
      <c r="AJ116" s="30">
        <v>5.5768099999999997E-13</v>
      </c>
      <c r="AL116" s="31">
        <v>1.2480200000000001E-16</v>
      </c>
      <c r="AM116" s="3">
        <v>5.4020900000000002E-14</v>
      </c>
      <c r="AN116" s="3">
        <v>2.6711000000000001E-13</v>
      </c>
      <c r="AO116" s="3">
        <v>2.4802199999999998E-13</v>
      </c>
      <c r="AP116" s="30">
        <v>3.0316600000000002E-13</v>
      </c>
      <c r="AR116" s="6"/>
      <c r="AS116" s="3">
        <v>8.8705099999999994E-14</v>
      </c>
      <c r="AT116" s="3">
        <v>2.02113E-13</v>
      </c>
      <c r="AU116" s="30">
        <v>6.2380499999999999E-16</v>
      </c>
      <c r="AV116" s="3">
        <v>1.3948299999999999E-13</v>
      </c>
    </row>
    <row r="117" spans="2:48" x14ac:dyDescent="0.25">
      <c r="B117" s="7">
        <v>2.1590500000000001E-14</v>
      </c>
      <c r="C117" s="31">
        <v>3.1015599999999998E-13</v>
      </c>
      <c r="D117" s="5">
        <v>2.9617000000000002E-12</v>
      </c>
      <c r="E117" s="3">
        <v>3.00799E-12</v>
      </c>
      <c r="F117" s="30">
        <v>3.2666200000000001E-12</v>
      </c>
      <c r="H117" s="3">
        <v>4.6176200000000003E-15</v>
      </c>
      <c r="I117" s="3">
        <v>1.06047E-13</v>
      </c>
      <c r="J117" s="3">
        <v>1.0231600000000001E-12</v>
      </c>
      <c r="K117" s="3">
        <v>1.05074E-12</v>
      </c>
      <c r="L117" s="30">
        <v>9.9546800000000006E-13</v>
      </c>
      <c r="N117" s="31">
        <v>7.4880400000000003E-16</v>
      </c>
      <c r="O117" s="3">
        <v>1.27631E-13</v>
      </c>
      <c r="P117" s="3">
        <v>1.02204E-12</v>
      </c>
      <c r="Q117" s="3">
        <v>1.0886599999999999E-12</v>
      </c>
      <c r="R117" s="30">
        <v>1.1446799999999999E-12</v>
      </c>
      <c r="T117" s="31">
        <v>7.4880400000000003E-16</v>
      </c>
      <c r="U117" s="3">
        <v>1.01181E-13</v>
      </c>
      <c r="V117" s="3">
        <v>1.1133699999999999E-12</v>
      </c>
      <c r="W117" s="3">
        <v>1.1525400000000001E-12</v>
      </c>
      <c r="X117" s="35">
        <v>1.1121199999999999E-12</v>
      </c>
      <c r="Z117" s="31">
        <v>7.4880500000000005E-16</v>
      </c>
      <c r="AA117" s="3">
        <v>1.6917600000000001E-13</v>
      </c>
      <c r="AB117" s="3">
        <v>1.2221599999999999E-12</v>
      </c>
      <c r="AC117" s="3">
        <v>1.2368800000000001E-12</v>
      </c>
      <c r="AD117" s="30">
        <v>1.1460600000000001E-12</v>
      </c>
      <c r="AF117" s="31">
        <v>1.74721E-15</v>
      </c>
      <c r="AG117" s="3">
        <v>1.09041E-13</v>
      </c>
      <c r="AH117" s="3">
        <v>5.9835299999999998E-13</v>
      </c>
      <c r="AI117" s="3">
        <v>6.1132800000000004E-13</v>
      </c>
      <c r="AJ117" s="30">
        <v>5.5381299999999995E-13</v>
      </c>
      <c r="AL117" s="31">
        <v>1.2480200000000001E-16</v>
      </c>
      <c r="AM117" s="3">
        <v>5.3521900000000001E-14</v>
      </c>
      <c r="AN117" s="3">
        <v>2.5900099999999998E-13</v>
      </c>
      <c r="AO117" s="3">
        <v>2.4714899999999999E-13</v>
      </c>
      <c r="AP117" s="30">
        <v>2.8519999999999999E-13</v>
      </c>
      <c r="AR117" s="6"/>
      <c r="AS117" s="3">
        <v>8.5087000000000004E-14</v>
      </c>
      <c r="AT117" s="3">
        <v>1.9562500000000001E-13</v>
      </c>
      <c r="AU117" s="30">
        <v>2.4777500000000002E-13</v>
      </c>
      <c r="AV117" s="3">
        <v>1.36613E-13</v>
      </c>
    </row>
    <row r="118" spans="2:48" x14ac:dyDescent="0.25">
      <c r="B118" s="7">
        <v>2.1590500000000001E-14</v>
      </c>
      <c r="C118" s="31">
        <v>3.0928299999999999E-13</v>
      </c>
      <c r="D118" s="5">
        <v>2.9550900000000001E-12</v>
      </c>
      <c r="E118" s="3">
        <v>2.9905200000000001E-12</v>
      </c>
      <c r="F118" s="30">
        <v>3.2587600000000001E-12</v>
      </c>
      <c r="H118" s="3">
        <v>4.4928200000000003E-15</v>
      </c>
      <c r="I118" s="3">
        <v>1.05173E-13</v>
      </c>
      <c r="J118" s="3">
        <v>1.0192999999999999E-12</v>
      </c>
      <c r="K118" s="3">
        <v>1.0457500000000001E-12</v>
      </c>
      <c r="L118" s="30">
        <v>9.9122599999999992E-13</v>
      </c>
      <c r="N118" s="31">
        <v>7.4880400000000003E-16</v>
      </c>
      <c r="O118" s="3">
        <v>1.2650799999999999E-13</v>
      </c>
      <c r="P118" s="3">
        <v>1.01206E-12</v>
      </c>
      <c r="Q118" s="3">
        <v>1.0788099999999999E-12</v>
      </c>
      <c r="R118" s="30">
        <v>1.09752E-12</v>
      </c>
      <c r="T118" s="31">
        <v>6.2400399999999995E-16</v>
      </c>
      <c r="U118" s="3">
        <v>9.8935499999999995E-14</v>
      </c>
      <c r="V118" s="3">
        <v>1.0982699999999999E-12</v>
      </c>
      <c r="W118" s="3">
        <v>1.15142E-12</v>
      </c>
      <c r="X118" s="35">
        <v>1.1057599999999999E-12</v>
      </c>
      <c r="Z118" s="31">
        <v>7.4880500000000005E-16</v>
      </c>
      <c r="AA118" s="3">
        <v>1.6855199999999999E-13</v>
      </c>
      <c r="AB118" s="3">
        <v>1.2095599999999999E-12</v>
      </c>
      <c r="AC118" s="3">
        <v>1.22116E-12</v>
      </c>
      <c r="AD118" s="30">
        <v>1.14181E-12</v>
      </c>
      <c r="AF118" s="31">
        <v>1.6224100000000001E-15</v>
      </c>
      <c r="AG118" s="3">
        <v>1.08043E-13</v>
      </c>
      <c r="AH118" s="3">
        <v>5.9423600000000001E-13</v>
      </c>
      <c r="AI118" s="3">
        <v>5.83881E-13</v>
      </c>
      <c r="AJ118" s="30">
        <v>5.3921600000000001E-13</v>
      </c>
      <c r="AL118" s="31">
        <v>1.2480200000000001E-16</v>
      </c>
      <c r="AM118" s="3">
        <v>5.2149499999999999E-14</v>
      </c>
      <c r="AN118" s="3">
        <v>2.4665000000000001E-13</v>
      </c>
      <c r="AO118" s="3">
        <v>2.4689900000000002E-13</v>
      </c>
      <c r="AP118" s="30">
        <v>2.8307900000000002E-13</v>
      </c>
      <c r="AR118" s="6"/>
      <c r="AS118" s="3">
        <v>8.1219400000000001E-14</v>
      </c>
      <c r="AT118" s="3">
        <v>1.9250599999999999E-13</v>
      </c>
      <c r="AU118" s="30">
        <v>1.24761E-16</v>
      </c>
      <c r="AV118" s="3">
        <v>1.3549000000000001E-13</v>
      </c>
    </row>
    <row r="119" spans="2:48" x14ac:dyDescent="0.25">
      <c r="B119" s="7">
        <v>2.09665E-14</v>
      </c>
      <c r="C119" s="31">
        <v>3.07661E-13</v>
      </c>
      <c r="D119" s="5">
        <v>2.8636400000000001E-12</v>
      </c>
      <c r="E119" s="3">
        <v>2.9861599999999999E-12</v>
      </c>
      <c r="F119" s="30">
        <v>3.2383E-12</v>
      </c>
      <c r="H119" s="3">
        <v>4.2432200000000003E-15</v>
      </c>
      <c r="I119" s="3">
        <v>1.0454999999999999E-13</v>
      </c>
      <c r="J119" s="3">
        <v>1.0138100000000001E-12</v>
      </c>
      <c r="K119" s="3">
        <v>1.0445E-12</v>
      </c>
      <c r="L119" s="30">
        <v>9.8161900000000004E-13</v>
      </c>
      <c r="N119" s="31">
        <v>7.4880400000000003E-16</v>
      </c>
      <c r="O119" s="3">
        <v>1.2476100000000001E-13</v>
      </c>
      <c r="P119" s="3">
        <v>9.9097699999999997E-13</v>
      </c>
      <c r="Q119" s="3">
        <v>1.07307E-12</v>
      </c>
      <c r="R119" s="30">
        <v>1.0900400000000001E-12</v>
      </c>
      <c r="T119" s="31">
        <v>6.2400399999999995E-16</v>
      </c>
      <c r="U119" s="3">
        <v>9.6190700000000005E-14</v>
      </c>
      <c r="V119" s="3">
        <v>1.09378E-12</v>
      </c>
      <c r="W119" s="3">
        <v>1.1408100000000001E-12</v>
      </c>
      <c r="X119" s="35">
        <v>1.1041300000000001E-12</v>
      </c>
      <c r="Z119" s="31">
        <v>6.2400399999999995E-16</v>
      </c>
      <c r="AA119" s="3">
        <v>1.67679E-13</v>
      </c>
      <c r="AB119" s="3">
        <v>1.19159E-12</v>
      </c>
      <c r="AC119" s="3">
        <v>1.2209100000000001E-12</v>
      </c>
      <c r="AD119" s="30">
        <v>1.13682E-12</v>
      </c>
      <c r="AF119" s="31">
        <v>1.4976100000000001E-15</v>
      </c>
      <c r="AG119" s="3">
        <v>1.07918E-13</v>
      </c>
      <c r="AH119" s="3">
        <v>5.9161599999999997E-13</v>
      </c>
      <c r="AI119" s="3">
        <v>5.81885E-13</v>
      </c>
      <c r="AJ119" s="30">
        <v>5.3909200000000002E-13</v>
      </c>
      <c r="AL119" s="6"/>
      <c r="AM119" s="3">
        <v>4.9279999999999999E-14</v>
      </c>
      <c r="AN119" s="3">
        <v>2.4353099999999999E-13</v>
      </c>
      <c r="AO119" s="3">
        <v>2.3080499999999999E-13</v>
      </c>
      <c r="AP119" s="30">
        <v>2.7758999999999998E-13</v>
      </c>
      <c r="AR119" s="6"/>
      <c r="AS119" s="3">
        <v>8.0470899999999999E-14</v>
      </c>
      <c r="AT119" s="3">
        <v>1.9001100000000001E-13</v>
      </c>
      <c r="AU119" s="30">
        <v>1.24761E-16</v>
      </c>
      <c r="AV119" s="3">
        <v>1.28753E-13</v>
      </c>
    </row>
    <row r="120" spans="2:48" x14ac:dyDescent="0.25">
      <c r="B120" s="7">
        <v>1.7721699999999999E-14</v>
      </c>
      <c r="C120" s="31">
        <v>3.0529E-13</v>
      </c>
      <c r="D120" s="5">
        <v>2.8376900000000002E-12</v>
      </c>
      <c r="E120" s="3">
        <v>2.9472300000000002E-12</v>
      </c>
      <c r="F120" s="30">
        <v>3.2212100000000002E-12</v>
      </c>
      <c r="H120" s="3">
        <v>4.2432200000000003E-15</v>
      </c>
      <c r="I120" s="3">
        <v>1.01805E-13</v>
      </c>
      <c r="J120" s="3">
        <v>1.0105600000000001E-12</v>
      </c>
      <c r="K120" s="3">
        <v>1.0361400000000001E-12</v>
      </c>
      <c r="L120" s="30">
        <v>9.7712799999999995E-13</v>
      </c>
      <c r="N120" s="31">
        <v>6.2400399999999995E-16</v>
      </c>
      <c r="O120" s="3">
        <v>1.24387E-13</v>
      </c>
      <c r="P120" s="3">
        <v>9.8261799999999996E-13</v>
      </c>
      <c r="Q120" s="3">
        <v>1.0548500000000001E-12</v>
      </c>
      <c r="R120" s="30">
        <v>1.08629E-12</v>
      </c>
      <c r="T120" s="31">
        <v>6.2400399999999995E-16</v>
      </c>
      <c r="U120" s="3">
        <v>9.5067900000000005E-14</v>
      </c>
      <c r="V120" s="3">
        <v>1.0711999999999999E-12</v>
      </c>
      <c r="W120" s="3">
        <v>1.12235E-12</v>
      </c>
      <c r="X120" s="35">
        <v>1.10077E-12</v>
      </c>
      <c r="Z120" s="31">
        <v>6.2400399999999995E-16</v>
      </c>
      <c r="AA120" s="3">
        <v>1.6705499999999999E-13</v>
      </c>
      <c r="AB120" s="3">
        <v>1.1903500000000001E-12</v>
      </c>
      <c r="AC120" s="3">
        <v>1.18174E-12</v>
      </c>
      <c r="AD120" s="30">
        <v>1.1361999999999999E-12</v>
      </c>
      <c r="AF120" s="31">
        <v>1.3728099999999999E-15</v>
      </c>
      <c r="AG120" s="3">
        <v>1.0717E-13</v>
      </c>
      <c r="AH120" s="3">
        <v>5.8088599999999997E-13</v>
      </c>
      <c r="AI120" s="3">
        <v>5.7764299999999997E-13</v>
      </c>
      <c r="AJ120" s="30">
        <v>5.3347700000000005E-13</v>
      </c>
      <c r="AL120" s="6"/>
      <c r="AM120" s="3">
        <v>4.7658199999999998E-14</v>
      </c>
      <c r="AN120" s="3">
        <v>2.4228300000000002E-13</v>
      </c>
      <c r="AO120" s="3">
        <v>2.28934E-13</v>
      </c>
      <c r="AP120" s="30">
        <v>2.7247500000000001E-13</v>
      </c>
      <c r="AR120" s="6"/>
      <c r="AS120" s="3">
        <v>7.8599399999999995E-14</v>
      </c>
      <c r="AT120" s="3">
        <v>1.8951200000000001E-13</v>
      </c>
      <c r="AU120" s="30">
        <v>3.3273800000000001E-13</v>
      </c>
      <c r="AV120" s="3">
        <v>1.2525999999999999E-13</v>
      </c>
    </row>
    <row r="121" spans="2:48" x14ac:dyDescent="0.25">
      <c r="B121" s="7">
        <v>1.7596899999999998E-14</v>
      </c>
      <c r="C121" s="31">
        <v>3.0454199999999998E-13</v>
      </c>
      <c r="D121" s="5">
        <v>2.8164800000000001E-12</v>
      </c>
      <c r="E121" s="3">
        <v>2.8900899999999999E-12</v>
      </c>
      <c r="F121" s="30">
        <v>3.0702400000000001E-12</v>
      </c>
      <c r="H121" s="3">
        <v>4.1184200000000004E-15</v>
      </c>
      <c r="I121" s="3">
        <v>1.01181E-13</v>
      </c>
      <c r="J121" s="3">
        <v>1.00932E-12</v>
      </c>
      <c r="K121" s="3">
        <v>1.03439E-12</v>
      </c>
      <c r="L121" s="30">
        <v>9.7276099999999996E-13</v>
      </c>
      <c r="N121" s="31">
        <v>3.7440200000000001E-16</v>
      </c>
      <c r="O121" s="3">
        <v>1.2401200000000001E-13</v>
      </c>
      <c r="P121" s="3">
        <v>9.6165800000000002E-13</v>
      </c>
      <c r="Q121" s="3">
        <v>1.04537E-12</v>
      </c>
      <c r="R121" s="30">
        <v>1.08629E-12</v>
      </c>
      <c r="T121" s="31">
        <v>6.2400399999999995E-16</v>
      </c>
      <c r="U121" s="3">
        <v>9.2822199999999998E-14</v>
      </c>
      <c r="V121" s="3">
        <v>1.06421E-12</v>
      </c>
      <c r="W121" s="3">
        <v>1.1218499999999999E-12</v>
      </c>
      <c r="X121" s="35">
        <v>1.0995199999999999E-12</v>
      </c>
      <c r="Z121" s="31">
        <v>6.2400399999999995E-16</v>
      </c>
      <c r="AA121" s="3">
        <v>1.62564E-13</v>
      </c>
      <c r="AB121" s="3">
        <v>1.18985E-12</v>
      </c>
      <c r="AC121" s="3">
        <v>1.1745000000000001E-12</v>
      </c>
      <c r="AD121" s="30">
        <v>1.13258E-12</v>
      </c>
      <c r="AF121" s="31">
        <v>1.12321E-15</v>
      </c>
      <c r="AG121" s="3">
        <v>1.0717E-13</v>
      </c>
      <c r="AH121" s="3">
        <v>5.7714399999999999E-13</v>
      </c>
      <c r="AI121" s="3">
        <v>5.6167299999999998E-13</v>
      </c>
      <c r="AJ121" s="30">
        <v>5.2511800000000005E-13</v>
      </c>
      <c r="AL121" s="6"/>
      <c r="AM121" s="3">
        <v>4.72839E-14</v>
      </c>
      <c r="AN121" s="3">
        <v>2.3804099999999999E-13</v>
      </c>
      <c r="AO121" s="3">
        <v>2.2606400000000001E-13</v>
      </c>
      <c r="AP121" s="30">
        <v>2.7185100000000002E-13</v>
      </c>
      <c r="AR121" s="6"/>
      <c r="AS121" s="3">
        <v>7.7102299999999997E-14</v>
      </c>
      <c r="AT121" s="3">
        <v>1.89138E-13</v>
      </c>
      <c r="AU121" s="30">
        <v>1.24761E-16</v>
      </c>
      <c r="AV121" s="3">
        <v>1.23139E-13</v>
      </c>
    </row>
    <row r="122" spans="2:48" x14ac:dyDescent="0.25">
      <c r="B122" s="7">
        <v>1.6099299999999999E-14</v>
      </c>
      <c r="C122" s="31">
        <v>3.01547E-13</v>
      </c>
      <c r="D122" s="5">
        <v>2.7889100000000001E-12</v>
      </c>
      <c r="E122" s="3">
        <v>2.8386899999999999E-12</v>
      </c>
      <c r="F122" s="30">
        <v>3.0413E-12</v>
      </c>
      <c r="H122" s="3">
        <v>3.4944099999999999E-15</v>
      </c>
      <c r="I122" s="3">
        <v>9.9184999999999996E-14</v>
      </c>
      <c r="J122" s="3">
        <v>9.9983400000000008E-13</v>
      </c>
      <c r="K122" s="3">
        <v>1.0303999999999999E-12</v>
      </c>
      <c r="L122" s="30">
        <v>9.7076500000000005E-13</v>
      </c>
      <c r="N122" s="31">
        <v>3.7440200000000001E-16</v>
      </c>
      <c r="O122" s="3">
        <v>1.2326400000000001E-13</v>
      </c>
      <c r="P122" s="3">
        <v>9.6128400000000001E-13</v>
      </c>
      <c r="Q122" s="3">
        <v>1.02516E-12</v>
      </c>
      <c r="R122" s="30">
        <v>1.05161E-12</v>
      </c>
      <c r="T122" s="31">
        <v>6.2400399999999995E-16</v>
      </c>
      <c r="U122" s="3">
        <v>9.2572699999999997E-14</v>
      </c>
      <c r="V122" s="3">
        <v>1.06334E-12</v>
      </c>
      <c r="W122" s="3">
        <v>1.11798E-12</v>
      </c>
      <c r="X122" s="35">
        <v>1.07382E-12</v>
      </c>
      <c r="Z122" s="31">
        <v>4.9920299999999996E-16</v>
      </c>
      <c r="AA122" s="3">
        <v>1.5782299999999999E-13</v>
      </c>
      <c r="AB122" s="3">
        <v>1.14344E-12</v>
      </c>
      <c r="AC122" s="3">
        <v>1.15941E-12</v>
      </c>
      <c r="AD122" s="30">
        <v>1.13133E-12</v>
      </c>
      <c r="AF122" s="31">
        <v>1.12321E-15</v>
      </c>
      <c r="AG122" s="3">
        <v>1.05173E-13</v>
      </c>
      <c r="AH122" s="3">
        <v>5.7152900000000002E-13</v>
      </c>
      <c r="AI122" s="3">
        <v>5.4258499999999995E-13</v>
      </c>
      <c r="AJ122" s="30">
        <v>5.2437000000000002E-13</v>
      </c>
      <c r="AL122" s="6"/>
      <c r="AM122" s="3">
        <v>4.4289600000000002E-14</v>
      </c>
      <c r="AN122" s="3">
        <v>2.3492200000000002E-13</v>
      </c>
      <c r="AO122" s="3">
        <v>2.2556500000000001E-13</v>
      </c>
      <c r="AP122" s="30">
        <v>2.6661099999999998E-13</v>
      </c>
      <c r="AR122" s="6"/>
      <c r="AS122" s="3">
        <v>7.5605199999999999E-14</v>
      </c>
      <c r="AT122" s="3">
        <v>1.79406E-13</v>
      </c>
      <c r="AU122" s="30">
        <v>1.6797799999999999E-12</v>
      </c>
      <c r="AV122" s="3">
        <v>1.2288999999999999E-13</v>
      </c>
    </row>
    <row r="123" spans="2:48" x14ac:dyDescent="0.25">
      <c r="B123" s="7">
        <v>1.58497E-14</v>
      </c>
      <c r="C123" s="31">
        <v>2.9268900000000002E-13</v>
      </c>
      <c r="D123" s="5">
        <v>2.6749999999999998E-12</v>
      </c>
      <c r="E123" s="3">
        <v>2.83145E-12</v>
      </c>
      <c r="F123" s="30">
        <v>3.0154699999999999E-12</v>
      </c>
      <c r="H123" s="3">
        <v>2.99521E-15</v>
      </c>
      <c r="I123" s="3">
        <v>9.8810699999999998E-14</v>
      </c>
      <c r="J123" s="3">
        <v>9.6851900000000003E-13</v>
      </c>
      <c r="K123" s="3">
        <v>1.02167E-12</v>
      </c>
      <c r="L123" s="30">
        <v>9.7039100000000004E-13</v>
      </c>
      <c r="N123" s="31">
        <v>3.7440200000000001E-16</v>
      </c>
      <c r="O123" s="3">
        <v>1.2288999999999999E-13</v>
      </c>
      <c r="P123" s="3">
        <v>9.5354799999999997E-13</v>
      </c>
      <c r="Q123" s="3">
        <v>1.0033299999999999E-12</v>
      </c>
      <c r="R123" s="30">
        <v>1.0305300000000001E-12</v>
      </c>
      <c r="T123" s="31">
        <v>4.9920299999999996E-16</v>
      </c>
      <c r="U123" s="3">
        <v>9.1200300000000002E-14</v>
      </c>
      <c r="V123" s="3">
        <v>1.0456199999999999E-12</v>
      </c>
      <c r="W123" s="3">
        <v>1.11748E-12</v>
      </c>
      <c r="X123" s="35">
        <v>1.0724499999999999E-12</v>
      </c>
      <c r="Z123" s="31">
        <v>4.9920299999999996E-16</v>
      </c>
      <c r="AA123" s="3">
        <v>1.5308200000000001E-13</v>
      </c>
      <c r="AB123" s="3">
        <v>1.14156E-12</v>
      </c>
      <c r="AC123" s="3">
        <v>1.1577799999999999E-12</v>
      </c>
      <c r="AD123" s="30">
        <v>1.09328E-12</v>
      </c>
      <c r="AF123" s="31">
        <v>9.9840599999999992E-16</v>
      </c>
      <c r="AG123" s="3">
        <v>1.0429999999999999E-13</v>
      </c>
      <c r="AH123" s="3">
        <v>5.6903400000000004E-13</v>
      </c>
      <c r="AI123" s="3">
        <v>5.4221100000000004E-13</v>
      </c>
      <c r="AJ123" s="30">
        <v>5.2299699999999998E-13</v>
      </c>
      <c r="AL123" s="6"/>
      <c r="AM123" s="3">
        <v>4.3041999999999999E-14</v>
      </c>
      <c r="AN123" s="3">
        <v>2.3429799999999998E-13</v>
      </c>
      <c r="AO123" s="3">
        <v>2.2344399999999999E-13</v>
      </c>
      <c r="AP123" s="30">
        <v>2.64116E-13</v>
      </c>
      <c r="AR123" s="6"/>
      <c r="AS123" s="3">
        <v>7.4232800000000004E-14</v>
      </c>
      <c r="AT123" s="3">
        <v>1.68677E-13</v>
      </c>
      <c r="AU123" s="30">
        <v>1.26009E-14</v>
      </c>
      <c r="AV123" s="3">
        <v>1.1914700000000001E-13</v>
      </c>
    </row>
    <row r="124" spans="2:48" x14ac:dyDescent="0.25">
      <c r="B124" s="7">
        <v>1.5600099999999999E-14</v>
      </c>
      <c r="C124" s="31">
        <v>2.9256499999999998E-13</v>
      </c>
      <c r="D124" s="5">
        <v>2.6731299999999999E-12</v>
      </c>
      <c r="E124" s="3">
        <v>2.8047500000000001E-12</v>
      </c>
      <c r="F124" s="30">
        <v>2.9918900000000001E-12</v>
      </c>
      <c r="H124" s="3">
        <v>2.87041E-15</v>
      </c>
      <c r="I124" s="3">
        <v>9.7313500000000005E-14</v>
      </c>
      <c r="J124" s="3">
        <v>9.5367300000000003E-13</v>
      </c>
      <c r="K124" s="3">
        <v>9.9334700000000009E-13</v>
      </c>
      <c r="L124" s="30">
        <v>9.6876899999999995E-13</v>
      </c>
      <c r="N124" s="31">
        <v>3.7440200000000001E-16</v>
      </c>
      <c r="O124" s="3">
        <v>1.2201600000000001E-13</v>
      </c>
      <c r="P124" s="3">
        <v>9.4518899999999996E-13</v>
      </c>
      <c r="Q124" s="3">
        <v>1.0015800000000001E-12</v>
      </c>
      <c r="R124" s="30">
        <v>1.02466E-12</v>
      </c>
      <c r="T124" s="31">
        <v>4.9920299999999996E-16</v>
      </c>
      <c r="U124" s="3">
        <v>9.1200300000000002E-14</v>
      </c>
      <c r="V124" s="3">
        <v>1.0417500000000001E-12</v>
      </c>
      <c r="W124" s="3">
        <v>1.1065100000000001E-12</v>
      </c>
      <c r="X124" s="35">
        <v>1.06546E-12</v>
      </c>
      <c r="Z124" s="31">
        <v>3.7440299999999998E-16</v>
      </c>
      <c r="AA124" s="3">
        <v>1.5096099999999999E-13</v>
      </c>
      <c r="AB124" s="3">
        <v>1.11175E-12</v>
      </c>
      <c r="AC124" s="3">
        <v>1.1530399999999999E-12</v>
      </c>
      <c r="AD124" s="30">
        <v>1.0745699999999999E-12</v>
      </c>
      <c r="AF124" s="31">
        <v>9.9840599999999992E-16</v>
      </c>
      <c r="AG124" s="3">
        <v>1.0405100000000001E-13</v>
      </c>
      <c r="AH124" s="3">
        <v>5.6716299999999999E-13</v>
      </c>
      <c r="AI124" s="3">
        <v>5.4046399999999999E-13</v>
      </c>
      <c r="AJ124" s="30">
        <v>5.1937899999999998E-13</v>
      </c>
      <c r="AL124" s="6"/>
      <c r="AM124" s="3">
        <v>4.1045899999999999E-14</v>
      </c>
      <c r="AN124" s="3">
        <v>2.3404899999999998E-13</v>
      </c>
      <c r="AO124" s="3">
        <v>2.1321399999999999E-13</v>
      </c>
      <c r="AP124" s="30">
        <v>2.6399099999999999E-13</v>
      </c>
      <c r="AR124" s="6"/>
      <c r="AS124" s="3">
        <v>7.2860399999999996E-14</v>
      </c>
      <c r="AT124" s="3">
        <v>1.6605700000000001E-13</v>
      </c>
      <c r="AU124" s="30">
        <v>9.6664799999999998E-13</v>
      </c>
      <c r="AV124" s="3">
        <v>1.02678E-13</v>
      </c>
    </row>
    <row r="125" spans="2:48" x14ac:dyDescent="0.25">
      <c r="B125" s="7">
        <v>1.5475300000000001E-14</v>
      </c>
      <c r="C125" s="31">
        <v>2.8807300000000002E-13</v>
      </c>
      <c r="D125" s="5">
        <v>2.6634000000000001E-12</v>
      </c>
      <c r="E125" s="3">
        <v>2.7980199999999998E-12</v>
      </c>
      <c r="F125" s="30">
        <v>2.9638200000000002E-12</v>
      </c>
      <c r="H125" s="3">
        <v>2.6208100000000001E-15</v>
      </c>
      <c r="I125" s="3">
        <v>9.7313500000000005E-14</v>
      </c>
      <c r="J125" s="3">
        <v>9.4918099999999997E-13</v>
      </c>
      <c r="K125" s="3">
        <v>9.8636000000000005E-13</v>
      </c>
      <c r="L125" s="30">
        <v>9.5753999999999998E-13</v>
      </c>
      <c r="N125" s="31">
        <v>3.7440200000000001E-16</v>
      </c>
      <c r="O125" s="3">
        <v>1.2151700000000001E-13</v>
      </c>
      <c r="P125" s="3">
        <v>9.2971900000000003E-13</v>
      </c>
      <c r="Q125" s="3">
        <v>9.7899999999999997E-13</v>
      </c>
      <c r="R125" s="30">
        <v>1.0214199999999999E-12</v>
      </c>
      <c r="T125" s="31">
        <v>4.9920299999999996E-16</v>
      </c>
      <c r="U125" s="3">
        <v>9.1075500000000004E-14</v>
      </c>
      <c r="V125" s="3">
        <v>1.0415E-12</v>
      </c>
      <c r="W125" s="3">
        <v>1.1052600000000001E-12</v>
      </c>
      <c r="X125" s="35">
        <v>1.05573E-12</v>
      </c>
      <c r="Z125" s="31">
        <v>3.7440299999999998E-16</v>
      </c>
      <c r="AA125" s="3">
        <v>1.5071099999999999E-13</v>
      </c>
      <c r="AB125" s="3">
        <v>1.0879200000000001E-12</v>
      </c>
      <c r="AC125" s="3">
        <v>1.1496700000000001E-12</v>
      </c>
      <c r="AD125" s="30">
        <v>1.07182E-12</v>
      </c>
      <c r="AF125" s="31">
        <v>8.7360500000000002E-16</v>
      </c>
      <c r="AG125" s="3">
        <v>1.0367599999999999E-13</v>
      </c>
      <c r="AH125" s="3">
        <v>5.6628900000000003E-13</v>
      </c>
      <c r="AI125" s="3">
        <v>5.3821799999999996E-13</v>
      </c>
      <c r="AJ125" s="30">
        <v>5.1838100000000003E-13</v>
      </c>
      <c r="AL125" s="6"/>
      <c r="AM125" s="3">
        <v>4.0297300000000003E-14</v>
      </c>
      <c r="AN125" s="3">
        <v>2.2930800000000002E-13</v>
      </c>
      <c r="AO125" s="3">
        <v>2.0734999999999999E-13</v>
      </c>
      <c r="AP125" s="30">
        <v>2.6012399999999999E-13</v>
      </c>
      <c r="AR125" s="6"/>
      <c r="AS125" s="3">
        <v>7.1862400000000006E-14</v>
      </c>
      <c r="AT125" s="3">
        <v>1.6431000000000001E-13</v>
      </c>
      <c r="AU125" s="30">
        <v>7.1126299999999996E-13</v>
      </c>
      <c r="AV125" s="3">
        <v>1.02429E-13</v>
      </c>
    </row>
    <row r="126" spans="2:48" x14ac:dyDescent="0.25">
      <c r="B126" s="7">
        <v>1.32289E-14</v>
      </c>
      <c r="C126" s="31">
        <v>2.8520400000000002E-13</v>
      </c>
      <c r="D126" s="5">
        <v>2.6366999999999999E-12</v>
      </c>
      <c r="E126" s="3">
        <v>2.7537299999999998E-12</v>
      </c>
      <c r="F126" s="30">
        <v>2.84455E-12</v>
      </c>
      <c r="H126" s="3">
        <v>2.6208100000000001E-15</v>
      </c>
      <c r="I126" s="3">
        <v>9.3196400000000001E-14</v>
      </c>
      <c r="J126" s="3">
        <v>9.4730999999999993E-13</v>
      </c>
      <c r="K126" s="3">
        <v>9.7276099999999996E-13</v>
      </c>
      <c r="L126" s="30">
        <v>9.5367300000000003E-13</v>
      </c>
      <c r="N126" s="31">
        <v>2.4960100000000002E-16</v>
      </c>
      <c r="O126" s="3">
        <v>1.18273E-13</v>
      </c>
      <c r="P126" s="3">
        <v>9.2560199999999996E-13</v>
      </c>
      <c r="Q126" s="3">
        <v>9.7825099999999997E-13</v>
      </c>
      <c r="R126" s="30">
        <v>1.01281E-12</v>
      </c>
      <c r="T126" s="31">
        <v>4.9920299999999996E-16</v>
      </c>
      <c r="U126" s="3">
        <v>9.0202200000000005E-14</v>
      </c>
      <c r="V126" s="3">
        <v>1.03552E-12</v>
      </c>
      <c r="W126" s="3">
        <v>1.10476E-12</v>
      </c>
      <c r="X126" s="35">
        <v>1.04188E-12</v>
      </c>
      <c r="Z126" s="31">
        <v>3.7440299999999998E-16</v>
      </c>
      <c r="AA126" s="3">
        <v>1.4996299999999999E-13</v>
      </c>
      <c r="AB126" s="3">
        <v>1.0809299999999999E-12</v>
      </c>
      <c r="AC126" s="3">
        <v>1.14905E-12</v>
      </c>
      <c r="AD126" s="30">
        <v>1.07008E-12</v>
      </c>
      <c r="AF126" s="31">
        <v>7.4880400000000003E-16</v>
      </c>
      <c r="AG126" s="3">
        <v>1.01431E-13</v>
      </c>
      <c r="AH126" s="3">
        <v>5.5830500000000001E-13</v>
      </c>
      <c r="AI126" s="3">
        <v>5.3659599999999997E-13</v>
      </c>
      <c r="AJ126" s="30">
        <v>5.0528100000000002E-13</v>
      </c>
      <c r="AL126" s="6"/>
      <c r="AM126" s="3">
        <v>3.9673499999999998E-14</v>
      </c>
      <c r="AN126" s="3">
        <v>2.2756100000000001E-13</v>
      </c>
      <c r="AO126" s="3">
        <v>2.0685099999999999E-13</v>
      </c>
      <c r="AP126" s="30">
        <v>2.5525800000000002E-13</v>
      </c>
      <c r="AR126" s="6"/>
      <c r="AS126" s="3">
        <v>7.1737599999999996E-14</v>
      </c>
      <c r="AT126" s="3">
        <v>1.6193999999999999E-13</v>
      </c>
      <c r="AU126" s="30">
        <v>1.24761E-16</v>
      </c>
      <c r="AV126" s="3">
        <v>9.9309800000000006E-14</v>
      </c>
    </row>
    <row r="127" spans="2:48" x14ac:dyDescent="0.25">
      <c r="B127" s="4">
        <v>1.22305E-14</v>
      </c>
      <c r="C127" s="31">
        <v>2.8333200000000001E-13</v>
      </c>
      <c r="D127" s="5">
        <v>2.63558E-12</v>
      </c>
      <c r="E127" s="3">
        <v>2.7464899999999999E-12</v>
      </c>
      <c r="F127" s="30">
        <v>2.84106E-12</v>
      </c>
      <c r="H127" s="3">
        <v>2.4960100000000001E-15</v>
      </c>
      <c r="I127" s="3">
        <v>9.2822199999999998E-14</v>
      </c>
      <c r="J127" s="3">
        <v>9.4356700000000007E-13</v>
      </c>
      <c r="K127" s="3">
        <v>9.7001600000000005E-13</v>
      </c>
      <c r="L127" s="30">
        <v>9.4843299999999994E-13</v>
      </c>
      <c r="N127" s="31">
        <v>2.4960100000000002E-16</v>
      </c>
      <c r="O127" s="3">
        <v>1.1765000000000001E-13</v>
      </c>
      <c r="P127" s="3">
        <v>9.2335599999999993E-13</v>
      </c>
      <c r="Q127" s="3">
        <v>9.6827000000000007E-13</v>
      </c>
      <c r="R127" s="30">
        <v>1.01206E-12</v>
      </c>
      <c r="T127" s="31">
        <v>3.7440200000000001E-16</v>
      </c>
      <c r="U127" s="3">
        <v>8.9578400000000006E-14</v>
      </c>
      <c r="V127" s="3">
        <v>1.0241599999999999E-12</v>
      </c>
      <c r="W127" s="3">
        <v>1.08367E-12</v>
      </c>
      <c r="X127" s="35">
        <v>1.0345199999999999E-12</v>
      </c>
      <c r="Z127" s="31">
        <v>3.7440299999999998E-16</v>
      </c>
      <c r="AA127" s="3">
        <v>1.4696900000000001E-13</v>
      </c>
      <c r="AB127" s="3">
        <v>1.0766899999999999E-12</v>
      </c>
      <c r="AC127" s="3">
        <v>1.10813E-12</v>
      </c>
      <c r="AD127" s="30">
        <v>1.0546100000000001E-12</v>
      </c>
      <c r="AF127" s="31">
        <v>7.4880400000000003E-16</v>
      </c>
      <c r="AG127" s="3">
        <v>9.9060100000000004E-14</v>
      </c>
      <c r="AH127" s="3">
        <v>5.5506100000000003E-13</v>
      </c>
      <c r="AI127" s="3">
        <v>5.3609699999999999E-13</v>
      </c>
      <c r="AJ127" s="30">
        <v>5.0128900000000001E-13</v>
      </c>
      <c r="AL127" s="6"/>
      <c r="AM127" s="3">
        <v>3.7926899999999999E-14</v>
      </c>
      <c r="AN127" s="3">
        <v>2.2681300000000001E-13</v>
      </c>
      <c r="AO127" s="3">
        <v>1.9712E-13</v>
      </c>
      <c r="AP127" s="30">
        <v>2.4228300000000002E-13</v>
      </c>
      <c r="AR127" s="6"/>
      <c r="AS127" s="3">
        <v>6.8992800000000005E-14</v>
      </c>
      <c r="AT127" s="3">
        <v>1.6119099999999999E-13</v>
      </c>
      <c r="AU127" s="30">
        <v>1.24761E-16</v>
      </c>
      <c r="AV127" s="3">
        <v>9.5566900000000006E-14</v>
      </c>
    </row>
    <row r="128" spans="2:48" x14ac:dyDescent="0.25">
      <c r="B128" s="4">
        <v>1.18561E-14</v>
      </c>
      <c r="C128" s="31">
        <v>2.8183499999999998E-13</v>
      </c>
      <c r="D128" s="5">
        <v>2.6300900000000002E-12</v>
      </c>
      <c r="E128" s="3">
        <v>2.7377599999999998E-12</v>
      </c>
      <c r="F128" s="30">
        <v>2.8370700000000001E-12</v>
      </c>
      <c r="H128" s="3">
        <v>2.3712100000000001E-15</v>
      </c>
      <c r="I128" s="3">
        <v>9.18241E-14</v>
      </c>
      <c r="J128" s="3">
        <v>9.4207000000000004E-13</v>
      </c>
      <c r="K128" s="3">
        <v>9.67022E-13</v>
      </c>
      <c r="L128" s="30">
        <v>9.43068E-13</v>
      </c>
      <c r="N128" s="31">
        <v>1.2480099999999999E-16</v>
      </c>
      <c r="O128" s="3">
        <v>1.1652699999999999E-13</v>
      </c>
      <c r="P128" s="3">
        <v>9.0489200000000004E-13</v>
      </c>
      <c r="Q128" s="3">
        <v>9.3321199999999996E-13</v>
      </c>
      <c r="R128" s="30">
        <v>9.9671599999999993E-13</v>
      </c>
      <c r="T128" s="31">
        <v>3.7440200000000001E-16</v>
      </c>
      <c r="U128" s="3">
        <v>8.6584100000000002E-14</v>
      </c>
      <c r="V128" s="3">
        <v>1.0231600000000001E-12</v>
      </c>
      <c r="W128" s="3">
        <v>1.0749400000000001E-12</v>
      </c>
      <c r="X128" s="35">
        <v>1.0311499999999999E-12</v>
      </c>
      <c r="Z128" s="31">
        <v>2.4960199999999999E-16</v>
      </c>
      <c r="AA128" s="3">
        <v>1.45222E-13</v>
      </c>
      <c r="AB128" s="3">
        <v>1.0685800000000001E-12</v>
      </c>
      <c r="AC128" s="3">
        <v>1.10676E-12</v>
      </c>
      <c r="AD128" s="30">
        <v>1.0477399999999999E-12</v>
      </c>
      <c r="AF128" s="31">
        <v>7.4880400000000003E-16</v>
      </c>
      <c r="AG128" s="3">
        <v>9.6939199999999994E-14</v>
      </c>
      <c r="AH128" s="3">
        <v>5.5418800000000004E-13</v>
      </c>
      <c r="AI128" s="3">
        <v>5.2823699999999996E-13</v>
      </c>
      <c r="AJ128" s="30">
        <v>5.0004100000000003E-13</v>
      </c>
      <c r="AL128" s="6"/>
      <c r="AM128" s="3">
        <v>3.6679300000000001E-14</v>
      </c>
      <c r="AN128" s="3">
        <v>2.2581500000000001E-13</v>
      </c>
      <c r="AO128" s="3">
        <v>1.94251E-13</v>
      </c>
      <c r="AP128" s="30">
        <v>2.3866500000000002E-13</v>
      </c>
      <c r="AR128" s="6"/>
      <c r="AS128" s="3">
        <v>6.8119500000000006E-14</v>
      </c>
      <c r="AT128" s="3">
        <v>1.57199E-13</v>
      </c>
      <c r="AU128" s="30">
        <v>3.9961E-13</v>
      </c>
      <c r="AV128" s="3">
        <v>9.3945100000000005E-14</v>
      </c>
    </row>
    <row r="129" spans="2:48" x14ac:dyDescent="0.25">
      <c r="B129" s="4">
        <v>1.17313E-14</v>
      </c>
      <c r="C129" s="31">
        <v>2.80089E-13</v>
      </c>
      <c r="D129" s="5">
        <v>2.6269700000000001E-12</v>
      </c>
      <c r="E129" s="3">
        <v>2.6904699999999999E-12</v>
      </c>
      <c r="F129" s="30">
        <v>2.7566000000000002E-12</v>
      </c>
      <c r="H129" s="3">
        <v>2.3712100000000001E-15</v>
      </c>
      <c r="I129" s="3">
        <v>9.1075500000000004E-14</v>
      </c>
      <c r="J129" s="3">
        <v>9.4119699999999995E-13</v>
      </c>
      <c r="K129" s="3">
        <v>9.6228099999999999E-13</v>
      </c>
      <c r="L129" s="30">
        <v>9.3171499999999993E-13</v>
      </c>
      <c r="N129" s="31">
        <v>1.2480099999999999E-16</v>
      </c>
      <c r="O129" s="3">
        <v>1.1477999999999999E-13</v>
      </c>
      <c r="P129" s="3">
        <v>8.9291500000000004E-13</v>
      </c>
      <c r="Q129" s="3">
        <v>9.3271300000000009E-13</v>
      </c>
      <c r="R129" s="30">
        <v>9.6739699999999998E-13</v>
      </c>
      <c r="T129" s="31">
        <v>3.7440200000000001E-16</v>
      </c>
      <c r="U129" s="3">
        <v>8.5336500000000004E-14</v>
      </c>
      <c r="V129" s="3">
        <v>1.0207899999999999E-12</v>
      </c>
      <c r="W129" s="3">
        <v>1.0749400000000001E-12</v>
      </c>
      <c r="X129" s="35">
        <v>1.0291499999999999E-12</v>
      </c>
      <c r="Z129" s="31">
        <v>2.4960199999999999E-16</v>
      </c>
      <c r="AA129" s="3">
        <v>1.4285099999999999E-13</v>
      </c>
      <c r="AB129" s="3">
        <v>1.0586E-12</v>
      </c>
      <c r="AC129" s="3">
        <v>1.09665E-12</v>
      </c>
      <c r="AD129" s="30">
        <v>1.042E-12</v>
      </c>
      <c r="AF129" s="31">
        <v>6.2400399999999995E-16</v>
      </c>
      <c r="AG129" s="3">
        <v>9.4693499999999999E-14</v>
      </c>
      <c r="AH129" s="3">
        <v>5.4819899999999995E-13</v>
      </c>
      <c r="AI129" s="3">
        <v>5.2362100000000002E-13</v>
      </c>
      <c r="AJ129" s="30">
        <v>4.9243100000000002E-13</v>
      </c>
      <c r="AL129" s="6"/>
      <c r="AM129" s="3">
        <v>3.64298E-14</v>
      </c>
      <c r="AN129" s="3">
        <v>2.18454E-13</v>
      </c>
      <c r="AO129" s="3">
        <v>1.9312799999999999E-13</v>
      </c>
      <c r="AP129" s="30">
        <v>2.3829100000000001E-13</v>
      </c>
      <c r="AR129" s="6"/>
      <c r="AS129" s="3">
        <v>6.5873799999999998E-14</v>
      </c>
      <c r="AT129" s="3">
        <v>1.5308200000000001E-13</v>
      </c>
      <c r="AU129" s="30">
        <v>8.1219400000000001E-14</v>
      </c>
      <c r="AV129" s="3">
        <v>8.8954599999999994E-14</v>
      </c>
    </row>
    <row r="130" spans="2:48" x14ac:dyDescent="0.25">
      <c r="B130" s="4">
        <v>1.11073E-14</v>
      </c>
      <c r="C130" s="31">
        <v>2.7434999999999999E-13</v>
      </c>
      <c r="D130" s="5">
        <v>2.62023E-12</v>
      </c>
      <c r="E130" s="3">
        <v>2.6843600000000001E-12</v>
      </c>
      <c r="F130" s="30">
        <v>2.74923E-12</v>
      </c>
      <c r="H130" s="3">
        <v>2.2464100000000002E-15</v>
      </c>
      <c r="I130" s="3">
        <v>9.0701200000000006E-14</v>
      </c>
      <c r="J130" s="3">
        <v>9.2173400000000004E-13</v>
      </c>
      <c r="K130" s="3">
        <v>9.5691700000000001E-13</v>
      </c>
      <c r="L130" s="30">
        <v>9.2909500000000009E-13</v>
      </c>
      <c r="N130" s="31">
        <v>1.2480099999999999E-16</v>
      </c>
      <c r="O130" s="3">
        <v>1.14406E-13</v>
      </c>
      <c r="P130" s="3">
        <v>8.7869200000000001E-13</v>
      </c>
      <c r="Q130" s="3">
        <v>9.2809699999999994E-13</v>
      </c>
      <c r="R130" s="30">
        <v>9.6390400000000005E-13</v>
      </c>
      <c r="T130" s="31">
        <v>3.7440200000000001E-16</v>
      </c>
      <c r="U130" s="3">
        <v>8.5087000000000004E-14</v>
      </c>
      <c r="V130" s="3">
        <v>1.01618E-12</v>
      </c>
      <c r="W130" s="3">
        <v>1.06059E-12</v>
      </c>
      <c r="X130" s="35">
        <v>1.0160500000000001E-12</v>
      </c>
      <c r="Z130" s="31">
        <v>2.4960199999999999E-16</v>
      </c>
      <c r="AA130" s="3">
        <v>1.4160400000000001E-13</v>
      </c>
      <c r="AB130" s="3">
        <v>1.04899E-12</v>
      </c>
      <c r="AC130" s="3">
        <v>1.0822999999999999E-12</v>
      </c>
      <c r="AD130" s="30">
        <v>1.02204E-12</v>
      </c>
      <c r="AF130" s="31">
        <v>6.2400399999999995E-16</v>
      </c>
      <c r="AG130" s="3">
        <v>9.3570600000000005E-14</v>
      </c>
      <c r="AH130" s="3">
        <v>5.4695099999999998E-13</v>
      </c>
      <c r="AI130" s="3">
        <v>5.1888000000000001E-13</v>
      </c>
      <c r="AJ130" s="30">
        <v>4.8794000000000004E-13</v>
      </c>
      <c r="AL130" s="6"/>
      <c r="AM130" s="3">
        <v>3.5930799999999999E-14</v>
      </c>
      <c r="AN130" s="3">
        <v>2.08099E-13</v>
      </c>
      <c r="AO130" s="3">
        <v>1.89635E-13</v>
      </c>
      <c r="AP130" s="30">
        <v>2.38166E-13</v>
      </c>
      <c r="AR130" s="6"/>
      <c r="AS130" s="3">
        <v>6.5873799999999998E-14</v>
      </c>
      <c r="AT130" s="3">
        <v>1.46844E-13</v>
      </c>
      <c r="AU130" s="30">
        <v>1.4149100000000001E-12</v>
      </c>
      <c r="AV130" s="3">
        <v>8.4338500000000002E-14</v>
      </c>
    </row>
    <row r="131" spans="2:48" x14ac:dyDescent="0.25">
      <c r="B131" s="4">
        <v>9.98406E-15</v>
      </c>
      <c r="C131" s="31">
        <v>2.72728E-13</v>
      </c>
      <c r="D131" s="5">
        <v>2.6122499999999999E-12</v>
      </c>
      <c r="E131" s="3">
        <v>2.6706299999999999E-12</v>
      </c>
      <c r="F131" s="30">
        <v>2.6865999999999999E-12</v>
      </c>
      <c r="H131" s="3">
        <v>2.2464100000000002E-15</v>
      </c>
      <c r="I131" s="3">
        <v>9.0077399999999994E-14</v>
      </c>
      <c r="J131" s="3">
        <v>9.1861499999999992E-13</v>
      </c>
      <c r="K131" s="3">
        <v>9.5329800000000004E-13</v>
      </c>
      <c r="L131" s="30">
        <v>9.1562100000000006E-13</v>
      </c>
      <c r="N131" s="6"/>
      <c r="O131" s="3">
        <v>1.1241E-13</v>
      </c>
      <c r="P131" s="3">
        <v>8.7507400000000001E-13</v>
      </c>
      <c r="Q131" s="3">
        <v>9.1412400000000003E-13</v>
      </c>
      <c r="R131" s="30">
        <v>9.614080000000001E-13</v>
      </c>
      <c r="T131" s="31">
        <v>3.7440200000000001E-16</v>
      </c>
      <c r="U131" s="3">
        <v>8.4962200000000006E-14</v>
      </c>
      <c r="V131" s="3">
        <v>1.0095699999999999E-12</v>
      </c>
      <c r="W131" s="3">
        <v>1.0445E-12</v>
      </c>
      <c r="X131" s="35">
        <v>1.0158E-12</v>
      </c>
      <c r="Z131" s="31">
        <v>1.2480099999999999E-16</v>
      </c>
      <c r="AA131" s="3">
        <v>1.39608E-13</v>
      </c>
      <c r="AB131" s="3">
        <v>1.03726E-12</v>
      </c>
      <c r="AC131" s="3">
        <v>1.07644E-12</v>
      </c>
      <c r="AD131" s="30">
        <v>1.0171799999999999E-12</v>
      </c>
      <c r="AF131" s="31">
        <v>4.9920299999999996E-16</v>
      </c>
      <c r="AG131" s="3">
        <v>9.2322999999999994E-14</v>
      </c>
      <c r="AH131" s="3">
        <v>5.3534899999999996E-13</v>
      </c>
      <c r="AI131" s="3">
        <v>5.1588600000000005E-13</v>
      </c>
      <c r="AJ131" s="30">
        <v>4.8681700000000002E-13</v>
      </c>
      <c r="AL131" s="6"/>
      <c r="AM131" s="3">
        <v>3.5681199999999998E-14</v>
      </c>
      <c r="AN131" s="3">
        <v>2.0148699999999999E-13</v>
      </c>
      <c r="AO131" s="3">
        <v>1.80028E-13</v>
      </c>
      <c r="AP131" s="30">
        <v>2.21074E-13</v>
      </c>
      <c r="AR131" s="6"/>
      <c r="AS131" s="3">
        <v>6.4251900000000003E-14</v>
      </c>
      <c r="AT131" s="3">
        <v>1.4110500000000001E-13</v>
      </c>
      <c r="AU131" s="30">
        <v>1.24761E-16</v>
      </c>
      <c r="AV131" s="3">
        <v>8.2217499999999998E-14</v>
      </c>
    </row>
    <row r="132" spans="2:48" x14ac:dyDescent="0.25">
      <c r="B132" s="4">
        <v>8.9856500000000004E-15</v>
      </c>
      <c r="C132" s="31">
        <v>2.7148000000000002E-13</v>
      </c>
      <c r="D132" s="5">
        <v>2.57382E-12</v>
      </c>
      <c r="E132" s="3">
        <v>2.6657699999999999E-12</v>
      </c>
      <c r="F132" s="30">
        <v>2.67488E-12</v>
      </c>
      <c r="H132" s="3">
        <v>2.2464100000000002E-15</v>
      </c>
      <c r="I132" s="3">
        <v>8.9328799999999998E-14</v>
      </c>
      <c r="J132" s="3">
        <v>8.6796200000000001E-13</v>
      </c>
      <c r="K132" s="3">
        <v>9.5329800000000004E-13</v>
      </c>
      <c r="L132" s="30">
        <v>8.8480499999999998E-13</v>
      </c>
      <c r="N132" s="6"/>
      <c r="O132" s="3">
        <v>1.12285E-13</v>
      </c>
      <c r="P132" s="3">
        <v>8.69584E-13</v>
      </c>
      <c r="Q132" s="3">
        <v>9.0938300000000002E-13</v>
      </c>
      <c r="R132" s="30">
        <v>9.5891299999999991E-13</v>
      </c>
      <c r="T132" s="31">
        <v>2.4960100000000002E-16</v>
      </c>
      <c r="U132" s="3">
        <v>8.4837500000000003E-14</v>
      </c>
      <c r="V132" s="3">
        <v>1.00932E-12</v>
      </c>
      <c r="W132" s="3">
        <v>1.03901E-12</v>
      </c>
      <c r="X132" s="35">
        <v>1.01543E-12</v>
      </c>
      <c r="Z132" s="31">
        <v>1.2480099999999999E-16</v>
      </c>
      <c r="AA132" s="3">
        <v>1.3923299999999999E-13</v>
      </c>
      <c r="AB132" s="3">
        <v>1.0096899999999999E-12</v>
      </c>
      <c r="AC132" s="3">
        <v>1.0713199999999999E-12</v>
      </c>
      <c r="AD132" s="30">
        <v>1.01007E-12</v>
      </c>
      <c r="AF132" s="31">
        <v>4.9920299999999996E-16</v>
      </c>
      <c r="AG132" s="3">
        <v>9.2073499999999994E-14</v>
      </c>
      <c r="AH132" s="3">
        <v>5.3223000000000005E-13</v>
      </c>
      <c r="AI132" s="3">
        <v>5.1251700000000001E-13</v>
      </c>
      <c r="AJ132" s="30">
        <v>4.8519500000000003E-13</v>
      </c>
      <c r="AL132" s="6"/>
      <c r="AM132" s="3">
        <v>3.5182200000000003E-14</v>
      </c>
      <c r="AN132" s="3">
        <v>1.9674600000000001E-13</v>
      </c>
      <c r="AO132" s="3">
        <v>1.69299E-13</v>
      </c>
      <c r="AP132" s="30">
        <v>2.20325E-13</v>
      </c>
      <c r="AR132" s="6"/>
      <c r="AS132" s="3">
        <v>6.2754800000000004E-14</v>
      </c>
      <c r="AT132" s="3">
        <v>1.35865E-13</v>
      </c>
      <c r="AU132" s="30">
        <v>1.2713100000000001E-13</v>
      </c>
      <c r="AV132" s="3">
        <v>8.0096600000000001E-14</v>
      </c>
    </row>
    <row r="133" spans="2:48" x14ac:dyDescent="0.25">
      <c r="B133" s="4">
        <v>8.6112499999999997E-15</v>
      </c>
      <c r="C133" s="31">
        <v>2.7135500000000001E-13</v>
      </c>
      <c r="D133" s="5">
        <v>2.5372700000000002E-12</v>
      </c>
      <c r="E133" s="3">
        <v>2.6649000000000001E-12</v>
      </c>
      <c r="F133" s="30">
        <v>2.6722600000000002E-12</v>
      </c>
      <c r="H133" s="3">
        <v>2.1216100000000002E-15</v>
      </c>
      <c r="I133" s="3">
        <v>8.8954599999999994E-14</v>
      </c>
      <c r="J133" s="3">
        <v>8.5299099999999995E-13</v>
      </c>
      <c r="K133" s="3">
        <v>9.4718500000000007E-13</v>
      </c>
      <c r="L133" s="30">
        <v>8.7781800000000005E-13</v>
      </c>
      <c r="N133" s="6"/>
      <c r="O133" s="3">
        <v>1.1016399999999999E-13</v>
      </c>
      <c r="P133" s="3">
        <v>8.6496799999999996E-13</v>
      </c>
      <c r="Q133" s="3">
        <v>9.0913399999999997E-13</v>
      </c>
      <c r="R133" s="30">
        <v>9.4968100000000002E-13</v>
      </c>
      <c r="T133" s="31">
        <v>2.4960100000000002E-16</v>
      </c>
      <c r="U133" s="3">
        <v>8.3839400000000006E-14</v>
      </c>
      <c r="V133" s="3">
        <v>1.0054499999999999E-12</v>
      </c>
      <c r="W133" s="3">
        <v>1.0386399999999999E-12</v>
      </c>
      <c r="X133" s="35">
        <v>1.0130599999999999E-12</v>
      </c>
      <c r="Z133" s="31">
        <v>1.2480099999999999E-16</v>
      </c>
      <c r="AA133" s="3">
        <v>1.3898399999999999E-13</v>
      </c>
      <c r="AB133" s="3">
        <v>1.00445E-12</v>
      </c>
      <c r="AC133" s="3">
        <v>1.0703299999999999E-12</v>
      </c>
      <c r="AD133" s="30">
        <v>9.8598700000000001E-13</v>
      </c>
      <c r="AF133" s="31">
        <v>3.7440200000000001E-16</v>
      </c>
      <c r="AG133" s="3">
        <v>8.9204E-14</v>
      </c>
      <c r="AH133" s="3">
        <v>5.1850599999999999E-13</v>
      </c>
      <c r="AI133" s="3">
        <v>5.0964800000000001E-13</v>
      </c>
      <c r="AJ133" s="30">
        <v>4.7920600000000005E-13</v>
      </c>
      <c r="AL133" s="6"/>
      <c r="AM133" s="3">
        <v>3.4932700000000002E-14</v>
      </c>
      <c r="AN133" s="3">
        <v>1.91007E-13</v>
      </c>
      <c r="AO133" s="3">
        <v>1.62686E-13</v>
      </c>
      <c r="AP133" s="30">
        <v>2.19327E-13</v>
      </c>
      <c r="AR133" s="6"/>
      <c r="AS133" s="3">
        <v>5.9635799999999998E-14</v>
      </c>
      <c r="AT133" s="3">
        <v>1.3299500000000001E-13</v>
      </c>
      <c r="AU133" s="30">
        <v>4.9904399999999999E-16</v>
      </c>
      <c r="AV133" s="3">
        <v>7.9722300000000003E-14</v>
      </c>
    </row>
    <row r="134" spans="2:48" x14ac:dyDescent="0.25">
      <c r="B134" s="4">
        <v>8.2368500000000005E-15</v>
      </c>
      <c r="C134" s="31">
        <v>2.7123E-13</v>
      </c>
      <c r="D134" s="5">
        <v>2.5344000000000002E-12</v>
      </c>
      <c r="E134" s="3">
        <v>2.6590299999999998E-12</v>
      </c>
      <c r="F134" s="30">
        <v>2.6506700000000001E-12</v>
      </c>
      <c r="H134" s="3">
        <v>1.74721E-15</v>
      </c>
      <c r="I134" s="3">
        <v>8.8455499999999999E-14</v>
      </c>
      <c r="J134" s="3">
        <v>8.4737599999999998E-13</v>
      </c>
      <c r="K134" s="3">
        <v>9.0651299999999996E-13</v>
      </c>
      <c r="L134" s="30">
        <v>8.4126300000000001E-13</v>
      </c>
      <c r="N134" s="6"/>
      <c r="O134" s="3">
        <v>1.0979E-13</v>
      </c>
      <c r="P134" s="3">
        <v>8.6309700000000001E-13</v>
      </c>
      <c r="Q134" s="3">
        <v>9.07013E-13</v>
      </c>
      <c r="R134" s="30">
        <v>9.05515E-13</v>
      </c>
      <c r="T134" s="31">
        <v>2.4960100000000002E-16</v>
      </c>
      <c r="U134" s="3">
        <v>8.3465099999999995E-14</v>
      </c>
      <c r="V134" s="3">
        <v>1.0052E-12</v>
      </c>
      <c r="W134" s="3">
        <v>1.0373900000000001E-12</v>
      </c>
      <c r="X134" s="35">
        <v>1.01219E-12</v>
      </c>
      <c r="Z134" s="31">
        <v>1.2480099999999999E-16</v>
      </c>
      <c r="AA134" s="3">
        <v>1.3698800000000001E-13</v>
      </c>
      <c r="AB134" s="3">
        <v>9.8299299999999995E-13</v>
      </c>
      <c r="AC134" s="3">
        <v>1.04662E-12</v>
      </c>
      <c r="AD134" s="30">
        <v>9.6602500000000002E-13</v>
      </c>
      <c r="AF134" s="31">
        <v>3.7440200000000001E-16</v>
      </c>
      <c r="AG134" s="3">
        <v>8.7956400000000003E-14</v>
      </c>
      <c r="AH134" s="3">
        <v>5.1364000000000002E-13</v>
      </c>
      <c r="AI134" s="3">
        <v>4.9891899999999999E-13</v>
      </c>
      <c r="AJ134" s="30">
        <v>4.7621199999999999E-13</v>
      </c>
      <c r="AL134" s="6"/>
      <c r="AM134" s="3">
        <v>3.3061299999999999E-14</v>
      </c>
      <c r="AN134" s="3">
        <v>1.91007E-13</v>
      </c>
      <c r="AO134" s="3">
        <v>1.60067E-13</v>
      </c>
      <c r="AP134" s="30">
        <v>2.1820400000000001E-13</v>
      </c>
      <c r="AR134" s="6"/>
      <c r="AS134" s="3">
        <v>5.7639600000000004E-14</v>
      </c>
      <c r="AT134" s="3">
        <v>1.3087399999999999E-13</v>
      </c>
      <c r="AU134" s="30">
        <v>6.2380499999999999E-16</v>
      </c>
      <c r="AV134" s="3">
        <v>7.8849000000000003E-14</v>
      </c>
    </row>
    <row r="135" spans="2:48" x14ac:dyDescent="0.25">
      <c r="B135" s="4">
        <v>8.11204E-15</v>
      </c>
      <c r="C135" s="31">
        <v>2.6973300000000002E-13</v>
      </c>
      <c r="D135" s="5">
        <v>2.5234200000000002E-12</v>
      </c>
      <c r="E135" s="3">
        <v>2.6257199999999998E-12</v>
      </c>
      <c r="F135" s="30">
        <v>2.6503000000000001E-12</v>
      </c>
      <c r="H135" s="3">
        <v>1.74721E-15</v>
      </c>
      <c r="I135" s="3">
        <v>8.7457400000000002E-14</v>
      </c>
      <c r="J135" s="3">
        <v>8.4026499999999995E-13</v>
      </c>
      <c r="K135" s="3">
        <v>8.9341300000000004E-13</v>
      </c>
      <c r="L135" s="30">
        <v>8.3003500000000001E-13</v>
      </c>
      <c r="N135" s="6"/>
      <c r="O135" s="3">
        <v>1.08792E-13</v>
      </c>
      <c r="P135" s="3">
        <v>8.6097600000000005E-13</v>
      </c>
      <c r="Q135" s="3">
        <v>9.0339500000000001E-13</v>
      </c>
      <c r="R135" s="30">
        <v>9.0389399999999999E-13</v>
      </c>
      <c r="T135" s="6"/>
      <c r="U135" s="3">
        <v>8.3215599999999995E-14</v>
      </c>
      <c r="V135" s="3">
        <v>1.0052E-12</v>
      </c>
      <c r="W135" s="3">
        <v>1.0283999999999999E-12</v>
      </c>
      <c r="X135" s="35">
        <v>1.01006E-12</v>
      </c>
      <c r="Z135" s="31">
        <v>1.2480099999999999E-16</v>
      </c>
      <c r="AA135" s="3">
        <v>1.36613E-13</v>
      </c>
      <c r="AB135" s="3">
        <v>9.6078499999999993E-13</v>
      </c>
      <c r="AC135" s="3">
        <v>1.02678E-12</v>
      </c>
      <c r="AD135" s="30">
        <v>9.6078499999999993E-13</v>
      </c>
      <c r="AF135" s="31">
        <v>2.4960100000000002E-16</v>
      </c>
      <c r="AG135" s="3">
        <v>8.7706900000000002E-14</v>
      </c>
      <c r="AH135" s="3">
        <v>5.0964800000000001E-13</v>
      </c>
      <c r="AI135" s="3">
        <v>4.9829500000000005E-13</v>
      </c>
      <c r="AJ135" s="30">
        <v>4.7446500000000004E-13</v>
      </c>
      <c r="AL135" s="6"/>
      <c r="AM135" s="3">
        <v>3.2562199999999997E-14</v>
      </c>
      <c r="AN135" s="3">
        <v>1.8863600000000001E-13</v>
      </c>
      <c r="AO135" s="3">
        <v>1.5956700000000001E-13</v>
      </c>
      <c r="AP135" s="30">
        <v>2.1396299999999999E-13</v>
      </c>
      <c r="AR135" s="6"/>
      <c r="AS135" s="3">
        <v>5.7390100000000003E-14</v>
      </c>
      <c r="AT135" s="3">
        <v>1.2788000000000001E-13</v>
      </c>
      <c r="AU135" s="30">
        <v>6.2380499999999999E-16</v>
      </c>
      <c r="AV135" s="3">
        <v>7.5854699999999999E-14</v>
      </c>
    </row>
    <row r="136" spans="2:48" x14ac:dyDescent="0.25">
      <c r="B136" s="4">
        <v>7.2384399999999993E-15</v>
      </c>
      <c r="C136" s="31">
        <v>2.6960899999999998E-13</v>
      </c>
      <c r="D136" s="5">
        <v>2.5028300000000002E-12</v>
      </c>
      <c r="E136" s="3">
        <v>2.60364E-12</v>
      </c>
      <c r="F136" s="30">
        <v>2.6469299999999999E-12</v>
      </c>
      <c r="H136" s="3">
        <v>1.74721E-15</v>
      </c>
      <c r="I136" s="3">
        <v>8.7457400000000002E-14</v>
      </c>
      <c r="J136" s="3">
        <v>8.3589799999999996E-13</v>
      </c>
      <c r="K136" s="3">
        <v>8.8580300000000004E-13</v>
      </c>
      <c r="L136" s="30">
        <v>8.1718400000000004E-13</v>
      </c>
      <c r="N136" s="6"/>
      <c r="O136" s="3">
        <v>1.06546E-13</v>
      </c>
      <c r="P136" s="3">
        <v>8.3989100000000004E-13</v>
      </c>
      <c r="Q136" s="3">
        <v>8.9578400000000003E-13</v>
      </c>
      <c r="R136" s="30">
        <v>9.0202199999999997E-13</v>
      </c>
      <c r="T136" s="6"/>
      <c r="U136" s="3">
        <v>8.2841299999999997E-14</v>
      </c>
      <c r="V136" s="3">
        <v>9.9783799999999997E-13</v>
      </c>
      <c r="W136" s="3">
        <v>1.00807E-12</v>
      </c>
      <c r="X136" s="35">
        <v>1.00657E-12</v>
      </c>
      <c r="Z136" s="6"/>
      <c r="AA136" s="3">
        <v>1.3311999999999999E-13</v>
      </c>
      <c r="AB136" s="3">
        <v>9.5180299999999996E-13</v>
      </c>
      <c r="AC136" s="3">
        <v>9.9946100000000004E-13</v>
      </c>
      <c r="AD136" s="30">
        <v>9.5404800000000002E-13</v>
      </c>
      <c r="AF136" s="31">
        <v>2.4960100000000002E-16</v>
      </c>
      <c r="AG136" s="3">
        <v>8.6958300000000006E-14</v>
      </c>
      <c r="AH136" s="3">
        <v>5.0727799999999999E-13</v>
      </c>
      <c r="AI136" s="3">
        <v>4.9430199999999997E-13</v>
      </c>
      <c r="AJ136" s="30">
        <v>4.73343E-13</v>
      </c>
      <c r="AL136" s="6"/>
      <c r="AM136" s="3">
        <v>3.1813700000000002E-14</v>
      </c>
      <c r="AN136" s="3">
        <v>1.8551700000000001E-13</v>
      </c>
      <c r="AO136" s="3">
        <v>1.5944299999999999E-13</v>
      </c>
      <c r="AP136" s="30">
        <v>2.0897200000000001E-13</v>
      </c>
      <c r="AR136" s="6"/>
      <c r="AS136" s="3">
        <v>5.5144400000000002E-14</v>
      </c>
      <c r="AT136" s="3">
        <v>1.2775499999999999E-13</v>
      </c>
      <c r="AU136" s="30">
        <v>2.7796799999999998E-13</v>
      </c>
      <c r="AV136" s="3">
        <v>7.3858500000000005E-14</v>
      </c>
    </row>
    <row r="137" spans="2:48" x14ac:dyDescent="0.25">
      <c r="B137" s="4">
        <v>6.9888400000000002E-15</v>
      </c>
      <c r="C137" s="31">
        <v>2.6773700000000001E-13</v>
      </c>
      <c r="D137" s="5">
        <v>2.3977799999999999E-12</v>
      </c>
      <c r="E137" s="3">
        <v>2.5602200000000002E-12</v>
      </c>
      <c r="F137" s="30">
        <v>2.6405699999999999E-12</v>
      </c>
      <c r="H137" s="3">
        <v>1.4976100000000001E-15</v>
      </c>
      <c r="I137" s="3">
        <v>8.6833600000000003E-14</v>
      </c>
      <c r="J137" s="3">
        <v>8.33653E-13</v>
      </c>
      <c r="K137" s="3">
        <v>8.8293299999999997E-13</v>
      </c>
      <c r="L137" s="30">
        <v>8.1506299999999998E-13</v>
      </c>
      <c r="N137" s="6"/>
      <c r="O137" s="3">
        <v>1.05797E-13</v>
      </c>
      <c r="P137" s="3">
        <v>8.34402E-13</v>
      </c>
      <c r="Q137" s="3">
        <v>8.9091799999999996E-13</v>
      </c>
      <c r="R137" s="30">
        <v>8.9416200000000004E-13</v>
      </c>
      <c r="T137" s="6"/>
      <c r="U137" s="3">
        <v>8.2466999999999998E-14</v>
      </c>
      <c r="V137" s="3">
        <v>9.9334700000000009E-13</v>
      </c>
      <c r="W137" s="3">
        <v>1.0037000000000001E-12</v>
      </c>
      <c r="X137" s="35">
        <v>1.0052E-12</v>
      </c>
      <c r="Z137" s="6"/>
      <c r="AA137" s="3">
        <v>1.3187299999999999E-13</v>
      </c>
      <c r="AB137" s="3">
        <v>9.2784899999999996E-13</v>
      </c>
      <c r="AC137" s="3">
        <v>9.9833899999999999E-13</v>
      </c>
      <c r="AD137" s="30">
        <v>9.2560299999999993E-13</v>
      </c>
      <c r="AF137" s="31">
        <v>2.4960100000000002E-16</v>
      </c>
      <c r="AG137" s="3">
        <v>8.6958300000000006E-14</v>
      </c>
      <c r="AH137" s="3">
        <v>4.9791999999999996E-13</v>
      </c>
      <c r="AI137" s="3">
        <v>4.9318000000000003E-13</v>
      </c>
      <c r="AJ137" s="30">
        <v>4.6772800000000002E-13</v>
      </c>
      <c r="AL137" s="6"/>
      <c r="AM137" s="3">
        <v>3.1189900000000003E-14</v>
      </c>
      <c r="AN137" s="3">
        <v>1.8377100000000001E-13</v>
      </c>
      <c r="AO137" s="3">
        <v>1.5594900000000001E-13</v>
      </c>
      <c r="AP137" s="30">
        <v>2.0697600000000001E-13</v>
      </c>
      <c r="AR137" s="6"/>
      <c r="AS137" s="3">
        <v>5.5019599999999998E-14</v>
      </c>
      <c r="AT137" s="3">
        <v>1.24886E-13</v>
      </c>
      <c r="AU137" s="30">
        <v>1.24761E-16</v>
      </c>
      <c r="AV137" s="3">
        <v>6.9491900000000001E-14</v>
      </c>
    </row>
    <row r="138" spans="2:48" x14ac:dyDescent="0.25">
      <c r="B138" s="4">
        <v>6.7392400000000002E-15</v>
      </c>
      <c r="C138" s="31">
        <v>2.6649000000000001E-13</v>
      </c>
      <c r="D138" s="5">
        <v>2.3956599999999999E-12</v>
      </c>
      <c r="E138" s="3">
        <v>2.54687E-12</v>
      </c>
      <c r="F138" s="30">
        <v>2.6097499999999999E-12</v>
      </c>
      <c r="H138" s="3">
        <v>1.4976100000000001E-15</v>
      </c>
      <c r="I138" s="3">
        <v>8.6584100000000002E-14</v>
      </c>
      <c r="J138" s="3">
        <v>8.1581199999999998E-13</v>
      </c>
      <c r="K138" s="3">
        <v>8.6721300000000001E-13</v>
      </c>
      <c r="L138" s="30">
        <v>8.14564E-13</v>
      </c>
      <c r="N138" s="6"/>
      <c r="O138" s="3">
        <v>1.05423E-13</v>
      </c>
      <c r="P138" s="3">
        <v>8.2629200000000005E-13</v>
      </c>
      <c r="Q138" s="3">
        <v>8.8767499999999995E-13</v>
      </c>
      <c r="R138" s="30">
        <v>8.8617699999999995E-13</v>
      </c>
      <c r="T138" s="6"/>
      <c r="U138" s="3">
        <v>8.2342299999999995E-14</v>
      </c>
      <c r="V138" s="3">
        <v>9.8411499999999999E-13</v>
      </c>
      <c r="W138" s="3">
        <v>1.00308E-12</v>
      </c>
      <c r="X138" s="35">
        <v>9.9546800000000006E-13</v>
      </c>
      <c r="Z138" s="6"/>
      <c r="AA138" s="3">
        <v>1.29752E-13</v>
      </c>
      <c r="AB138" s="3">
        <v>9.2036300000000004E-13</v>
      </c>
      <c r="AC138" s="3">
        <v>9.8311800000000001E-13</v>
      </c>
      <c r="AD138" s="30">
        <v>9.2073700000000006E-13</v>
      </c>
      <c r="AF138" s="31">
        <v>2.4960100000000002E-16</v>
      </c>
      <c r="AG138" s="3">
        <v>8.52116E-14</v>
      </c>
      <c r="AH138" s="3">
        <v>4.9629900000000004E-13</v>
      </c>
      <c r="AI138" s="3">
        <v>4.9193200000000005E-13</v>
      </c>
      <c r="AJ138" s="30">
        <v>4.5911999999999997E-13</v>
      </c>
      <c r="AL138" s="6"/>
      <c r="AM138" s="3">
        <v>3.0815599999999998E-14</v>
      </c>
      <c r="AN138" s="3">
        <v>1.82024E-13</v>
      </c>
      <c r="AO138" s="3">
        <v>1.5083400000000001E-13</v>
      </c>
      <c r="AP138" s="30">
        <v>2.06228E-13</v>
      </c>
      <c r="AR138" s="6"/>
      <c r="AS138" s="3">
        <v>5.4021500000000001E-14</v>
      </c>
      <c r="AT138" s="3">
        <v>1.2239099999999999E-13</v>
      </c>
      <c r="AU138" s="30">
        <v>1.24761E-16</v>
      </c>
      <c r="AV138" s="3">
        <v>6.9367100000000003E-14</v>
      </c>
    </row>
    <row r="139" spans="2:48" x14ac:dyDescent="0.25">
      <c r="B139" s="4">
        <v>6.3648400000000003E-15</v>
      </c>
      <c r="C139" s="31">
        <v>2.66365E-13</v>
      </c>
      <c r="D139" s="5">
        <v>2.3618500000000001E-12</v>
      </c>
      <c r="E139" s="3">
        <v>2.5186799999999999E-12</v>
      </c>
      <c r="F139" s="30">
        <v>2.5910399999999998E-12</v>
      </c>
      <c r="H139" s="3">
        <v>1.4976100000000001E-15</v>
      </c>
      <c r="I139" s="3">
        <v>8.6459300000000005E-14</v>
      </c>
      <c r="J139" s="3">
        <v>8.1418999999999999E-13</v>
      </c>
      <c r="K139" s="3">
        <v>8.6484299999999999E-13</v>
      </c>
      <c r="L139" s="30">
        <v>8.1393999999999996E-13</v>
      </c>
      <c r="N139" s="6"/>
      <c r="O139" s="3">
        <v>1.0504899999999999E-13</v>
      </c>
      <c r="P139" s="3">
        <v>8.2379699999999997E-13</v>
      </c>
      <c r="Q139" s="3">
        <v>8.8355799999999998E-13</v>
      </c>
      <c r="R139" s="30">
        <v>8.7657100000000004E-13</v>
      </c>
      <c r="T139" s="6"/>
      <c r="U139" s="3">
        <v>8.2217499999999998E-14</v>
      </c>
      <c r="V139" s="3">
        <v>9.7987300000000006E-13</v>
      </c>
      <c r="W139" s="3">
        <v>9.9946000000000006E-13</v>
      </c>
      <c r="X139" s="35">
        <v>9.9384599999999996E-13</v>
      </c>
      <c r="Z139" s="6"/>
      <c r="AA139" s="3">
        <v>1.2862900000000001E-13</v>
      </c>
      <c r="AB139" s="3">
        <v>9.1013200000000002E-13</v>
      </c>
      <c r="AC139" s="3">
        <v>9.7089100000000009E-13</v>
      </c>
      <c r="AD139" s="30">
        <v>9.0963299999999995E-13</v>
      </c>
      <c r="AF139" s="31">
        <v>2.4960100000000002E-16</v>
      </c>
      <c r="AG139" s="3">
        <v>8.3964000000000002E-14</v>
      </c>
      <c r="AH139" s="3">
        <v>4.8981099999999998E-13</v>
      </c>
      <c r="AI139" s="3">
        <v>4.9030999999999996E-13</v>
      </c>
      <c r="AJ139" s="30">
        <v>4.5587599999999999E-13</v>
      </c>
      <c r="AL139" s="6"/>
      <c r="AM139" s="3">
        <v>2.8694700000000001E-14</v>
      </c>
      <c r="AN139" s="3">
        <v>1.8040200000000001E-13</v>
      </c>
      <c r="AO139" s="3">
        <v>1.44846E-13</v>
      </c>
      <c r="AP139" s="30">
        <v>2.0098799999999999E-13</v>
      </c>
      <c r="AR139" s="6"/>
      <c r="AS139" s="3">
        <v>5.3772E-14</v>
      </c>
      <c r="AT139" s="3">
        <v>1.2189199999999999E-13</v>
      </c>
      <c r="AU139" s="30">
        <v>3.7428299999999999E-16</v>
      </c>
      <c r="AV139" s="3">
        <v>6.8743300000000005E-14</v>
      </c>
    </row>
    <row r="140" spans="2:48" x14ac:dyDescent="0.25">
      <c r="B140" s="4">
        <v>5.9904299999999998E-15</v>
      </c>
      <c r="C140" s="31">
        <v>2.6599099999999998E-13</v>
      </c>
      <c r="D140" s="5">
        <v>2.3576100000000001E-12</v>
      </c>
      <c r="E140" s="3">
        <v>2.4655299999999999E-12</v>
      </c>
      <c r="F140" s="30">
        <v>2.5900400000000001E-12</v>
      </c>
      <c r="H140" s="3">
        <v>1.4976100000000001E-15</v>
      </c>
      <c r="I140" s="3">
        <v>8.4962200000000006E-14</v>
      </c>
      <c r="J140" s="3">
        <v>8.0308599999999998E-13</v>
      </c>
      <c r="K140" s="3">
        <v>8.6371999999999998E-13</v>
      </c>
      <c r="L140" s="30">
        <v>8.1369100000000001E-13</v>
      </c>
      <c r="N140" s="6"/>
      <c r="O140" s="3">
        <v>1.0429999999999999E-13</v>
      </c>
      <c r="P140" s="3">
        <v>8.0932499999999999E-13</v>
      </c>
      <c r="Q140" s="3">
        <v>8.7856700000000005E-13</v>
      </c>
      <c r="R140" s="30">
        <v>8.7619700000000003E-13</v>
      </c>
      <c r="T140" s="6"/>
      <c r="U140" s="3">
        <v>8.1967999999999997E-14</v>
      </c>
      <c r="V140" s="3">
        <v>9.6964200000000004E-13</v>
      </c>
      <c r="W140" s="3">
        <v>9.9334700000000009E-13</v>
      </c>
      <c r="X140" s="35">
        <v>9.8860600000000008E-13</v>
      </c>
      <c r="Z140" s="6"/>
      <c r="AA140" s="3">
        <v>1.2850399999999999E-13</v>
      </c>
      <c r="AB140" s="3">
        <v>9.0439299999999996E-13</v>
      </c>
      <c r="AC140" s="3">
        <v>9.6240700000000002E-13</v>
      </c>
      <c r="AD140" s="30">
        <v>8.9615900000000002E-13</v>
      </c>
      <c r="AF140" s="31">
        <v>1.2480099999999999E-16</v>
      </c>
      <c r="AG140" s="3">
        <v>8.1094499999999996E-14</v>
      </c>
      <c r="AH140" s="3">
        <v>4.8706599999999998E-13</v>
      </c>
      <c r="AI140" s="3">
        <v>4.8981099999999998E-13</v>
      </c>
      <c r="AJ140" s="30">
        <v>4.4789099999999999E-13</v>
      </c>
      <c r="AL140" s="6"/>
      <c r="AM140" s="3">
        <v>2.6823299999999999E-14</v>
      </c>
      <c r="AN140" s="3">
        <v>1.79279E-13</v>
      </c>
      <c r="AO140" s="3">
        <v>1.4347300000000001E-13</v>
      </c>
      <c r="AP140" s="30">
        <v>1.94001E-13</v>
      </c>
      <c r="AR140" s="6"/>
      <c r="AS140" s="3">
        <v>5.3023399999999998E-14</v>
      </c>
      <c r="AT140" s="3">
        <v>1.19771E-13</v>
      </c>
      <c r="AU140" s="30">
        <v>6.2380499999999999E-16</v>
      </c>
      <c r="AV140" s="3">
        <v>6.6248099999999997E-14</v>
      </c>
    </row>
    <row r="141" spans="2:48" x14ac:dyDescent="0.25">
      <c r="B141" s="4">
        <v>5.8656299999999998E-15</v>
      </c>
      <c r="C141" s="31">
        <v>2.6486800000000002E-13</v>
      </c>
      <c r="D141" s="5">
        <v>2.3437600000000001E-12</v>
      </c>
      <c r="E141" s="3">
        <v>2.4435699999999999E-12</v>
      </c>
      <c r="F141" s="30">
        <v>2.5080699999999998E-12</v>
      </c>
      <c r="H141" s="3">
        <v>1.1232E-15</v>
      </c>
      <c r="I141" s="3">
        <v>8.4712700000000006E-14</v>
      </c>
      <c r="J141" s="3">
        <v>8.0121500000000003E-13</v>
      </c>
      <c r="K141" s="3">
        <v>8.5885400000000001E-13</v>
      </c>
      <c r="L141" s="30">
        <v>7.9884400000000004E-13</v>
      </c>
      <c r="N141" s="6"/>
      <c r="O141" s="3">
        <v>1.04175E-13</v>
      </c>
      <c r="P141" s="3">
        <v>8.0558200000000003E-13</v>
      </c>
      <c r="Q141" s="3">
        <v>8.7307800000000001E-13</v>
      </c>
      <c r="R141" s="30">
        <v>8.7532299999999996E-13</v>
      </c>
      <c r="T141" s="6"/>
      <c r="U141" s="3">
        <v>8.1718400000000002E-14</v>
      </c>
      <c r="V141" s="3">
        <v>9.6652299999999992E-13</v>
      </c>
      <c r="W141" s="3">
        <v>9.9185000000000006E-13</v>
      </c>
      <c r="X141" s="35">
        <v>9.8773299999999999E-13</v>
      </c>
      <c r="Z141" s="6"/>
      <c r="AA141" s="3">
        <v>1.28254E-13</v>
      </c>
      <c r="AB141" s="3">
        <v>8.9628399999999998E-13</v>
      </c>
      <c r="AC141" s="3">
        <v>9.46064E-13</v>
      </c>
      <c r="AD141" s="30">
        <v>8.7956599999999997E-13</v>
      </c>
      <c r="AF141" s="31">
        <v>1.2480099999999999E-16</v>
      </c>
      <c r="AG141" s="3">
        <v>7.8599300000000001E-14</v>
      </c>
      <c r="AH141" s="3">
        <v>4.8482100000000002E-13</v>
      </c>
      <c r="AI141" s="3">
        <v>4.8045400000000002E-13</v>
      </c>
      <c r="AJ141" s="30">
        <v>4.34792E-13</v>
      </c>
      <c r="AL141" s="6"/>
      <c r="AM141" s="3">
        <v>2.6573800000000001E-14</v>
      </c>
      <c r="AN141" s="3">
        <v>1.7753299999999999E-13</v>
      </c>
      <c r="AO141" s="3">
        <v>1.39232E-13</v>
      </c>
      <c r="AP141" s="30">
        <v>1.8901099999999999E-13</v>
      </c>
      <c r="AR141" s="6"/>
      <c r="AS141" s="3">
        <v>5.2773899999999997E-14</v>
      </c>
      <c r="AT141" s="3">
        <v>1.19521E-13</v>
      </c>
      <c r="AU141" s="30">
        <v>5.7078199999999996E-13</v>
      </c>
      <c r="AV141" s="3">
        <v>6.5374799999999997E-14</v>
      </c>
    </row>
    <row r="142" spans="2:48" x14ac:dyDescent="0.25">
      <c r="B142" s="4">
        <v>5.6160299999999999E-15</v>
      </c>
      <c r="C142" s="31">
        <v>2.6037600000000001E-13</v>
      </c>
      <c r="D142" s="5">
        <v>2.3180599999999999E-12</v>
      </c>
      <c r="E142" s="3">
        <v>2.4390800000000001E-12</v>
      </c>
      <c r="F142" s="30">
        <v>2.50059E-12</v>
      </c>
      <c r="H142" s="3">
        <v>9.9840400000000008E-16</v>
      </c>
      <c r="I142" s="3">
        <v>8.4338399999999995E-14</v>
      </c>
      <c r="J142" s="3">
        <v>7.9847000000000003E-13</v>
      </c>
      <c r="K142" s="3">
        <v>8.5037100000000001E-13</v>
      </c>
      <c r="L142" s="30">
        <v>7.8711699999999997E-13</v>
      </c>
      <c r="N142" s="6"/>
      <c r="O142" s="3">
        <v>1.0405100000000001E-13</v>
      </c>
      <c r="P142" s="3">
        <v>7.9734799999999999E-13</v>
      </c>
      <c r="Q142" s="3">
        <v>8.68337E-13</v>
      </c>
      <c r="R142" s="30">
        <v>8.6209899999999996E-13</v>
      </c>
      <c r="T142" s="6"/>
      <c r="U142" s="3">
        <v>8.0845100000000003E-14</v>
      </c>
      <c r="V142" s="3">
        <v>9.6128300000000003E-13</v>
      </c>
      <c r="W142" s="3">
        <v>9.8798199999999994E-13</v>
      </c>
      <c r="X142" s="35">
        <v>9.7438300000000005E-13</v>
      </c>
      <c r="Z142" s="6"/>
      <c r="AA142" s="3">
        <v>1.2700699999999999E-13</v>
      </c>
      <c r="AB142" s="3">
        <v>8.8118799999999996E-13</v>
      </c>
      <c r="AC142" s="3">
        <v>9.28971E-13</v>
      </c>
      <c r="AD142" s="30">
        <v>8.7370200000000005E-13</v>
      </c>
      <c r="AF142" s="31">
        <v>1.2480099999999999E-16</v>
      </c>
      <c r="AG142" s="3">
        <v>7.7850799999999999E-14</v>
      </c>
      <c r="AH142" s="3">
        <v>4.80204E-13</v>
      </c>
      <c r="AI142" s="3">
        <v>4.7870699999999997E-13</v>
      </c>
      <c r="AJ142" s="30">
        <v>4.2780500000000001E-13</v>
      </c>
      <c r="AL142" s="6"/>
      <c r="AM142" s="3">
        <v>2.5575700000000001E-14</v>
      </c>
      <c r="AN142" s="3">
        <v>1.7641E-13</v>
      </c>
      <c r="AO142" s="3">
        <v>1.3761000000000001E-13</v>
      </c>
      <c r="AP142" s="30">
        <v>1.8601700000000001E-13</v>
      </c>
      <c r="AR142" s="6"/>
      <c r="AS142" s="3">
        <v>4.8282500000000002E-14</v>
      </c>
      <c r="AT142" s="3">
        <v>1.15404E-13</v>
      </c>
      <c r="AU142" s="30">
        <v>1.1716299999999999E-12</v>
      </c>
      <c r="AV142" s="3">
        <v>6.0883399999999995E-14</v>
      </c>
    </row>
    <row r="143" spans="2:48" x14ac:dyDescent="0.25">
      <c r="B143" s="4">
        <v>5.6160299999999999E-15</v>
      </c>
      <c r="C143" s="31">
        <v>2.6025200000000002E-13</v>
      </c>
      <c r="D143" s="5">
        <v>2.3042099999999999E-12</v>
      </c>
      <c r="E143" s="3">
        <v>2.40015E-12</v>
      </c>
      <c r="F143" s="30">
        <v>2.4731400000000001E-12</v>
      </c>
      <c r="H143" s="3">
        <v>9.9840400000000008E-16</v>
      </c>
      <c r="I143" s="3">
        <v>8.4088899999999994E-14</v>
      </c>
      <c r="J143" s="3">
        <v>7.9659899999999999E-13</v>
      </c>
      <c r="K143" s="3">
        <v>8.5012099999999999E-13</v>
      </c>
      <c r="L143" s="30">
        <v>7.8549499999999998E-13</v>
      </c>
      <c r="N143" s="6"/>
      <c r="O143" s="3">
        <v>1.01555E-13</v>
      </c>
      <c r="P143" s="3">
        <v>7.9622499999999997E-13</v>
      </c>
      <c r="Q143" s="3">
        <v>8.63221E-13</v>
      </c>
      <c r="R143" s="30">
        <v>8.4825000000000005E-13</v>
      </c>
      <c r="T143" s="6"/>
      <c r="U143" s="3">
        <v>8.07204E-14</v>
      </c>
      <c r="V143" s="3">
        <v>9.5541999999999998E-13</v>
      </c>
      <c r="W143" s="3">
        <v>9.8586099999999997E-13</v>
      </c>
      <c r="X143" s="35">
        <v>9.7276099999999996E-13</v>
      </c>
      <c r="Z143" s="6"/>
      <c r="AA143" s="3">
        <v>1.2214099999999999E-13</v>
      </c>
      <c r="AB143" s="3">
        <v>8.7993999999999998E-13</v>
      </c>
      <c r="AC143" s="3">
        <v>9.07762E-13</v>
      </c>
      <c r="AD143" s="30">
        <v>8.6484399999999996E-13</v>
      </c>
      <c r="AF143" s="31">
        <v>1.2480099999999999E-16</v>
      </c>
      <c r="AG143" s="3">
        <v>7.7726000000000001E-14</v>
      </c>
      <c r="AH143" s="3">
        <v>4.7758399999999996E-13</v>
      </c>
      <c r="AI143" s="3">
        <v>4.7271899999999996E-13</v>
      </c>
      <c r="AJ143" s="30">
        <v>4.2755499999999999E-13</v>
      </c>
      <c r="AL143" s="6"/>
      <c r="AM143" s="3">
        <v>2.40786E-14</v>
      </c>
      <c r="AN143" s="3">
        <v>1.6630399999999999E-13</v>
      </c>
      <c r="AO143" s="3">
        <v>1.3324300000000001E-13</v>
      </c>
      <c r="AP143" s="30">
        <v>1.81026E-13</v>
      </c>
      <c r="AR143" s="6"/>
      <c r="AS143" s="3">
        <v>4.8157799999999999E-14</v>
      </c>
      <c r="AT143" s="3">
        <v>1.1527899999999999E-13</v>
      </c>
      <c r="AU143" s="30">
        <v>1.31249E-13</v>
      </c>
      <c r="AV143" s="3">
        <v>6.0384299999999999E-14</v>
      </c>
    </row>
    <row r="144" spans="2:48" x14ac:dyDescent="0.25">
      <c r="B144" s="4">
        <v>5.2416299999999999E-15</v>
      </c>
      <c r="C144" s="31">
        <v>2.5700799999999999E-13</v>
      </c>
      <c r="D144" s="5">
        <v>2.2748899999999998E-12</v>
      </c>
      <c r="E144" s="3">
        <v>2.32255E-12</v>
      </c>
      <c r="F144" s="30">
        <v>2.45829E-12</v>
      </c>
      <c r="H144" s="3">
        <v>9.9840400000000008E-16</v>
      </c>
      <c r="I144" s="3">
        <v>8.3964099999999997E-14</v>
      </c>
      <c r="J144" s="3">
        <v>7.9123400000000004E-13</v>
      </c>
      <c r="K144" s="3">
        <v>8.4725199999999999E-13</v>
      </c>
      <c r="L144" s="30">
        <v>7.84247E-13</v>
      </c>
      <c r="N144" s="6"/>
      <c r="O144" s="3">
        <v>9.9684100000000004E-14</v>
      </c>
      <c r="P144" s="3">
        <v>7.9323100000000002E-13</v>
      </c>
      <c r="Q144" s="3">
        <v>8.4837500000000001E-13</v>
      </c>
      <c r="R144" s="30">
        <v>8.4400800000000001E-13</v>
      </c>
      <c r="T144" s="6"/>
      <c r="U144" s="3">
        <v>8.07204E-14</v>
      </c>
      <c r="V144" s="3">
        <v>9.1961300000000007E-13</v>
      </c>
      <c r="W144" s="3">
        <v>9.6727199999999992E-13</v>
      </c>
      <c r="X144" s="35">
        <v>9.4768399999999994E-13</v>
      </c>
      <c r="Z144" s="6"/>
      <c r="AA144" s="3">
        <v>1.2064399999999999E-13</v>
      </c>
      <c r="AB144" s="3">
        <v>8.5573700000000003E-13</v>
      </c>
      <c r="AC144" s="3">
        <v>9.07013E-13</v>
      </c>
      <c r="AD144" s="30">
        <v>8.5561199999999997E-13</v>
      </c>
      <c r="AF144" s="6"/>
      <c r="AG144" s="3">
        <v>7.5979299999999995E-14</v>
      </c>
      <c r="AH144" s="3">
        <v>4.7496400000000001E-13</v>
      </c>
      <c r="AI144" s="3">
        <v>4.6248800000000004E-13</v>
      </c>
      <c r="AJ144" s="30">
        <v>4.1982000000000002E-13</v>
      </c>
      <c r="AL144" s="6"/>
      <c r="AM144" s="3">
        <v>2.3829099999999999E-14</v>
      </c>
      <c r="AN144" s="3">
        <v>1.5395300000000001E-13</v>
      </c>
      <c r="AO144" s="3">
        <v>1.3324300000000001E-13</v>
      </c>
      <c r="AP144" s="30">
        <v>1.7940400000000001E-13</v>
      </c>
      <c r="AR144" s="6"/>
      <c r="AS144" s="3">
        <v>4.8033000000000001E-14</v>
      </c>
      <c r="AT144" s="3">
        <v>1.13657E-13</v>
      </c>
      <c r="AU144" s="30">
        <v>2.4952199999999999E-16</v>
      </c>
      <c r="AV144" s="3">
        <v>5.9885299999999998E-14</v>
      </c>
    </row>
    <row r="145" spans="2:48" x14ac:dyDescent="0.25">
      <c r="B145" s="4">
        <v>5.2416299999999999E-15</v>
      </c>
      <c r="C145" s="31">
        <v>2.5501199999999998E-13</v>
      </c>
      <c r="D145" s="5">
        <v>2.21413E-12</v>
      </c>
      <c r="E145" s="3">
        <v>2.3032099999999998E-12</v>
      </c>
      <c r="F145" s="30">
        <v>2.4271E-12</v>
      </c>
      <c r="H145" s="3">
        <v>8.7360299999999999E-16</v>
      </c>
      <c r="I145" s="3">
        <v>8.3465099999999995E-14</v>
      </c>
      <c r="J145" s="3">
        <v>7.9086000000000002E-13</v>
      </c>
      <c r="K145" s="3">
        <v>8.4687700000000001E-13</v>
      </c>
      <c r="L145" s="30">
        <v>7.8324900000000005E-13</v>
      </c>
      <c r="N145" s="6"/>
      <c r="O145" s="3">
        <v>9.9309800000000006E-14</v>
      </c>
      <c r="P145" s="3">
        <v>7.91359E-13</v>
      </c>
      <c r="Q145" s="3">
        <v>8.46379E-13</v>
      </c>
      <c r="R145" s="30">
        <v>8.3802E-13</v>
      </c>
      <c r="T145" s="6"/>
      <c r="U145" s="3">
        <v>7.9847000000000006E-14</v>
      </c>
      <c r="V145" s="3">
        <v>9.1948899999999998E-13</v>
      </c>
      <c r="W145" s="3">
        <v>9.5691700000000001E-13</v>
      </c>
      <c r="X145" s="35">
        <v>9.142490000000001E-13</v>
      </c>
      <c r="Z145" s="6"/>
      <c r="AA145" s="3">
        <v>1.15654E-13</v>
      </c>
      <c r="AB145" s="3">
        <v>8.5361599999999996E-13</v>
      </c>
      <c r="AC145" s="3">
        <v>9.0277200000000004E-13</v>
      </c>
      <c r="AD145" s="30">
        <v>8.5336600000000004E-13</v>
      </c>
      <c r="AF145" s="6"/>
      <c r="AG145" s="3">
        <v>7.3858399999999998E-14</v>
      </c>
      <c r="AH145" s="3">
        <v>4.7059799999999999E-13</v>
      </c>
      <c r="AI145" s="3">
        <v>4.6036699999999997E-13</v>
      </c>
      <c r="AJ145" s="30">
        <v>3.9337099999999999E-13</v>
      </c>
      <c r="AL145" s="6"/>
      <c r="AM145" s="3">
        <v>2.29558E-14</v>
      </c>
      <c r="AN145" s="3">
        <v>1.4646799999999999E-13</v>
      </c>
      <c r="AO145" s="3">
        <v>1.2912599999999999E-13</v>
      </c>
      <c r="AP145" s="30">
        <v>1.7553700000000001E-13</v>
      </c>
      <c r="AR145" s="6"/>
      <c r="AS145" s="3">
        <v>4.69101E-14</v>
      </c>
      <c r="AT145" s="3">
        <v>1.1216E-13</v>
      </c>
      <c r="AU145" s="30">
        <v>1.9313000000000001E-13</v>
      </c>
      <c r="AV145" s="3">
        <v>5.9885299999999998E-14</v>
      </c>
    </row>
    <row r="146" spans="2:48" x14ac:dyDescent="0.25">
      <c r="B146" s="4">
        <v>4.4928200000000003E-15</v>
      </c>
      <c r="C146" s="31">
        <v>2.5338999999999999E-13</v>
      </c>
      <c r="D146" s="5">
        <v>2.2061499999999998E-12</v>
      </c>
      <c r="E146" s="3">
        <v>2.2999699999999999E-12</v>
      </c>
      <c r="F146" s="30">
        <v>2.34139E-12</v>
      </c>
      <c r="H146" s="3">
        <v>8.7360299999999999E-16</v>
      </c>
      <c r="I146" s="3">
        <v>8.3340299999999998E-14</v>
      </c>
      <c r="J146" s="3">
        <v>7.89363E-13</v>
      </c>
      <c r="K146" s="3">
        <v>8.4650299999999999E-13</v>
      </c>
      <c r="L146" s="30">
        <v>7.6253900000000003E-13</v>
      </c>
      <c r="N146" s="6"/>
      <c r="O146" s="3">
        <v>9.9184999999999996E-14</v>
      </c>
      <c r="P146" s="3">
        <v>7.8823999999999998E-13</v>
      </c>
      <c r="Q146" s="3">
        <v>8.4026499999999995E-13</v>
      </c>
      <c r="R146" s="30">
        <v>8.3390300000000003E-13</v>
      </c>
      <c r="T146" s="6"/>
      <c r="U146" s="3">
        <v>7.9348000000000004E-14</v>
      </c>
      <c r="V146" s="3">
        <v>9.03519E-13</v>
      </c>
      <c r="W146" s="3">
        <v>9.4730999999999993E-13</v>
      </c>
      <c r="X146" s="35">
        <v>8.9441199999999997E-13</v>
      </c>
      <c r="Z146" s="6"/>
      <c r="AA146" s="3">
        <v>1.14406E-13</v>
      </c>
      <c r="AB146" s="3">
        <v>8.5261800000000001E-13</v>
      </c>
      <c r="AC146" s="3">
        <v>9.0189799999999998E-13</v>
      </c>
      <c r="AD146" s="30">
        <v>8.47877E-13</v>
      </c>
      <c r="AF146" s="6"/>
      <c r="AG146" s="3">
        <v>7.3733699999999995E-14</v>
      </c>
      <c r="AH146" s="3">
        <v>4.52632E-13</v>
      </c>
      <c r="AI146" s="3">
        <v>4.5300699999999999E-13</v>
      </c>
      <c r="AJ146" s="30">
        <v>3.9125000000000002E-13</v>
      </c>
      <c r="AL146" s="6"/>
      <c r="AM146" s="3">
        <v>2.2706200000000001E-14</v>
      </c>
      <c r="AN146" s="3">
        <v>1.4596900000000001E-13</v>
      </c>
      <c r="AO146" s="3">
        <v>1.2550799999999999E-13</v>
      </c>
      <c r="AP146" s="30">
        <v>1.7042199999999999E-13</v>
      </c>
      <c r="AR146" s="6"/>
      <c r="AS146" s="3">
        <v>4.6286300000000001E-14</v>
      </c>
      <c r="AT146" s="3">
        <v>1.10538E-13</v>
      </c>
      <c r="AU146" s="30">
        <v>2.8570300000000001E-14</v>
      </c>
      <c r="AV146" s="3">
        <v>5.17758E-14</v>
      </c>
    </row>
    <row r="147" spans="2:48" x14ac:dyDescent="0.25">
      <c r="B147" s="4">
        <v>4.3680200000000003E-15</v>
      </c>
      <c r="C147" s="31">
        <v>2.5189300000000002E-13</v>
      </c>
      <c r="D147" s="5">
        <v>2.1543699999999998E-12</v>
      </c>
      <c r="E147" s="3">
        <v>2.2902400000000001E-12</v>
      </c>
      <c r="F147" s="30">
        <v>2.31307E-12</v>
      </c>
      <c r="H147" s="3">
        <v>8.7360299999999999E-16</v>
      </c>
      <c r="I147" s="3">
        <v>8.2466999999999998E-14</v>
      </c>
      <c r="J147" s="3">
        <v>7.7900700000000001E-13</v>
      </c>
      <c r="K147" s="3">
        <v>8.3826900000000005E-13</v>
      </c>
      <c r="L147" s="30">
        <v>7.6216500000000001E-13</v>
      </c>
      <c r="N147" s="6"/>
      <c r="O147" s="3">
        <v>9.9184999999999996E-14</v>
      </c>
      <c r="P147" s="3">
        <v>7.8337400000000001E-13</v>
      </c>
      <c r="Q147" s="3">
        <v>8.3914300000000001E-13</v>
      </c>
      <c r="R147" s="30">
        <v>8.2629200000000005E-13</v>
      </c>
      <c r="T147" s="6"/>
      <c r="U147" s="3">
        <v>7.9348000000000004E-14</v>
      </c>
      <c r="V147" s="3">
        <v>9.0077399999999999E-13</v>
      </c>
      <c r="W147" s="3">
        <v>9.2148500000000009E-13</v>
      </c>
      <c r="X147" s="35">
        <v>8.6072600000000002E-13</v>
      </c>
      <c r="Z147" s="6"/>
      <c r="AA147" s="3">
        <v>1.1428099999999999E-13</v>
      </c>
      <c r="AB147" s="3">
        <v>8.5112000000000001E-13</v>
      </c>
      <c r="AC147" s="3">
        <v>8.7170600000000004E-13</v>
      </c>
      <c r="AD147" s="30">
        <v>8.2467100000000003E-13</v>
      </c>
      <c r="AF147" s="6"/>
      <c r="AG147" s="3">
        <v>7.3733699999999995E-14</v>
      </c>
      <c r="AH147" s="3">
        <v>4.5001200000000001E-13</v>
      </c>
      <c r="AI147" s="3">
        <v>4.3853399999999999E-13</v>
      </c>
      <c r="AJ147" s="30">
        <v>3.89753E-13</v>
      </c>
      <c r="AL147" s="6"/>
      <c r="AM147" s="3">
        <v>2.2082399999999999E-14</v>
      </c>
      <c r="AN147" s="3">
        <v>1.4422200000000001E-13</v>
      </c>
      <c r="AO147" s="3">
        <v>1.2426099999999999E-13</v>
      </c>
      <c r="AP147" s="30">
        <v>1.70297E-13</v>
      </c>
      <c r="AR147" s="6"/>
      <c r="AS147" s="3">
        <v>4.1046399999999997E-14</v>
      </c>
      <c r="AT147" s="3">
        <v>1.08043E-13</v>
      </c>
      <c r="AU147" s="30">
        <v>1.24761E-15</v>
      </c>
      <c r="AV147" s="3">
        <v>5.0902500000000001E-14</v>
      </c>
    </row>
    <row r="148" spans="2:48" x14ac:dyDescent="0.25">
      <c r="B148" s="4">
        <v>4.3680200000000003E-15</v>
      </c>
      <c r="C148" s="31">
        <v>2.5151799999999998E-13</v>
      </c>
      <c r="D148" s="5">
        <v>2.1485100000000001E-12</v>
      </c>
      <c r="E148" s="3">
        <v>2.22511E-12</v>
      </c>
      <c r="F148" s="30">
        <v>2.2373399999999998E-12</v>
      </c>
      <c r="H148" s="3">
        <v>7.4880300000000001E-16</v>
      </c>
      <c r="I148" s="3">
        <v>8.2217499999999998E-14</v>
      </c>
      <c r="J148" s="3">
        <v>7.7688600000000005E-13</v>
      </c>
      <c r="K148" s="3">
        <v>8.3664699999999996E-13</v>
      </c>
      <c r="L148" s="30">
        <v>7.6191499999999999E-13</v>
      </c>
      <c r="N148" s="6"/>
      <c r="O148" s="3">
        <v>9.9060199999999998E-14</v>
      </c>
      <c r="P148" s="3">
        <v>7.7538999999999999E-13</v>
      </c>
      <c r="Q148" s="3">
        <v>8.1618699999999996E-13</v>
      </c>
      <c r="R148" s="30">
        <v>8.2516900000000004E-13</v>
      </c>
      <c r="T148" s="6"/>
      <c r="U148" s="3">
        <v>7.8100399999999994E-14</v>
      </c>
      <c r="V148" s="3">
        <v>8.5461300000000005E-13</v>
      </c>
      <c r="W148" s="3">
        <v>9.1849000000000006E-13</v>
      </c>
      <c r="X148" s="35">
        <v>8.4849999999999997E-13</v>
      </c>
      <c r="Z148" s="6"/>
      <c r="AA148" s="3">
        <v>1.11911E-13</v>
      </c>
      <c r="AB148" s="3">
        <v>8.3427800000000001E-13</v>
      </c>
      <c r="AC148" s="3">
        <v>8.68337E-13</v>
      </c>
      <c r="AD148" s="30">
        <v>8.2180200000000004E-13</v>
      </c>
      <c r="AF148" s="6"/>
      <c r="AG148" s="3">
        <v>7.2735599999999998E-14</v>
      </c>
      <c r="AH148" s="3">
        <v>4.4751699999999998E-13</v>
      </c>
      <c r="AI148" s="3">
        <v>4.3678800000000001E-13</v>
      </c>
      <c r="AJ148" s="30">
        <v>3.8838000000000001E-13</v>
      </c>
      <c r="AL148" s="6"/>
      <c r="AM148" s="3">
        <v>2.12091E-14</v>
      </c>
      <c r="AN148" s="3">
        <v>1.4247500000000001E-13</v>
      </c>
      <c r="AO148" s="3">
        <v>1.23138E-13</v>
      </c>
      <c r="AP148" s="30">
        <v>1.60067E-13</v>
      </c>
      <c r="AR148" s="6"/>
      <c r="AS148" s="3">
        <v>3.9175000000000001E-14</v>
      </c>
      <c r="AT148" s="3">
        <v>9.8810699999999998E-14</v>
      </c>
      <c r="AU148" s="30">
        <v>5.3510000000000001E-13</v>
      </c>
      <c r="AV148" s="3">
        <v>4.7658700000000003E-14</v>
      </c>
    </row>
    <row r="149" spans="2:48" x14ac:dyDescent="0.25">
      <c r="B149" s="4">
        <v>4.1184200000000004E-15</v>
      </c>
      <c r="C149" s="31">
        <v>2.50021E-13</v>
      </c>
      <c r="D149" s="5">
        <v>2.1423999999999998E-12</v>
      </c>
      <c r="E149" s="3">
        <v>2.2100199999999999E-12</v>
      </c>
      <c r="F149" s="30">
        <v>2.2248599999999999E-12</v>
      </c>
      <c r="H149" s="3">
        <v>7.4880300000000001E-16</v>
      </c>
      <c r="I149" s="3">
        <v>8.2217499999999998E-14</v>
      </c>
      <c r="J149" s="3">
        <v>7.63787E-13</v>
      </c>
      <c r="K149" s="3">
        <v>8.1431500000000005E-13</v>
      </c>
      <c r="L149" s="30">
        <v>7.5230899999999998E-13</v>
      </c>
      <c r="N149" s="6"/>
      <c r="O149" s="3">
        <v>9.8436399999999999E-14</v>
      </c>
      <c r="P149" s="3">
        <v>7.7364300000000004E-13</v>
      </c>
      <c r="Q149" s="3">
        <v>8.1169500000000001E-13</v>
      </c>
      <c r="R149" s="30">
        <v>8.21676E-13</v>
      </c>
      <c r="T149" s="6"/>
      <c r="U149" s="3">
        <v>7.7850900000000006E-14</v>
      </c>
      <c r="V149" s="3">
        <v>8.4812499999999998E-13</v>
      </c>
      <c r="W149" s="3">
        <v>8.9765499999999998E-13</v>
      </c>
      <c r="X149" s="35">
        <v>8.3851899999999997E-13</v>
      </c>
      <c r="Z149" s="6"/>
      <c r="AA149" s="3">
        <v>1.09915E-13</v>
      </c>
      <c r="AB149" s="3">
        <v>8.2966099999999999E-13</v>
      </c>
      <c r="AC149" s="3">
        <v>8.6434499999999999E-13</v>
      </c>
      <c r="AD149" s="30">
        <v>8.1880700000000001E-13</v>
      </c>
      <c r="AF149" s="6"/>
      <c r="AG149" s="3">
        <v>7.23613E-14</v>
      </c>
      <c r="AH149" s="3">
        <v>4.4102999999999999E-13</v>
      </c>
      <c r="AI149" s="3">
        <v>4.1807399999999999E-13</v>
      </c>
      <c r="AJ149" s="30">
        <v>3.79772E-13</v>
      </c>
      <c r="AL149" s="6"/>
      <c r="AM149" s="3">
        <v>2.0959599999999999E-14</v>
      </c>
      <c r="AN149" s="3">
        <v>1.4110299999999999E-13</v>
      </c>
      <c r="AO149" s="3">
        <v>1.2176500000000001E-13</v>
      </c>
      <c r="AP149" s="30">
        <v>1.5520100000000001E-13</v>
      </c>
      <c r="AR149" s="6"/>
      <c r="AS149" s="3">
        <v>3.7927399999999997E-14</v>
      </c>
      <c r="AT149" s="3">
        <v>9.7188800000000002E-14</v>
      </c>
      <c r="AU149" s="30">
        <v>2.2457000000000002E-15</v>
      </c>
      <c r="AV149" s="3">
        <v>4.6411099999999999E-14</v>
      </c>
    </row>
    <row r="150" spans="2:48" x14ac:dyDescent="0.25">
      <c r="B150" s="4">
        <v>3.4944200000000001E-15</v>
      </c>
      <c r="C150" s="31">
        <v>2.4989599999999999E-13</v>
      </c>
      <c r="D150" s="5">
        <v>2.1383999999999999E-12</v>
      </c>
      <c r="E150" s="3">
        <v>2.1990399999999999E-12</v>
      </c>
      <c r="F150" s="30">
        <v>2.2121399999999999E-12</v>
      </c>
      <c r="H150" s="3">
        <v>6.2400200000000002E-16</v>
      </c>
      <c r="I150" s="3">
        <v>8.1967900000000003E-14</v>
      </c>
      <c r="J150" s="3">
        <v>7.50312E-13</v>
      </c>
      <c r="K150" s="3">
        <v>8.1032199999999997E-13</v>
      </c>
      <c r="L150" s="30">
        <v>7.5068699999999999E-13</v>
      </c>
      <c r="N150" s="6"/>
      <c r="O150" s="3">
        <v>9.8436399999999999E-14</v>
      </c>
      <c r="P150" s="3">
        <v>7.6989999999999998E-13</v>
      </c>
      <c r="Q150" s="3">
        <v>8.1119600000000003E-13</v>
      </c>
      <c r="R150" s="30">
        <v>8.0870100000000005E-13</v>
      </c>
      <c r="T150" s="6"/>
      <c r="U150" s="3">
        <v>7.7601299999999998E-14</v>
      </c>
      <c r="V150" s="3">
        <v>8.3826900000000005E-13</v>
      </c>
      <c r="W150" s="3">
        <v>8.9678199999999998E-13</v>
      </c>
      <c r="X150" s="35">
        <v>8.3278000000000001E-13</v>
      </c>
      <c r="Z150" s="6"/>
      <c r="AA150" s="3">
        <v>1.09041E-13</v>
      </c>
      <c r="AB150" s="3">
        <v>8.26043E-13</v>
      </c>
      <c r="AC150" s="3">
        <v>8.6022800000000002E-13</v>
      </c>
      <c r="AD150" s="30">
        <v>8.1294399999999995E-13</v>
      </c>
      <c r="AF150" s="6"/>
      <c r="AG150" s="3">
        <v>6.9366999999999996E-14</v>
      </c>
      <c r="AH150" s="3">
        <v>4.01979E-13</v>
      </c>
      <c r="AI150" s="3">
        <v>4.1320800000000002E-13</v>
      </c>
      <c r="AJ150" s="30">
        <v>3.7091400000000002E-13</v>
      </c>
      <c r="AL150" s="6"/>
      <c r="AM150" s="3">
        <v>2.0959599999999999E-14</v>
      </c>
      <c r="AN150" s="3">
        <v>1.40978E-13</v>
      </c>
      <c r="AO150" s="3">
        <v>1.1927000000000001E-13</v>
      </c>
      <c r="AP150" s="30">
        <v>1.49212E-13</v>
      </c>
      <c r="AR150" s="6"/>
      <c r="AS150" s="3">
        <v>3.7054000000000003E-14</v>
      </c>
      <c r="AT150" s="3">
        <v>9.2447899999999999E-14</v>
      </c>
      <c r="AU150" s="30">
        <v>6.2380499999999999E-16</v>
      </c>
      <c r="AV150" s="3">
        <v>4.6036800000000001E-14</v>
      </c>
    </row>
    <row r="151" spans="2:48" x14ac:dyDescent="0.25">
      <c r="B151" s="4">
        <v>3.4944200000000001E-15</v>
      </c>
      <c r="C151" s="31">
        <v>2.4927300000000002E-13</v>
      </c>
      <c r="D151" s="5">
        <v>2.1300500000000002E-12</v>
      </c>
      <c r="E151" s="3">
        <v>2.1774500000000002E-12</v>
      </c>
      <c r="F151" s="30">
        <v>2.1865599999999999E-12</v>
      </c>
      <c r="H151" s="3">
        <v>4.9920200000000004E-16</v>
      </c>
      <c r="I151" s="3">
        <v>8.09699E-14</v>
      </c>
      <c r="J151" s="3">
        <v>7.4033199999999998E-13</v>
      </c>
      <c r="K151" s="3">
        <v>8.0583099999999998E-13</v>
      </c>
      <c r="L151" s="30">
        <v>7.3671300000000001E-13</v>
      </c>
      <c r="N151" s="6"/>
      <c r="O151" s="3">
        <v>9.7812600000000001E-14</v>
      </c>
      <c r="P151" s="3">
        <v>7.6553399999999996E-13</v>
      </c>
      <c r="Q151" s="3">
        <v>8.0657999999999998E-13</v>
      </c>
      <c r="R151" s="30">
        <v>8.0845100000000003E-13</v>
      </c>
      <c r="T151" s="6"/>
      <c r="U151" s="3">
        <v>7.7601299999999998E-14</v>
      </c>
      <c r="V151" s="3">
        <v>8.3814399999999999E-13</v>
      </c>
      <c r="W151" s="3">
        <v>8.6746300000000004E-13</v>
      </c>
      <c r="X151" s="35">
        <v>8.2878700000000003E-13</v>
      </c>
      <c r="Z151" s="6"/>
      <c r="AA151" s="3">
        <v>1.08043E-13</v>
      </c>
      <c r="AB151" s="3">
        <v>8.1656200000000005E-13</v>
      </c>
      <c r="AC151" s="3">
        <v>8.35151E-13</v>
      </c>
      <c r="AD151" s="30">
        <v>7.9747300000000005E-13</v>
      </c>
      <c r="AF151" s="6"/>
      <c r="AG151" s="3">
        <v>6.6497500000000003E-14</v>
      </c>
      <c r="AH151" s="3">
        <v>3.9474300000000001E-13</v>
      </c>
      <c r="AI151" s="3">
        <v>4.0971499999999999E-13</v>
      </c>
      <c r="AJ151" s="30">
        <v>3.6854299999999998E-13</v>
      </c>
      <c r="AL151" s="6"/>
      <c r="AM151" s="3">
        <v>1.9711999999999998E-14</v>
      </c>
      <c r="AN151" s="3">
        <v>1.3761000000000001E-13</v>
      </c>
      <c r="AO151" s="3">
        <v>1.17274E-13</v>
      </c>
      <c r="AP151" s="30">
        <v>1.4833900000000001E-13</v>
      </c>
      <c r="AR151" s="6"/>
      <c r="AS151" s="3">
        <v>3.6804500000000002E-14</v>
      </c>
      <c r="AT151" s="3">
        <v>8.9079400000000005E-14</v>
      </c>
      <c r="AU151" s="30">
        <v>1.11786E-13</v>
      </c>
      <c r="AV151" s="3">
        <v>4.1794899999999999E-14</v>
      </c>
    </row>
    <row r="152" spans="2:48" x14ac:dyDescent="0.25">
      <c r="B152" s="4">
        <v>3.4944200000000001E-15</v>
      </c>
      <c r="C152" s="31">
        <v>2.4677700000000002E-13</v>
      </c>
      <c r="D152" s="5">
        <v>2.1206899999999999E-12</v>
      </c>
      <c r="E152" s="3">
        <v>2.1745799999999998E-12</v>
      </c>
      <c r="F152" s="30">
        <v>2.1853100000000001E-12</v>
      </c>
      <c r="H152" s="3">
        <v>4.9920200000000004E-16</v>
      </c>
      <c r="I152" s="3">
        <v>8.0845100000000003E-14</v>
      </c>
      <c r="J152" s="3">
        <v>7.3958299999999998E-13</v>
      </c>
      <c r="K152" s="3">
        <v>8.0433399999999995E-13</v>
      </c>
      <c r="L152" s="30">
        <v>7.3084999999999996E-13</v>
      </c>
      <c r="N152" s="6"/>
      <c r="O152" s="3">
        <v>9.75631E-14</v>
      </c>
      <c r="P152" s="3">
        <v>7.6054300000000002E-13</v>
      </c>
      <c r="Q152" s="3">
        <v>7.9535100000000001E-13</v>
      </c>
      <c r="R152" s="30">
        <v>7.94977E-13</v>
      </c>
      <c r="T152" s="6"/>
      <c r="U152" s="3">
        <v>7.7102299999999997E-14</v>
      </c>
      <c r="V152" s="3">
        <v>8.0445900000000002E-13</v>
      </c>
      <c r="W152" s="3">
        <v>8.5660899999999995E-13</v>
      </c>
      <c r="X152" s="35">
        <v>8.2554300000000005E-13</v>
      </c>
      <c r="Z152" s="6"/>
      <c r="AA152" s="3">
        <v>1.07918E-13</v>
      </c>
      <c r="AB152" s="3">
        <v>8.1531399999999997E-13</v>
      </c>
      <c r="AC152" s="3">
        <v>8.3153300000000001E-13</v>
      </c>
      <c r="AD152" s="30">
        <v>7.8898899999999998E-13</v>
      </c>
      <c r="AF152" s="6"/>
      <c r="AG152" s="3">
        <v>6.5125200000000002E-14</v>
      </c>
      <c r="AH152" s="3">
        <v>3.9411900000000002E-13</v>
      </c>
      <c r="AI152" s="3">
        <v>4.0659600000000002E-13</v>
      </c>
      <c r="AJ152" s="30">
        <v>3.6292899999999998E-13</v>
      </c>
      <c r="AL152" s="6"/>
      <c r="AM152" s="3">
        <v>1.9213E-14</v>
      </c>
      <c r="AN152" s="3">
        <v>1.3686100000000001E-13</v>
      </c>
      <c r="AO152" s="3">
        <v>1.17274E-13</v>
      </c>
      <c r="AP152" s="30">
        <v>1.4135299999999999E-13</v>
      </c>
      <c r="AR152" s="6"/>
      <c r="AS152" s="3">
        <v>3.4808300000000002E-14</v>
      </c>
      <c r="AT152" s="3">
        <v>8.6584199999999997E-14</v>
      </c>
      <c r="AU152" s="30">
        <v>2.4952199999999999E-16</v>
      </c>
      <c r="AV152" s="3">
        <v>4.1670200000000003E-14</v>
      </c>
    </row>
    <row r="153" spans="2:48" x14ac:dyDescent="0.25">
      <c r="B153" s="4">
        <v>3.3696200000000001E-15</v>
      </c>
      <c r="C153" s="31">
        <v>2.4652800000000002E-13</v>
      </c>
      <c r="D153" s="5">
        <v>2.0878800000000002E-12</v>
      </c>
      <c r="E153" s="3">
        <v>2.1653499999999999E-12</v>
      </c>
      <c r="F153" s="30">
        <v>2.17908E-12</v>
      </c>
      <c r="H153" s="3">
        <v>4.9920200000000004E-16</v>
      </c>
      <c r="I153" s="3">
        <v>8.0845100000000003E-14</v>
      </c>
      <c r="J153" s="3">
        <v>7.37088E-13</v>
      </c>
      <c r="K153" s="3">
        <v>8.00591E-13</v>
      </c>
      <c r="L153" s="30">
        <v>7.2872899999999999E-13</v>
      </c>
      <c r="N153" s="6"/>
      <c r="O153" s="3">
        <v>9.75631E-14</v>
      </c>
      <c r="P153" s="3">
        <v>7.5892100000000003E-13</v>
      </c>
      <c r="Q153" s="3">
        <v>7.9048600000000001E-13</v>
      </c>
      <c r="R153" s="30">
        <v>7.8774100000000001E-13</v>
      </c>
      <c r="T153" s="6"/>
      <c r="U153" s="3">
        <v>7.4607100000000002E-14</v>
      </c>
      <c r="V153" s="3">
        <v>8.0121500000000003E-13</v>
      </c>
      <c r="W153" s="3">
        <v>8.5037100000000001E-13</v>
      </c>
      <c r="X153" s="35">
        <v>8.2491999999999998E-13</v>
      </c>
      <c r="Z153" s="6"/>
      <c r="AA153" s="3">
        <v>1.0717E-13</v>
      </c>
      <c r="AB153" s="3">
        <v>8.1281899999999999E-13</v>
      </c>
      <c r="AC153" s="3">
        <v>8.1157100000000002E-13</v>
      </c>
      <c r="AD153" s="30">
        <v>7.8711800000000004E-13</v>
      </c>
      <c r="AF153" s="6"/>
      <c r="AG153" s="3">
        <v>6.4251799999999995E-14</v>
      </c>
      <c r="AH153" s="3">
        <v>3.8264099999999999E-13</v>
      </c>
      <c r="AI153" s="3">
        <v>3.9187400000000001E-13</v>
      </c>
      <c r="AJ153" s="30">
        <v>3.62181E-13</v>
      </c>
      <c r="AL153" s="6"/>
      <c r="AM153" s="3">
        <v>1.9213E-14</v>
      </c>
      <c r="AN153" s="3">
        <v>1.3199600000000001E-13</v>
      </c>
      <c r="AO153" s="3">
        <v>1.13032E-13</v>
      </c>
      <c r="AP153" s="30">
        <v>1.34616E-13</v>
      </c>
      <c r="AR153" s="6"/>
      <c r="AS153" s="3">
        <v>3.4309300000000001E-14</v>
      </c>
      <c r="AT153" s="3">
        <v>8.6085100000000001E-14</v>
      </c>
      <c r="AU153" s="30">
        <v>3.92249E-13</v>
      </c>
      <c r="AV153" s="3">
        <v>4.1295899999999998E-14</v>
      </c>
    </row>
    <row r="154" spans="2:48" x14ac:dyDescent="0.25">
      <c r="B154" s="4">
        <v>2.9952200000000002E-15</v>
      </c>
      <c r="C154" s="31">
        <v>2.43658E-13</v>
      </c>
      <c r="D154" s="5">
        <v>2.0797700000000001E-12</v>
      </c>
      <c r="E154" s="3">
        <v>2.1597399999999998E-12</v>
      </c>
      <c r="F154" s="30">
        <v>2.1666000000000001E-12</v>
      </c>
      <c r="H154" s="3">
        <v>3.74401E-16</v>
      </c>
      <c r="I154" s="3">
        <v>8.0096500000000006E-14</v>
      </c>
      <c r="J154" s="3">
        <v>7.3459300000000002E-13</v>
      </c>
      <c r="K154" s="3">
        <v>8.0034200000000004E-13</v>
      </c>
      <c r="L154" s="30">
        <v>7.2448699999999996E-13</v>
      </c>
      <c r="N154" s="6"/>
      <c r="O154" s="3">
        <v>9.5317400000000005E-14</v>
      </c>
      <c r="P154" s="3">
        <v>7.5193499999999997E-13</v>
      </c>
      <c r="Q154" s="3">
        <v>7.8823999999999998E-13</v>
      </c>
      <c r="R154" s="30">
        <v>7.8325000000000002E-13</v>
      </c>
      <c r="T154" s="6"/>
      <c r="U154" s="3">
        <v>7.4607100000000002E-14</v>
      </c>
      <c r="V154" s="3">
        <v>7.9747199999999998E-13</v>
      </c>
      <c r="W154" s="3">
        <v>8.4750100000000005E-13</v>
      </c>
      <c r="X154" s="35">
        <v>8.1755900000000003E-13</v>
      </c>
      <c r="Z154" s="6"/>
      <c r="AA154" s="3">
        <v>1.0517399999999999E-13</v>
      </c>
      <c r="AB154" s="3">
        <v>8.1256899999999997E-13</v>
      </c>
      <c r="AC154" s="3">
        <v>8.1019900000000005E-13</v>
      </c>
      <c r="AD154" s="30">
        <v>7.7776099999999998E-13</v>
      </c>
      <c r="AF154" s="6"/>
      <c r="AG154" s="3">
        <v>6.4002299999999995E-14</v>
      </c>
      <c r="AH154" s="3">
        <v>3.8214200000000002E-13</v>
      </c>
      <c r="AI154" s="3">
        <v>3.8226699999999998E-13</v>
      </c>
      <c r="AJ154" s="30">
        <v>3.5868699999999999E-13</v>
      </c>
      <c r="AL154" s="6"/>
      <c r="AM154" s="3">
        <v>1.8838699999999999E-14</v>
      </c>
      <c r="AN154" s="3">
        <v>1.3137199999999999E-13</v>
      </c>
      <c r="AO154" s="3">
        <v>1.12034E-13</v>
      </c>
      <c r="AP154" s="30">
        <v>1.3274400000000001E-13</v>
      </c>
      <c r="AR154" s="6"/>
      <c r="AS154" s="3">
        <v>3.40598E-14</v>
      </c>
      <c r="AT154" s="3">
        <v>8.5461300000000002E-14</v>
      </c>
      <c r="AU154" s="30">
        <v>1.24761E-16</v>
      </c>
      <c r="AV154" s="3">
        <v>4.0547300000000002E-14</v>
      </c>
    </row>
    <row r="155" spans="2:48" x14ac:dyDescent="0.25">
      <c r="B155" s="4">
        <v>2.9952200000000002E-15</v>
      </c>
      <c r="C155" s="31">
        <v>2.4278500000000001E-13</v>
      </c>
      <c r="D155" s="5">
        <v>2.0588100000000002E-12</v>
      </c>
      <c r="E155" s="3">
        <v>2.1371600000000002E-12</v>
      </c>
      <c r="F155" s="30">
        <v>2.1637300000000001E-12</v>
      </c>
      <c r="H155" s="3">
        <v>3.74401E-16</v>
      </c>
      <c r="I155" s="3">
        <v>7.8474599999999998E-14</v>
      </c>
      <c r="J155" s="3">
        <v>7.2111800000000002E-13</v>
      </c>
      <c r="K155" s="3">
        <v>7.9472699999999997E-13</v>
      </c>
      <c r="L155" s="30">
        <v>7.1949600000000003E-13</v>
      </c>
      <c r="N155" s="6"/>
      <c r="O155" s="3">
        <v>9.5192700000000002E-14</v>
      </c>
      <c r="P155" s="3">
        <v>7.4769300000000003E-13</v>
      </c>
      <c r="Q155" s="3">
        <v>7.8724200000000003E-13</v>
      </c>
      <c r="R155" s="30">
        <v>7.7726100000000003E-13</v>
      </c>
      <c r="T155" s="6"/>
      <c r="U155" s="3">
        <v>7.3484199999999994E-14</v>
      </c>
      <c r="V155" s="3">
        <v>7.9622499999999997E-13</v>
      </c>
      <c r="W155" s="3">
        <v>8.3826900000000005E-13</v>
      </c>
      <c r="X155" s="35">
        <v>8.1718400000000004E-13</v>
      </c>
      <c r="Z155" s="6"/>
      <c r="AA155" s="3">
        <v>1.0467500000000001E-13</v>
      </c>
      <c r="AB155" s="3">
        <v>7.9772299999999997E-13</v>
      </c>
      <c r="AC155" s="3">
        <v>8.0820300000000004E-13</v>
      </c>
      <c r="AD155" s="30">
        <v>7.7676300000000003E-13</v>
      </c>
      <c r="AF155" s="6"/>
      <c r="AG155" s="3">
        <v>6.1631899999999997E-14</v>
      </c>
      <c r="AH155" s="3">
        <v>3.7677799999999999E-13</v>
      </c>
      <c r="AI155" s="3">
        <v>3.7740199999999998E-13</v>
      </c>
      <c r="AJ155" s="30">
        <v>3.5619200000000001E-13</v>
      </c>
      <c r="AL155" s="6"/>
      <c r="AM155" s="3">
        <v>1.7591100000000001E-14</v>
      </c>
      <c r="AN155" s="3">
        <v>1.3087299999999999E-13</v>
      </c>
      <c r="AO155" s="3">
        <v>1.1141E-13</v>
      </c>
      <c r="AP155" s="30">
        <v>1.3149700000000001E-13</v>
      </c>
      <c r="AR155" s="6"/>
      <c r="AS155" s="3">
        <v>3.3810199999999999E-14</v>
      </c>
      <c r="AT155" s="3">
        <v>8.2591799999999996E-14</v>
      </c>
      <c r="AU155" s="30">
        <v>1.3723700000000001E-15</v>
      </c>
      <c r="AV155" s="3">
        <v>3.7428300000000001E-14</v>
      </c>
    </row>
    <row r="156" spans="2:48" x14ac:dyDescent="0.25">
      <c r="B156" s="4">
        <v>2.9952200000000002E-15</v>
      </c>
      <c r="C156" s="31">
        <v>2.4028999999999998E-13</v>
      </c>
      <c r="D156" s="5">
        <v>2.0497E-12</v>
      </c>
      <c r="E156" s="3">
        <v>2.1320399999999999E-12</v>
      </c>
      <c r="F156" s="30">
        <v>2.14477E-12</v>
      </c>
      <c r="H156" s="3">
        <v>3.74401E-16</v>
      </c>
      <c r="I156" s="3">
        <v>7.8100399999999994E-14</v>
      </c>
      <c r="J156" s="3">
        <v>7.1250999999999996E-13</v>
      </c>
      <c r="K156" s="3">
        <v>7.6590799999999997E-13</v>
      </c>
      <c r="L156" s="30">
        <v>7.1824900000000002E-13</v>
      </c>
      <c r="N156" s="6"/>
      <c r="O156" s="3">
        <v>9.4693599999999994E-14</v>
      </c>
      <c r="P156" s="3">
        <v>7.4232799999999998E-13</v>
      </c>
      <c r="Q156" s="3">
        <v>7.8312499999999996E-13</v>
      </c>
      <c r="R156" s="30">
        <v>7.69401E-13</v>
      </c>
      <c r="T156" s="6"/>
      <c r="U156" s="3">
        <v>7.3359500000000004E-14</v>
      </c>
      <c r="V156" s="3">
        <v>7.9547599999999997E-13</v>
      </c>
      <c r="W156" s="3">
        <v>8.1955500000000004E-13</v>
      </c>
      <c r="X156" s="35">
        <v>8.0433399999999995E-13</v>
      </c>
      <c r="Z156" s="6"/>
      <c r="AA156" s="3">
        <v>1.0429999999999999E-13</v>
      </c>
      <c r="AB156" s="3">
        <v>7.9460399999999995E-13</v>
      </c>
      <c r="AC156" s="3">
        <v>7.9497799999999997E-13</v>
      </c>
      <c r="AD156" s="30">
        <v>7.6927700000000001E-13</v>
      </c>
      <c r="AF156" s="6"/>
      <c r="AG156" s="3">
        <v>5.9011900000000004E-14</v>
      </c>
      <c r="AH156" s="3">
        <v>3.7141299999999999E-13</v>
      </c>
      <c r="AI156" s="3">
        <v>3.75405E-13</v>
      </c>
      <c r="AJ156" s="30">
        <v>3.5382199999999999E-13</v>
      </c>
      <c r="AL156" s="6"/>
      <c r="AM156" s="3">
        <v>1.72168E-14</v>
      </c>
      <c r="AN156" s="3">
        <v>1.3037399999999999E-13</v>
      </c>
      <c r="AO156" s="3">
        <v>1.11161E-13</v>
      </c>
      <c r="AP156" s="30">
        <v>1.295E-13</v>
      </c>
      <c r="AR156" s="6"/>
      <c r="AS156" s="3">
        <v>3.1439800000000001E-14</v>
      </c>
      <c r="AT156" s="3">
        <v>8.1344199999999998E-14</v>
      </c>
      <c r="AU156" s="30">
        <v>7.9189599999999992E-12</v>
      </c>
      <c r="AV156" s="3">
        <v>3.6555000000000002E-14</v>
      </c>
    </row>
    <row r="157" spans="2:48" x14ac:dyDescent="0.25">
      <c r="B157" s="4">
        <v>2.7456199999999998E-15</v>
      </c>
      <c r="C157" s="31">
        <v>2.4016500000000002E-13</v>
      </c>
      <c r="D157" s="5">
        <v>1.9862000000000002E-12</v>
      </c>
      <c r="E157" s="3">
        <v>2.1273E-12</v>
      </c>
      <c r="F157" s="30">
        <v>2.1364100000000002E-12</v>
      </c>
      <c r="H157" s="3">
        <v>3.74401E-16</v>
      </c>
      <c r="I157" s="3">
        <v>7.7601299999999998E-14</v>
      </c>
      <c r="J157" s="3">
        <v>7.0826800000000003E-13</v>
      </c>
      <c r="K157" s="3">
        <v>7.4869099999999999E-13</v>
      </c>
      <c r="L157" s="30">
        <v>6.9666500000000004E-13</v>
      </c>
      <c r="N157" s="6"/>
      <c r="O157" s="3">
        <v>9.4568799999999996E-14</v>
      </c>
      <c r="P157" s="3">
        <v>7.4045700000000004E-13</v>
      </c>
      <c r="Q157" s="3">
        <v>7.7925700000000004E-13</v>
      </c>
      <c r="R157" s="30">
        <v>7.6765500000000002E-13</v>
      </c>
      <c r="T157" s="6"/>
      <c r="U157" s="3">
        <v>7.3359500000000004E-14</v>
      </c>
      <c r="V157" s="3">
        <v>7.8586899999999999E-13</v>
      </c>
      <c r="W157" s="3">
        <v>8.1132099999999999E-13</v>
      </c>
      <c r="X157" s="35">
        <v>7.9971800000000001E-13</v>
      </c>
      <c r="Z157" s="6"/>
      <c r="AA157" s="3">
        <v>1.0405100000000001E-13</v>
      </c>
      <c r="AB157" s="3">
        <v>7.9323100000000002E-13</v>
      </c>
      <c r="AC157" s="3">
        <v>7.9223299999999996E-13</v>
      </c>
      <c r="AD157" s="30">
        <v>7.6540999999999997E-13</v>
      </c>
      <c r="AF157" s="6"/>
      <c r="AG157" s="3">
        <v>5.8138499999999998E-14</v>
      </c>
      <c r="AH157" s="3">
        <v>3.6991600000000002E-13</v>
      </c>
      <c r="AI157" s="3">
        <v>3.6841899999999999E-13</v>
      </c>
      <c r="AJ157" s="30">
        <v>3.5194999999999998E-13</v>
      </c>
      <c r="AL157" s="6"/>
      <c r="AM157" s="3">
        <v>1.6593000000000001E-14</v>
      </c>
      <c r="AN157" s="3">
        <v>1.28003E-13</v>
      </c>
      <c r="AO157" s="3">
        <v>1.10911E-13</v>
      </c>
      <c r="AP157" s="30">
        <v>1.2588200000000001E-13</v>
      </c>
      <c r="AR157" s="6"/>
      <c r="AS157" s="3">
        <v>3.1439800000000001E-14</v>
      </c>
      <c r="AT157" s="3">
        <v>7.8599399999999995E-14</v>
      </c>
      <c r="AU157" s="30">
        <v>4.9392900000000003E-13</v>
      </c>
      <c r="AV157" s="3">
        <v>3.5307399999999998E-14</v>
      </c>
    </row>
    <row r="158" spans="2:48" x14ac:dyDescent="0.25">
      <c r="B158" s="4">
        <v>2.7456199999999998E-15</v>
      </c>
      <c r="C158" s="31">
        <v>2.3991499999999999E-13</v>
      </c>
      <c r="D158" s="5">
        <v>1.9446500000000002E-12</v>
      </c>
      <c r="E158" s="3">
        <v>2.1148200000000001E-12</v>
      </c>
      <c r="F158" s="30">
        <v>2.1299199999999999E-12</v>
      </c>
      <c r="H158" s="3">
        <v>3.74401E-16</v>
      </c>
      <c r="I158" s="3">
        <v>7.7351799999999998E-14</v>
      </c>
      <c r="J158" s="3">
        <v>6.9142499999999995E-13</v>
      </c>
      <c r="K158" s="3">
        <v>7.4719299999999998E-13</v>
      </c>
      <c r="L158" s="30">
        <v>6.9229900000000002E-13</v>
      </c>
      <c r="N158" s="6"/>
      <c r="O158" s="3">
        <v>9.3944999999999998E-14</v>
      </c>
      <c r="P158" s="3">
        <v>7.3845999999999997E-13</v>
      </c>
      <c r="Q158" s="3">
        <v>7.7763500000000005E-13</v>
      </c>
      <c r="R158" s="30">
        <v>7.6328800000000003E-13</v>
      </c>
      <c r="T158" s="6"/>
      <c r="U158" s="3">
        <v>7.2985200000000006E-14</v>
      </c>
      <c r="V158" s="3">
        <v>7.8162800000000003E-13</v>
      </c>
      <c r="W158" s="3">
        <v>8.0508299999999995E-13</v>
      </c>
      <c r="X158" s="35">
        <v>7.9871999999999995E-13</v>
      </c>
      <c r="Z158" s="6"/>
      <c r="AA158" s="3">
        <v>1.01431E-13</v>
      </c>
      <c r="AB158" s="3">
        <v>7.9185900000000005E-13</v>
      </c>
      <c r="AC158" s="3">
        <v>7.92108E-13</v>
      </c>
      <c r="AD158" s="30">
        <v>7.5792399999999995E-13</v>
      </c>
      <c r="AF158" s="6"/>
      <c r="AG158" s="3">
        <v>5.8013799999999995E-14</v>
      </c>
      <c r="AH158" s="3">
        <v>3.69791E-13</v>
      </c>
      <c r="AI158" s="3">
        <v>3.6642299999999998E-13</v>
      </c>
      <c r="AJ158" s="30">
        <v>3.43092E-13</v>
      </c>
      <c r="AL158" s="6"/>
      <c r="AM158" s="3">
        <v>1.5719699999999999E-14</v>
      </c>
      <c r="AN158" s="3">
        <v>1.26007E-13</v>
      </c>
      <c r="AO158" s="3">
        <v>1.0904E-13</v>
      </c>
      <c r="AP158" s="30">
        <v>1.2575799999999999E-13</v>
      </c>
      <c r="AR158" s="6"/>
      <c r="AS158" s="3">
        <v>3.1314999999999997E-14</v>
      </c>
      <c r="AT158" s="3">
        <v>7.5854699999999999E-14</v>
      </c>
      <c r="AU158" s="30">
        <v>9.9808799999999998E-16</v>
      </c>
      <c r="AV158" s="3">
        <v>3.4184499999999997E-14</v>
      </c>
    </row>
    <row r="159" spans="2:48" x14ac:dyDescent="0.25">
      <c r="B159" s="4">
        <v>2.4960100000000001E-15</v>
      </c>
      <c r="C159" s="31">
        <v>2.3592299999999998E-13</v>
      </c>
      <c r="D159" s="5">
        <v>1.9177000000000002E-12</v>
      </c>
      <c r="E159" s="3">
        <v>2.0981099999999998E-12</v>
      </c>
      <c r="F159" s="30">
        <v>2.1054699999999999E-12</v>
      </c>
      <c r="H159" s="3">
        <v>3.74401E-16</v>
      </c>
      <c r="I159" s="3">
        <v>7.6478499999999998E-14</v>
      </c>
      <c r="J159" s="3">
        <v>6.8568599999999999E-13</v>
      </c>
      <c r="K159" s="3">
        <v>7.4407399999999997E-13</v>
      </c>
      <c r="L159" s="30">
        <v>6.8468800000000004E-13</v>
      </c>
      <c r="N159" s="6"/>
      <c r="O159" s="3">
        <v>9.2073600000000001E-14</v>
      </c>
      <c r="P159" s="3">
        <v>7.3821100000000001E-13</v>
      </c>
      <c r="Q159" s="3">
        <v>7.7015000000000001E-13</v>
      </c>
      <c r="R159" s="30">
        <v>7.4993799999999999E-13</v>
      </c>
      <c r="T159" s="6"/>
      <c r="U159" s="3">
        <v>7.2610899999999995E-14</v>
      </c>
      <c r="V159" s="3">
        <v>7.7750999999999999E-13</v>
      </c>
      <c r="W159" s="3">
        <v>8.0495799999999999E-13</v>
      </c>
      <c r="X159" s="35">
        <v>7.9847000000000003E-13</v>
      </c>
      <c r="Z159" s="6"/>
      <c r="AA159" s="3">
        <v>1.00807E-13</v>
      </c>
      <c r="AB159" s="3">
        <v>7.8711800000000004E-13</v>
      </c>
      <c r="AC159" s="3">
        <v>7.92108E-13</v>
      </c>
      <c r="AD159" s="30">
        <v>7.5580299999999999E-13</v>
      </c>
      <c r="AF159" s="6"/>
      <c r="AG159" s="3">
        <v>5.7888999999999997E-14</v>
      </c>
      <c r="AH159" s="3">
        <v>3.6692200000000001E-13</v>
      </c>
      <c r="AI159" s="3">
        <v>3.6255500000000001E-13</v>
      </c>
      <c r="AJ159" s="30">
        <v>3.36729E-13</v>
      </c>
      <c r="AL159" s="6"/>
      <c r="AM159" s="3">
        <v>1.5594900000000001E-14</v>
      </c>
      <c r="AN159" s="3">
        <v>1.2475999999999999E-13</v>
      </c>
      <c r="AO159" s="3">
        <v>1.08167E-13</v>
      </c>
      <c r="AP159" s="30">
        <v>1.24385E-13</v>
      </c>
      <c r="AR159" s="6"/>
      <c r="AS159" s="3">
        <v>3.0816000000000002E-14</v>
      </c>
      <c r="AT159" s="3">
        <v>7.5605199999999999E-14</v>
      </c>
      <c r="AU159" s="30">
        <v>1.24761E-16</v>
      </c>
      <c r="AV159" s="3">
        <v>3.3685500000000002E-14</v>
      </c>
    </row>
    <row r="160" spans="2:48" x14ac:dyDescent="0.25">
      <c r="B160" s="4">
        <v>2.3712100000000001E-15</v>
      </c>
      <c r="C160" s="31">
        <v>2.3417599999999998E-13</v>
      </c>
      <c r="D160" s="5">
        <v>1.8979900000000001E-12</v>
      </c>
      <c r="E160" s="3">
        <v>2.07702E-12</v>
      </c>
      <c r="F160" s="30">
        <v>2.0747800000000002E-12</v>
      </c>
      <c r="H160" s="3">
        <v>2.4960100000000002E-16</v>
      </c>
      <c r="I160" s="3">
        <v>7.61042E-14</v>
      </c>
      <c r="J160" s="3">
        <v>6.8518700000000002E-13</v>
      </c>
      <c r="K160" s="3">
        <v>7.4369999999999995E-13</v>
      </c>
      <c r="L160" s="30">
        <v>6.8356500000000003E-13</v>
      </c>
      <c r="N160" s="6"/>
      <c r="O160" s="3">
        <v>9.1699300000000003E-14</v>
      </c>
      <c r="P160" s="3">
        <v>7.2623400000000001E-13</v>
      </c>
      <c r="Q160" s="3">
        <v>7.68154E-13</v>
      </c>
      <c r="R160" s="30">
        <v>7.4869099999999999E-13</v>
      </c>
      <c r="T160" s="6"/>
      <c r="U160" s="3">
        <v>7.2361399999999994E-14</v>
      </c>
      <c r="V160" s="3">
        <v>7.7227099999999997E-13</v>
      </c>
      <c r="W160" s="3">
        <v>8.0171400000000001E-13</v>
      </c>
      <c r="X160" s="35">
        <v>7.8848900000000003E-13</v>
      </c>
      <c r="Z160" s="6"/>
      <c r="AA160" s="3">
        <v>1.00308E-13</v>
      </c>
      <c r="AB160" s="3">
        <v>7.8462299999999996E-13</v>
      </c>
      <c r="AC160" s="3">
        <v>7.8150400000000004E-13</v>
      </c>
      <c r="AD160" s="30">
        <v>7.5393099999999997E-13</v>
      </c>
      <c r="AF160" s="6"/>
      <c r="AG160" s="3">
        <v>5.6516700000000003E-14</v>
      </c>
      <c r="AH160" s="3">
        <v>3.6280499999999999E-13</v>
      </c>
      <c r="AI160" s="3">
        <v>3.5831299999999998E-13</v>
      </c>
      <c r="AJ160" s="30">
        <v>3.3598100000000002E-13</v>
      </c>
      <c r="AL160" s="6"/>
      <c r="AM160" s="3">
        <v>1.4721599999999998E-14</v>
      </c>
      <c r="AN160" s="3">
        <v>1.2301299999999999E-13</v>
      </c>
      <c r="AO160" s="3">
        <v>1.07044E-13</v>
      </c>
      <c r="AP160" s="30">
        <v>1.22888E-13</v>
      </c>
      <c r="AR160" s="6"/>
      <c r="AS160" s="3">
        <v>3.0441699999999998E-14</v>
      </c>
      <c r="AT160" s="3">
        <v>7.5230900000000001E-14</v>
      </c>
      <c r="AU160" s="30">
        <v>1.9175799999999999E-13</v>
      </c>
      <c r="AV160" s="3">
        <v>3.0940699999999999E-14</v>
      </c>
    </row>
    <row r="161" spans="2:48" x14ac:dyDescent="0.25">
      <c r="B161" s="4">
        <v>2.3712100000000001E-15</v>
      </c>
      <c r="C161" s="31">
        <v>2.3380200000000002E-13</v>
      </c>
      <c r="D161" s="5">
        <v>1.8323700000000002E-12</v>
      </c>
      <c r="E161" s="3">
        <v>2.05332E-12</v>
      </c>
      <c r="F161" s="30">
        <v>2.0742799999999999E-12</v>
      </c>
      <c r="H161" s="3">
        <v>2.4960100000000002E-16</v>
      </c>
      <c r="I161" s="3">
        <v>7.5605100000000004E-14</v>
      </c>
      <c r="J161" s="3">
        <v>6.8518700000000002E-13</v>
      </c>
      <c r="K161" s="3">
        <v>7.4120499999999997E-13</v>
      </c>
      <c r="L161" s="30">
        <v>6.7233700000000003E-13</v>
      </c>
      <c r="N161" s="6"/>
      <c r="O161" s="3">
        <v>9.15746E-14</v>
      </c>
      <c r="P161" s="3">
        <v>7.2523599999999996E-13</v>
      </c>
      <c r="Q161" s="3">
        <v>7.6678099999999996E-13</v>
      </c>
      <c r="R161" s="30">
        <v>7.4831699999999997E-13</v>
      </c>
      <c r="T161" s="6"/>
      <c r="U161" s="3">
        <v>7.2236599999999997E-14</v>
      </c>
      <c r="V161" s="3">
        <v>7.6752999999999996E-13</v>
      </c>
      <c r="W161" s="3">
        <v>8.0034200000000004E-13</v>
      </c>
      <c r="X161" s="35">
        <v>7.85745E-13</v>
      </c>
      <c r="Z161" s="6"/>
      <c r="AA161" s="3">
        <v>9.9060300000000006E-14</v>
      </c>
      <c r="AB161" s="3">
        <v>7.8424799999999997E-13</v>
      </c>
      <c r="AC161" s="3">
        <v>7.8075500000000004E-13</v>
      </c>
      <c r="AD161" s="30">
        <v>7.4831699999999997E-13</v>
      </c>
      <c r="AF161" s="6"/>
      <c r="AG161" s="3">
        <v>5.6267100000000001E-14</v>
      </c>
      <c r="AH161" s="3">
        <v>3.6267999999999998E-13</v>
      </c>
      <c r="AI161" s="3">
        <v>3.57814E-13</v>
      </c>
      <c r="AJ161" s="30">
        <v>3.2512699999999998E-13</v>
      </c>
      <c r="AL161" s="6"/>
      <c r="AM161" s="3">
        <v>1.4472100000000001E-14</v>
      </c>
      <c r="AN161" s="3">
        <v>1.17024E-13</v>
      </c>
      <c r="AO161" s="3">
        <v>1.07044E-13</v>
      </c>
      <c r="AP161" s="30">
        <v>1.2226399999999999E-13</v>
      </c>
      <c r="AR161" s="6"/>
      <c r="AS161" s="3">
        <v>3.03169E-14</v>
      </c>
      <c r="AT161" s="3">
        <v>7.4731899999999999E-14</v>
      </c>
      <c r="AU161" s="30">
        <v>9.9808799999999998E-16</v>
      </c>
      <c r="AV161" s="3">
        <v>2.9817899999999999E-14</v>
      </c>
    </row>
    <row r="162" spans="2:48" x14ac:dyDescent="0.25">
      <c r="B162" s="4">
        <v>2.3712100000000001E-15</v>
      </c>
      <c r="C162" s="31">
        <v>2.3292899999999998E-13</v>
      </c>
      <c r="D162" s="5">
        <v>1.8245099999999999E-12</v>
      </c>
      <c r="E162" s="3">
        <v>2.0417100000000002E-12</v>
      </c>
      <c r="F162" s="30">
        <v>2.0659200000000001E-12</v>
      </c>
      <c r="H162" s="3">
        <v>1.248E-16</v>
      </c>
      <c r="I162" s="3">
        <v>7.4731800000000005E-14</v>
      </c>
      <c r="J162" s="3">
        <v>6.82068E-13</v>
      </c>
      <c r="K162" s="3">
        <v>7.2910300000000001E-13</v>
      </c>
      <c r="L162" s="30">
        <v>6.6584899999999996E-13</v>
      </c>
      <c r="N162" s="6"/>
      <c r="O162" s="3">
        <v>9.0950800000000001E-14</v>
      </c>
      <c r="P162" s="3">
        <v>7.1637799999999998E-13</v>
      </c>
      <c r="Q162" s="3">
        <v>7.6191599999999996E-13</v>
      </c>
      <c r="R162" s="30">
        <v>7.4769300000000003E-13</v>
      </c>
      <c r="T162" s="6"/>
      <c r="U162" s="3">
        <v>7.1987099999999996E-14</v>
      </c>
      <c r="V162" s="3">
        <v>7.6278899999999995E-13</v>
      </c>
      <c r="W162" s="3">
        <v>7.9323000000000004E-13</v>
      </c>
      <c r="X162" s="35">
        <v>7.8287500000000003E-13</v>
      </c>
      <c r="Z162" s="6"/>
      <c r="AA162" s="3">
        <v>9.8935600000000003E-14</v>
      </c>
      <c r="AB162" s="3">
        <v>7.8062999999999998E-13</v>
      </c>
      <c r="AC162" s="3">
        <v>7.7264599999999996E-13</v>
      </c>
      <c r="AD162" s="30">
        <v>7.34968E-13</v>
      </c>
      <c r="AF162" s="6"/>
      <c r="AG162" s="3">
        <v>5.5892899999999998E-14</v>
      </c>
      <c r="AH162" s="3">
        <v>3.6005999999999998E-13</v>
      </c>
      <c r="AI162" s="3">
        <v>3.5731499999999998E-13</v>
      </c>
      <c r="AJ162" s="30">
        <v>3.2250699999999999E-13</v>
      </c>
      <c r="AL162" s="6"/>
      <c r="AM162" s="3">
        <v>1.43473E-14</v>
      </c>
      <c r="AN162" s="3">
        <v>1.12034E-13</v>
      </c>
      <c r="AO162" s="3">
        <v>1.06794E-13</v>
      </c>
      <c r="AP162" s="30">
        <v>1.1615100000000001E-13</v>
      </c>
      <c r="AR162" s="6"/>
      <c r="AS162" s="3">
        <v>2.9817899999999999E-14</v>
      </c>
      <c r="AT162" s="3">
        <v>7.4607100000000002E-14</v>
      </c>
      <c r="AU162" s="30">
        <v>2.4952199999999999E-16</v>
      </c>
      <c r="AV162" s="3">
        <v>2.9318800000000003E-14</v>
      </c>
    </row>
    <row r="163" spans="2:48" x14ac:dyDescent="0.25">
      <c r="B163" s="4">
        <v>2.2464100000000002E-15</v>
      </c>
      <c r="C163" s="31">
        <v>2.3255500000000001E-13</v>
      </c>
      <c r="D163" s="5">
        <v>1.80816E-12</v>
      </c>
      <c r="E163" s="3">
        <v>1.9828299999999999E-12</v>
      </c>
      <c r="F163" s="30">
        <v>2.0601799999999998E-12</v>
      </c>
      <c r="H163" s="3">
        <v>1.248E-16</v>
      </c>
      <c r="I163" s="3">
        <v>7.4607100000000002E-14</v>
      </c>
      <c r="J163" s="3">
        <v>6.7133899999999997E-13</v>
      </c>
      <c r="K163" s="3">
        <v>7.1013899999999997E-13</v>
      </c>
      <c r="L163" s="30">
        <v>6.6422699999999997E-13</v>
      </c>
      <c r="N163" s="6"/>
      <c r="O163" s="3">
        <v>9.0826000000000003E-14</v>
      </c>
      <c r="P163" s="3">
        <v>7.1488099999999995E-13</v>
      </c>
      <c r="Q163" s="3">
        <v>7.57424E-13</v>
      </c>
      <c r="R163" s="30">
        <v>7.4357599999999996E-13</v>
      </c>
      <c r="T163" s="6"/>
      <c r="U163" s="3">
        <v>7.1737599999999996E-14</v>
      </c>
      <c r="V163" s="3">
        <v>7.57424E-13</v>
      </c>
      <c r="W163" s="3">
        <v>7.9235699999999995E-13</v>
      </c>
      <c r="X163" s="35">
        <v>7.4943900000000001E-13</v>
      </c>
      <c r="Z163" s="6"/>
      <c r="AA163" s="3">
        <v>9.6939399999999996E-14</v>
      </c>
      <c r="AB163" s="3">
        <v>7.68903E-13</v>
      </c>
      <c r="AC163" s="3">
        <v>7.7127300000000002E-13</v>
      </c>
      <c r="AD163" s="30">
        <v>7.3284700000000004E-13</v>
      </c>
      <c r="AF163" s="6"/>
      <c r="AG163" s="3">
        <v>5.5393800000000002E-14</v>
      </c>
      <c r="AH163" s="3">
        <v>3.4670999999999999E-13</v>
      </c>
      <c r="AI163" s="3">
        <v>3.50453E-13</v>
      </c>
      <c r="AJ163" s="30">
        <v>3.19887E-13</v>
      </c>
      <c r="AL163" s="6"/>
      <c r="AM163" s="3">
        <v>1.39731E-14</v>
      </c>
      <c r="AN163" s="3">
        <v>1.11036E-13</v>
      </c>
      <c r="AO163" s="3">
        <v>9.7686699999999999E-14</v>
      </c>
      <c r="AP163" s="30">
        <v>1.10786E-13</v>
      </c>
      <c r="AR163" s="6"/>
      <c r="AS163" s="3">
        <v>2.9443600000000001E-14</v>
      </c>
      <c r="AT163" s="3">
        <v>7.4108000000000006E-14</v>
      </c>
      <c r="AU163" s="30">
        <v>7.9250699999999995E-12</v>
      </c>
      <c r="AV163" s="3">
        <v>2.9069300000000002E-14</v>
      </c>
    </row>
    <row r="164" spans="2:48" x14ac:dyDescent="0.25">
      <c r="B164" s="4">
        <v>2.2464100000000002E-15</v>
      </c>
      <c r="C164" s="31">
        <v>2.3180600000000001E-13</v>
      </c>
      <c r="D164" s="5">
        <v>1.8064200000000001E-12</v>
      </c>
      <c r="E164" s="3">
        <v>1.9696E-12</v>
      </c>
      <c r="F164" s="30">
        <v>2.0383500000000001E-12</v>
      </c>
      <c r="H164" s="3">
        <v>1.248E-16</v>
      </c>
      <c r="I164" s="3">
        <v>7.4482300000000004E-14</v>
      </c>
      <c r="J164" s="3">
        <v>6.6709700000000004E-13</v>
      </c>
      <c r="K164" s="3">
        <v>7.0652099999999997E-13</v>
      </c>
      <c r="L164" s="30">
        <v>6.5012900000000001E-13</v>
      </c>
      <c r="N164" s="6"/>
      <c r="O164" s="3">
        <v>9.0826000000000003E-14</v>
      </c>
      <c r="P164" s="3">
        <v>7.1263500000000002E-13</v>
      </c>
      <c r="Q164" s="3">
        <v>7.5430499999999999E-13</v>
      </c>
      <c r="R164" s="30">
        <v>7.3995799999999997E-13</v>
      </c>
      <c r="T164" s="6"/>
      <c r="U164" s="3">
        <v>7.1612799999999998E-14</v>
      </c>
      <c r="V164" s="3">
        <v>7.5567699999999995E-13</v>
      </c>
      <c r="W164" s="3">
        <v>7.91359E-13</v>
      </c>
      <c r="X164" s="35">
        <v>7.4245300000000005E-13</v>
      </c>
      <c r="Z164" s="6"/>
      <c r="AA164" s="3">
        <v>9.3570799999999994E-14</v>
      </c>
      <c r="AB164" s="3">
        <v>7.4993899999999996E-13</v>
      </c>
      <c r="AC164" s="3">
        <v>7.7002600000000001E-13</v>
      </c>
      <c r="AD164" s="30">
        <v>7.1849900000000005E-13</v>
      </c>
      <c r="AF164" s="6"/>
      <c r="AG164" s="3">
        <v>5.1651000000000003E-14</v>
      </c>
      <c r="AH164" s="3">
        <v>3.4259300000000002E-13</v>
      </c>
      <c r="AI164" s="3">
        <v>3.4745899999999999E-13</v>
      </c>
      <c r="AJ164" s="30">
        <v>3.1764100000000002E-13</v>
      </c>
      <c r="AL164" s="6"/>
      <c r="AM164" s="3">
        <v>1.28502E-14</v>
      </c>
      <c r="AN164" s="3">
        <v>1.10786E-13</v>
      </c>
      <c r="AO164" s="3">
        <v>9.7561999999999996E-14</v>
      </c>
      <c r="AP164" s="30">
        <v>1.10412E-13</v>
      </c>
      <c r="AR164" s="6"/>
      <c r="AS164" s="3">
        <v>2.9443600000000001E-14</v>
      </c>
      <c r="AT164" s="3">
        <v>6.9741400000000002E-14</v>
      </c>
      <c r="AU164" s="30">
        <v>2.9942599999999999E-15</v>
      </c>
      <c r="AV164" s="3">
        <v>2.8570300000000001E-14</v>
      </c>
    </row>
    <row r="165" spans="2:48" x14ac:dyDescent="0.25">
      <c r="B165" s="4">
        <v>2.1216100000000002E-15</v>
      </c>
      <c r="C165" s="31">
        <v>2.3080800000000001E-13</v>
      </c>
      <c r="D165" s="5">
        <v>1.80467E-12</v>
      </c>
      <c r="E165" s="3">
        <v>1.9461500000000001E-12</v>
      </c>
      <c r="F165" s="30">
        <v>2.0121500000000001E-12</v>
      </c>
      <c r="H165" s="3">
        <v>1.248E-16</v>
      </c>
      <c r="I165" s="3">
        <v>7.4108000000000006E-14</v>
      </c>
      <c r="J165" s="3">
        <v>6.6385299999999996E-13</v>
      </c>
      <c r="K165" s="3">
        <v>7.0514900000000001E-13</v>
      </c>
      <c r="L165" s="30">
        <v>6.46137E-13</v>
      </c>
      <c r="N165" s="6"/>
      <c r="O165" s="3">
        <v>8.7207900000000001E-14</v>
      </c>
      <c r="P165" s="3">
        <v>7.1226100000000001E-13</v>
      </c>
      <c r="Q165" s="3">
        <v>7.4744300000000001E-13</v>
      </c>
      <c r="R165" s="30">
        <v>7.3484199999999997E-13</v>
      </c>
      <c r="T165" s="6"/>
      <c r="U165" s="3">
        <v>6.8992800000000005E-14</v>
      </c>
      <c r="V165" s="3">
        <v>7.4033199999999998E-13</v>
      </c>
      <c r="W165" s="3">
        <v>7.8512099999999996E-13</v>
      </c>
      <c r="X165" s="35">
        <v>7.4207799999999996E-13</v>
      </c>
      <c r="Z165" s="6"/>
      <c r="AA165" s="3">
        <v>9.2323199999999996E-14</v>
      </c>
      <c r="AB165" s="3">
        <v>7.442E-13</v>
      </c>
      <c r="AC165" s="3">
        <v>7.59671E-13</v>
      </c>
      <c r="AD165" s="30">
        <v>6.9766399999999996E-13</v>
      </c>
      <c r="AF165" s="6"/>
      <c r="AG165" s="3">
        <v>5.0403399999999999E-14</v>
      </c>
      <c r="AH165" s="3">
        <v>3.2849500000000001E-13</v>
      </c>
      <c r="AI165" s="3">
        <v>3.4621100000000002E-13</v>
      </c>
      <c r="AJ165" s="30">
        <v>3.1552E-13</v>
      </c>
      <c r="AL165" s="6"/>
      <c r="AM165" s="3">
        <v>1.26007E-14</v>
      </c>
      <c r="AN165" s="3">
        <v>1.09788E-13</v>
      </c>
      <c r="AO165" s="3">
        <v>9.4942000000000003E-14</v>
      </c>
      <c r="AP165" s="30">
        <v>1.08915E-13</v>
      </c>
      <c r="AR165" s="6"/>
      <c r="AS165" s="3">
        <v>2.8944599999999999E-14</v>
      </c>
      <c r="AT165" s="3">
        <v>6.7870000000000005E-14</v>
      </c>
      <c r="AU165" s="30">
        <v>8.0221300000000004E-14</v>
      </c>
      <c r="AV165" s="3">
        <v>2.71979E-14</v>
      </c>
    </row>
    <row r="166" spans="2:48" x14ac:dyDescent="0.25">
      <c r="B166" s="4">
        <v>2.1216100000000002E-15</v>
      </c>
      <c r="C166" s="31">
        <v>2.30683E-13</v>
      </c>
      <c r="D166" s="5">
        <v>1.7961799999999999E-12</v>
      </c>
      <c r="E166" s="3">
        <v>1.9163300000000002E-12</v>
      </c>
      <c r="F166" s="30">
        <v>1.9371600000000002E-12</v>
      </c>
      <c r="H166" s="3">
        <v>1.248E-16</v>
      </c>
      <c r="I166" s="3">
        <v>7.3609000000000005E-14</v>
      </c>
      <c r="J166" s="3">
        <v>6.6360400000000001E-13</v>
      </c>
      <c r="K166" s="3">
        <v>7.0465000000000003E-13</v>
      </c>
      <c r="L166" s="30">
        <v>6.4164600000000001E-13</v>
      </c>
      <c r="N166" s="6"/>
      <c r="O166" s="3">
        <v>8.6459399999999999E-14</v>
      </c>
      <c r="P166" s="3">
        <v>6.9941000000000005E-13</v>
      </c>
      <c r="Q166" s="3">
        <v>7.4295200000000002E-13</v>
      </c>
      <c r="R166" s="30">
        <v>7.3409400000000004E-13</v>
      </c>
      <c r="T166" s="6"/>
      <c r="U166" s="3">
        <v>6.8992800000000005E-14</v>
      </c>
      <c r="V166" s="3">
        <v>7.3097500000000002E-13</v>
      </c>
      <c r="W166" s="3">
        <v>7.8087900000000003E-13</v>
      </c>
      <c r="X166" s="35">
        <v>7.4095600000000002E-13</v>
      </c>
      <c r="Z166" s="6"/>
      <c r="AA166" s="3">
        <v>9.2323199999999996E-14</v>
      </c>
      <c r="AB166" s="3">
        <v>7.1600399999999996E-13</v>
      </c>
      <c r="AC166" s="3">
        <v>7.5505399999999999E-13</v>
      </c>
      <c r="AD166" s="30">
        <v>6.86311E-13</v>
      </c>
      <c r="AF166" s="6"/>
      <c r="AG166" s="3">
        <v>4.9530099999999999E-14</v>
      </c>
      <c r="AH166" s="3">
        <v>3.2799599999999998E-13</v>
      </c>
      <c r="AI166" s="3">
        <v>3.42094E-13</v>
      </c>
      <c r="AJ166" s="30">
        <v>3.1314999999999998E-13</v>
      </c>
      <c r="AL166" s="6"/>
      <c r="AM166" s="3">
        <v>1.26007E-14</v>
      </c>
      <c r="AN166" s="3">
        <v>1.0866600000000001E-13</v>
      </c>
      <c r="AO166" s="3">
        <v>9.4443000000000002E-14</v>
      </c>
      <c r="AP166" s="30">
        <v>1.07418E-13</v>
      </c>
      <c r="AR166" s="6"/>
      <c r="AS166" s="3">
        <v>2.8944599999999999E-14</v>
      </c>
      <c r="AT166" s="3">
        <v>6.4750999999999998E-14</v>
      </c>
      <c r="AU166" s="30">
        <v>1.8714199999999999E-15</v>
      </c>
      <c r="AV166" s="3">
        <v>2.60751E-14</v>
      </c>
    </row>
    <row r="167" spans="2:48" x14ac:dyDescent="0.25">
      <c r="B167" s="4">
        <v>2.1216100000000002E-15</v>
      </c>
      <c r="C167" s="31">
        <v>2.30683E-13</v>
      </c>
      <c r="D167" s="5">
        <v>1.78121E-12</v>
      </c>
      <c r="E167" s="3">
        <v>1.8984899999999999E-12</v>
      </c>
      <c r="F167" s="30">
        <v>1.9279299999999998E-12</v>
      </c>
      <c r="H167" s="3">
        <v>1.248E-16</v>
      </c>
      <c r="I167" s="3">
        <v>7.2361399999999994E-14</v>
      </c>
      <c r="J167" s="3">
        <v>6.6098399999999996E-13</v>
      </c>
      <c r="K167" s="3">
        <v>7.0352700000000002E-13</v>
      </c>
      <c r="L167" s="30">
        <v>6.4114700000000003E-13</v>
      </c>
      <c r="N167" s="6"/>
      <c r="O167" s="3">
        <v>8.4213700000000004E-14</v>
      </c>
      <c r="P167" s="3">
        <v>6.9728899999999998E-13</v>
      </c>
      <c r="Q167" s="3">
        <v>7.37088E-13</v>
      </c>
      <c r="R167" s="30">
        <v>7.3159899999999996E-13</v>
      </c>
      <c r="T167" s="6"/>
      <c r="U167" s="3">
        <v>6.8119500000000006E-14</v>
      </c>
      <c r="V167" s="3">
        <v>7.3010099999999996E-13</v>
      </c>
      <c r="W167" s="3">
        <v>7.63787E-13</v>
      </c>
      <c r="X167" s="35">
        <v>7.3821100000000001E-13</v>
      </c>
      <c r="Z167" s="6"/>
      <c r="AA167" s="3">
        <v>9.0327099999999997E-14</v>
      </c>
      <c r="AB167" s="3">
        <v>7.1438199999999997E-13</v>
      </c>
      <c r="AC167" s="3">
        <v>7.54181E-13</v>
      </c>
      <c r="AD167" s="30">
        <v>6.8568699999999996E-13</v>
      </c>
      <c r="AF167" s="6"/>
      <c r="AG167" s="3">
        <v>4.5038699999999997E-14</v>
      </c>
      <c r="AH167" s="3">
        <v>3.2238199999999998E-13</v>
      </c>
      <c r="AI167" s="3">
        <v>3.3785200000000001E-13</v>
      </c>
      <c r="AJ167" s="30">
        <v>3.1102900000000002E-13</v>
      </c>
      <c r="AL167" s="6"/>
      <c r="AM167" s="3">
        <v>1.17274E-14</v>
      </c>
      <c r="AN167" s="3">
        <v>1.0841599999999999E-13</v>
      </c>
      <c r="AO167" s="3">
        <v>9.2696400000000003E-14</v>
      </c>
      <c r="AP167" s="30">
        <v>1.0716800000000001E-13</v>
      </c>
      <c r="AR167" s="6"/>
      <c r="AS167" s="3">
        <v>2.7821699999999998E-14</v>
      </c>
      <c r="AT167" s="3">
        <v>6.3877600000000004E-14</v>
      </c>
      <c r="AU167" s="30">
        <v>8.7582199999999999E-14</v>
      </c>
      <c r="AV167" s="3">
        <v>2.54512E-14</v>
      </c>
    </row>
    <row r="168" spans="2:48" x14ac:dyDescent="0.25">
      <c r="B168" s="4">
        <v>1.8720099999999998E-15</v>
      </c>
      <c r="C168" s="31">
        <v>2.3005900000000001E-13</v>
      </c>
      <c r="D168" s="5">
        <v>1.7809599999999999E-12</v>
      </c>
      <c r="E168" s="3">
        <v>1.829E-12</v>
      </c>
      <c r="F168" s="30">
        <v>1.9006099999999999E-12</v>
      </c>
      <c r="H168" s="2"/>
      <c r="I168" s="3">
        <v>7.12385E-14</v>
      </c>
      <c r="J168" s="3">
        <v>6.4900599999999999E-13</v>
      </c>
      <c r="K168" s="3">
        <v>6.9441900000000001E-13</v>
      </c>
      <c r="L168" s="30">
        <v>6.4077200000000005E-13</v>
      </c>
      <c r="N168" s="6"/>
      <c r="O168" s="3">
        <v>8.3340400000000005E-14</v>
      </c>
      <c r="P168" s="3">
        <v>6.8942900000000005E-13</v>
      </c>
      <c r="Q168" s="3">
        <v>7.2635899999999997E-13</v>
      </c>
      <c r="R168" s="30">
        <v>7.3159899999999996E-13</v>
      </c>
      <c r="T168" s="6"/>
      <c r="U168" s="3">
        <v>6.6996700000000006E-14</v>
      </c>
      <c r="V168" s="3">
        <v>7.2897800000000005E-13</v>
      </c>
      <c r="W168" s="3">
        <v>7.5854700000000002E-13</v>
      </c>
      <c r="X168" s="35">
        <v>7.2124299999999998E-13</v>
      </c>
      <c r="Z168" s="6"/>
      <c r="AA168" s="3">
        <v>8.9828000000000001E-14</v>
      </c>
      <c r="AB168" s="3">
        <v>7.1151299999999998E-13</v>
      </c>
      <c r="AC168" s="3">
        <v>7.3733800000000002E-13</v>
      </c>
      <c r="AD168" s="30">
        <v>6.5349900000000002E-13</v>
      </c>
      <c r="AF168" s="6"/>
      <c r="AG168" s="3">
        <v>4.49139E-14</v>
      </c>
      <c r="AH168" s="3">
        <v>3.10155E-13</v>
      </c>
      <c r="AI168" s="3">
        <v>3.2462800000000001E-13</v>
      </c>
      <c r="AJ168" s="30">
        <v>3.1040499999999998E-13</v>
      </c>
      <c r="AL168" s="6"/>
      <c r="AM168" s="3">
        <v>1.06046E-14</v>
      </c>
      <c r="AN168" s="3">
        <v>1.03051E-13</v>
      </c>
      <c r="AO168" s="3">
        <v>8.5335499999999995E-14</v>
      </c>
      <c r="AP168" s="30">
        <v>1.05547E-13</v>
      </c>
      <c r="AR168" s="6"/>
      <c r="AS168" s="3">
        <v>2.7821699999999998E-14</v>
      </c>
      <c r="AT168" s="3">
        <v>6.3628100000000004E-14</v>
      </c>
      <c r="AU168" s="30">
        <v>3.7428299999999999E-16</v>
      </c>
      <c r="AV168" s="3">
        <v>2.45779E-14</v>
      </c>
    </row>
    <row r="169" spans="2:48" x14ac:dyDescent="0.25">
      <c r="B169" s="4">
        <v>1.8720099999999998E-15</v>
      </c>
      <c r="C169" s="31">
        <v>2.2856199999999998E-13</v>
      </c>
      <c r="D169" s="5">
        <v>1.7780899999999999E-12</v>
      </c>
      <c r="E169" s="3">
        <v>1.8245099999999999E-12</v>
      </c>
      <c r="F169" s="30">
        <v>1.89125E-12</v>
      </c>
      <c r="H169" s="2"/>
      <c r="I169" s="3">
        <v>7.12385E-14</v>
      </c>
      <c r="J169" s="3">
        <v>6.4800800000000004E-13</v>
      </c>
      <c r="K169" s="3">
        <v>6.8693399999999997E-13</v>
      </c>
      <c r="L169" s="30">
        <v>6.3815200000000001E-13</v>
      </c>
      <c r="N169" s="6"/>
      <c r="O169" s="3">
        <v>8.3340400000000005E-14</v>
      </c>
      <c r="P169" s="3">
        <v>6.7021599999999996E-13</v>
      </c>
      <c r="Q169" s="3">
        <v>7.1725099999999997E-13</v>
      </c>
      <c r="R169" s="30">
        <v>7.2735700000000003E-13</v>
      </c>
      <c r="T169" s="6"/>
      <c r="U169" s="3">
        <v>6.6996700000000006E-14</v>
      </c>
      <c r="V169" s="3">
        <v>7.1250999999999996E-13</v>
      </c>
      <c r="W169" s="3">
        <v>7.5068699999999999E-13</v>
      </c>
      <c r="X169" s="35">
        <v>7.1824900000000002E-13</v>
      </c>
      <c r="Z169" s="6"/>
      <c r="AA169" s="3">
        <v>8.9204200000000002E-14</v>
      </c>
      <c r="AB169" s="3">
        <v>7.1126299999999996E-13</v>
      </c>
      <c r="AC169" s="3">
        <v>7.2149399999999997E-13</v>
      </c>
      <c r="AD169" s="30">
        <v>6.5175199999999997E-13</v>
      </c>
      <c r="AF169" s="6"/>
      <c r="AG169" s="3">
        <v>4.2917699999999999E-14</v>
      </c>
      <c r="AH169" s="3">
        <v>3.0853399999999999E-13</v>
      </c>
      <c r="AI169" s="3">
        <v>3.24503E-13</v>
      </c>
      <c r="AJ169" s="30">
        <v>3.0466600000000002E-13</v>
      </c>
      <c r="AL169" s="6"/>
      <c r="AM169" s="3">
        <v>1.01055E-14</v>
      </c>
      <c r="AN169" s="3">
        <v>1.00806E-13</v>
      </c>
      <c r="AO169" s="3">
        <v>8.3214599999999998E-14</v>
      </c>
      <c r="AP169" s="30">
        <v>1.03051E-13</v>
      </c>
      <c r="AR169" s="6"/>
      <c r="AS169" s="3">
        <v>2.73227E-14</v>
      </c>
      <c r="AT169" s="3">
        <v>6.3004300000000005E-14</v>
      </c>
      <c r="AU169" s="30">
        <v>4.9904399999999999E-16</v>
      </c>
      <c r="AV169" s="3">
        <v>2.3704600000000001E-14</v>
      </c>
    </row>
    <row r="170" spans="2:48" x14ac:dyDescent="0.25">
      <c r="B170" s="4">
        <v>1.4976100000000001E-15</v>
      </c>
      <c r="C170" s="31">
        <v>2.26816E-13</v>
      </c>
      <c r="D170" s="5">
        <v>1.7741000000000001E-12</v>
      </c>
      <c r="E170" s="3">
        <v>1.81166E-12</v>
      </c>
      <c r="F170" s="30">
        <v>1.8419700000000001E-12</v>
      </c>
      <c r="H170" s="2"/>
      <c r="I170" s="3">
        <v>7.1113700000000002E-14</v>
      </c>
      <c r="J170" s="3">
        <v>6.46137E-13</v>
      </c>
      <c r="K170" s="3">
        <v>6.8655999999999995E-13</v>
      </c>
      <c r="L170" s="30">
        <v>6.3166500000000002E-13</v>
      </c>
      <c r="N170" s="6"/>
      <c r="O170" s="3">
        <v>8.2342299999999995E-14</v>
      </c>
      <c r="P170" s="3">
        <v>6.5911200000000005E-13</v>
      </c>
      <c r="Q170" s="3">
        <v>7.1612799999999996E-13</v>
      </c>
      <c r="R170" s="30">
        <v>7.2274099999999998E-13</v>
      </c>
      <c r="T170" s="6"/>
      <c r="U170" s="3">
        <v>6.6248099999999997E-14</v>
      </c>
      <c r="V170" s="3">
        <v>6.9167499999999998E-13</v>
      </c>
      <c r="W170" s="3">
        <v>7.5031299999999998E-13</v>
      </c>
      <c r="X170" s="35">
        <v>6.9928499999999998E-13</v>
      </c>
      <c r="Z170" s="6"/>
      <c r="AA170" s="3">
        <v>8.7956600000000005E-14</v>
      </c>
      <c r="AB170" s="3">
        <v>6.85562E-13</v>
      </c>
      <c r="AC170" s="3">
        <v>7.0976600000000003E-13</v>
      </c>
      <c r="AD170" s="30">
        <v>6.4900699999999996E-13</v>
      </c>
      <c r="AF170" s="6"/>
      <c r="AG170" s="3">
        <v>4.0547300000000002E-14</v>
      </c>
      <c r="AH170" s="3">
        <v>2.9306299999999998E-13</v>
      </c>
      <c r="AI170" s="3">
        <v>3.1140299999999998E-13</v>
      </c>
      <c r="AJ170" s="30">
        <v>2.9730500000000001E-13</v>
      </c>
      <c r="AL170" s="6"/>
      <c r="AM170" s="3">
        <v>1.01055E-14</v>
      </c>
      <c r="AN170" s="3">
        <v>9.5815300000000003E-14</v>
      </c>
      <c r="AO170" s="3">
        <v>8.2091799999999998E-14</v>
      </c>
      <c r="AP170" s="30">
        <v>1.0167900000000001E-13</v>
      </c>
      <c r="AR170" s="6"/>
      <c r="AS170" s="3">
        <v>2.7073099999999999E-14</v>
      </c>
      <c r="AT170" s="3">
        <v>6.0758599999999998E-14</v>
      </c>
      <c r="AU170" s="30">
        <v>4.9904399999999999E-16</v>
      </c>
      <c r="AV170" s="3">
        <v>2.32056E-14</v>
      </c>
    </row>
    <row r="171" spans="2:48" x14ac:dyDescent="0.25">
      <c r="B171" s="4">
        <v>1.4976100000000001E-15</v>
      </c>
      <c r="C171" s="31">
        <v>2.26566E-13</v>
      </c>
      <c r="D171" s="5">
        <v>1.7719800000000001E-12</v>
      </c>
      <c r="E171" s="3">
        <v>1.80055E-12</v>
      </c>
      <c r="F171" s="30">
        <v>1.82962E-12</v>
      </c>
      <c r="H171" s="2"/>
      <c r="I171" s="3">
        <v>7.0739499999999999E-14</v>
      </c>
      <c r="J171" s="3">
        <v>6.3914999999999996E-13</v>
      </c>
      <c r="K171" s="3">
        <v>6.8631000000000003E-13</v>
      </c>
      <c r="L171" s="30">
        <v>6.3153999999999995E-13</v>
      </c>
      <c r="N171" s="6"/>
      <c r="O171" s="3">
        <v>8.07204E-14</v>
      </c>
      <c r="P171" s="3">
        <v>6.46137E-13</v>
      </c>
      <c r="Q171" s="3">
        <v>7.1513E-13</v>
      </c>
      <c r="R171" s="30">
        <v>7.2261600000000002E-13</v>
      </c>
      <c r="T171" s="6"/>
      <c r="U171" s="3">
        <v>6.5998599999999996E-14</v>
      </c>
      <c r="V171" s="3">
        <v>6.8593600000000002E-13</v>
      </c>
      <c r="W171" s="3">
        <v>7.2910300000000001E-13</v>
      </c>
      <c r="X171" s="35">
        <v>6.95543E-13</v>
      </c>
      <c r="Z171" s="6"/>
      <c r="AA171" s="3">
        <v>8.7707100000000004E-14</v>
      </c>
      <c r="AB171" s="3">
        <v>6.85562E-13</v>
      </c>
      <c r="AC171" s="3">
        <v>6.95543E-13</v>
      </c>
      <c r="AD171" s="30">
        <v>6.4888299999999997E-13</v>
      </c>
      <c r="AF171" s="6"/>
      <c r="AG171" s="3">
        <v>4.0172999999999997E-14</v>
      </c>
      <c r="AH171" s="3">
        <v>2.8894600000000001E-13</v>
      </c>
      <c r="AI171" s="3">
        <v>3.1077899999999999E-13</v>
      </c>
      <c r="AJ171" s="30">
        <v>2.9493499999999999E-13</v>
      </c>
      <c r="AL171" s="6"/>
      <c r="AM171" s="3">
        <v>9.8560100000000006E-15</v>
      </c>
      <c r="AN171" s="3">
        <v>9.3694400000000006E-14</v>
      </c>
      <c r="AO171" s="3">
        <v>8.1592799999999997E-14</v>
      </c>
      <c r="AP171" s="30">
        <v>9.9682900000000006E-14</v>
      </c>
      <c r="AR171" s="6"/>
      <c r="AS171" s="3">
        <v>2.5576000000000001E-14</v>
      </c>
      <c r="AT171" s="3">
        <v>6.0384299999999999E-14</v>
      </c>
      <c r="AU171" s="30">
        <v>3.7428299999999999E-16</v>
      </c>
      <c r="AV171" s="3">
        <v>2.32056E-14</v>
      </c>
    </row>
    <row r="172" spans="2:48" x14ac:dyDescent="0.25">
      <c r="B172" s="4">
        <v>1.3728099999999999E-15</v>
      </c>
      <c r="C172" s="31">
        <v>2.25318E-13</v>
      </c>
      <c r="D172" s="5">
        <v>1.76549E-12</v>
      </c>
      <c r="E172" s="3">
        <v>1.7926899999999999E-12</v>
      </c>
      <c r="F172" s="30">
        <v>1.78808E-12</v>
      </c>
      <c r="H172" s="2"/>
      <c r="I172" s="3">
        <v>6.9117600000000003E-14</v>
      </c>
      <c r="J172" s="3">
        <v>6.3902599999999997E-13</v>
      </c>
      <c r="K172" s="3">
        <v>6.7969799999999998E-13</v>
      </c>
      <c r="L172" s="30">
        <v>6.30542E-13</v>
      </c>
      <c r="N172" s="6"/>
      <c r="O172" s="3">
        <v>7.8973700000000006E-14</v>
      </c>
      <c r="P172" s="3">
        <v>6.3253800000000001E-13</v>
      </c>
      <c r="Q172" s="3">
        <v>6.9416999999999996E-13</v>
      </c>
      <c r="R172" s="30">
        <v>7.22242E-13</v>
      </c>
      <c r="T172" s="6"/>
      <c r="U172" s="3">
        <v>6.5749000000000001E-14</v>
      </c>
      <c r="V172" s="3">
        <v>6.7707800000000004E-13</v>
      </c>
      <c r="W172" s="3">
        <v>7.14381E-13</v>
      </c>
      <c r="X172" s="35">
        <v>6.7820100000000005E-13</v>
      </c>
      <c r="Z172" s="6"/>
      <c r="AA172" s="3">
        <v>8.5087099999999998E-14</v>
      </c>
      <c r="AB172" s="3">
        <v>6.8019800000000003E-13</v>
      </c>
      <c r="AC172" s="3">
        <v>6.8518799999999999E-13</v>
      </c>
      <c r="AD172" s="30">
        <v>6.4551400000000003E-13</v>
      </c>
      <c r="AF172" s="6"/>
      <c r="AG172" s="3">
        <v>3.7677800000000002E-14</v>
      </c>
      <c r="AH172" s="3">
        <v>2.8482899999999999E-13</v>
      </c>
      <c r="AI172" s="3">
        <v>3.0878299999999999E-13</v>
      </c>
      <c r="AJ172" s="30">
        <v>2.81336E-13</v>
      </c>
      <c r="AL172" s="6"/>
      <c r="AM172" s="3">
        <v>9.6064900000000004E-15</v>
      </c>
      <c r="AN172" s="3">
        <v>9.1199199999999998E-14</v>
      </c>
      <c r="AO172" s="3">
        <v>7.9471800000000005E-14</v>
      </c>
      <c r="AP172" s="30">
        <v>9.8310499999999998E-14</v>
      </c>
      <c r="AR172" s="6"/>
      <c r="AS172" s="3">
        <v>2.53265E-14</v>
      </c>
      <c r="AT172" s="3">
        <v>5.8637700000000001E-14</v>
      </c>
      <c r="AU172" s="30">
        <v>8.7332699999999998E-16</v>
      </c>
      <c r="AV172" s="3">
        <v>2.2706500000000001E-14</v>
      </c>
    </row>
    <row r="173" spans="2:48" x14ac:dyDescent="0.25">
      <c r="B173" s="4">
        <v>1.3728099999999999E-15</v>
      </c>
      <c r="C173" s="31">
        <v>2.2519400000000001E-13</v>
      </c>
      <c r="D173" s="5">
        <v>1.7199600000000001E-12</v>
      </c>
      <c r="E173" s="3">
        <v>1.78957E-12</v>
      </c>
      <c r="F173" s="30">
        <v>1.7753499999999999E-12</v>
      </c>
      <c r="H173" s="2"/>
      <c r="I173" s="3">
        <v>6.9117600000000003E-14</v>
      </c>
      <c r="J173" s="3">
        <v>6.33411E-13</v>
      </c>
      <c r="K173" s="3">
        <v>6.7757700000000001E-13</v>
      </c>
      <c r="L173" s="30">
        <v>6.2717299999999996E-13</v>
      </c>
      <c r="N173" s="6"/>
      <c r="O173" s="3">
        <v>7.8973700000000006E-14</v>
      </c>
      <c r="P173" s="3">
        <v>6.1282600000000004E-13</v>
      </c>
      <c r="Q173" s="3">
        <v>6.9067700000000003E-13</v>
      </c>
      <c r="R173" s="30">
        <v>7.1425700000000001E-13</v>
      </c>
      <c r="T173" s="6"/>
      <c r="U173" s="3">
        <v>6.54995E-14</v>
      </c>
      <c r="V173" s="3">
        <v>6.6984200000000005E-13</v>
      </c>
      <c r="W173" s="3">
        <v>7.1388200000000003E-13</v>
      </c>
      <c r="X173" s="35">
        <v>6.7520600000000002E-13</v>
      </c>
      <c r="Z173" s="6"/>
      <c r="AA173" s="3">
        <v>8.3964200000000004E-14</v>
      </c>
      <c r="AB173" s="3">
        <v>6.7944900000000003E-13</v>
      </c>
      <c r="AC173" s="3">
        <v>6.8319199999999998E-13</v>
      </c>
      <c r="AD173" s="30">
        <v>6.4214599999999996E-13</v>
      </c>
      <c r="AF173" s="6"/>
      <c r="AG173" s="3">
        <v>3.7303499999999997E-14</v>
      </c>
      <c r="AH173" s="3">
        <v>2.8283299999999998E-13</v>
      </c>
      <c r="AI173" s="3">
        <v>3.0142199999999999E-13</v>
      </c>
      <c r="AJ173" s="30">
        <v>2.6898400000000002E-13</v>
      </c>
      <c r="AL173" s="6"/>
      <c r="AM173" s="3">
        <v>9.2322100000000002E-15</v>
      </c>
      <c r="AN173" s="3">
        <v>9.0700199999999997E-14</v>
      </c>
      <c r="AO173" s="3">
        <v>7.7725199999999994E-14</v>
      </c>
      <c r="AP173" s="30">
        <v>9.3819200000000003E-14</v>
      </c>
      <c r="AR173" s="6"/>
      <c r="AS173" s="3">
        <v>2.53265E-14</v>
      </c>
      <c r="AT173" s="3">
        <v>5.8512900000000003E-14</v>
      </c>
      <c r="AU173" s="30">
        <v>1.0355200000000001E-14</v>
      </c>
      <c r="AV173" s="3">
        <v>2.1957900000000001E-14</v>
      </c>
    </row>
    <row r="174" spans="2:48" x14ac:dyDescent="0.25">
      <c r="B174" s="4">
        <v>1.3728099999999999E-15</v>
      </c>
      <c r="C174" s="31">
        <v>2.2294800000000001E-13</v>
      </c>
      <c r="D174" s="5">
        <v>1.70137E-12</v>
      </c>
      <c r="E174" s="3">
        <v>1.7820899999999999E-12</v>
      </c>
      <c r="F174" s="30">
        <v>1.76949E-12</v>
      </c>
      <c r="H174" s="2"/>
      <c r="I174" s="3">
        <v>6.8368999999999994E-14</v>
      </c>
      <c r="J174" s="3">
        <v>6.3266299999999997E-13</v>
      </c>
      <c r="K174" s="3">
        <v>6.6260499999999998E-13</v>
      </c>
      <c r="L174" s="30">
        <v>6.1918900000000004E-13</v>
      </c>
      <c r="N174" s="6"/>
      <c r="O174" s="3">
        <v>7.8849000000000003E-14</v>
      </c>
      <c r="P174" s="3">
        <v>6.1058000000000001E-13</v>
      </c>
      <c r="Q174" s="3">
        <v>6.7246199999999999E-13</v>
      </c>
      <c r="R174" s="30">
        <v>7.0702100000000002E-13</v>
      </c>
      <c r="T174" s="6"/>
      <c r="U174" s="3">
        <v>6.3877600000000004E-14</v>
      </c>
      <c r="V174" s="3">
        <v>6.6572499999999997E-13</v>
      </c>
      <c r="W174" s="3">
        <v>7.1113799999999999E-13</v>
      </c>
      <c r="X174" s="35">
        <v>6.6248099999999999E-13</v>
      </c>
      <c r="Z174" s="6"/>
      <c r="AA174" s="3">
        <v>8.3215700000000002E-14</v>
      </c>
      <c r="AB174" s="3">
        <v>6.7895000000000005E-13</v>
      </c>
      <c r="AC174" s="3">
        <v>6.7732799999999996E-13</v>
      </c>
      <c r="AD174" s="30">
        <v>6.3653099999999999E-13</v>
      </c>
      <c r="AF174" s="6"/>
      <c r="AG174" s="3">
        <v>3.5681600000000001E-14</v>
      </c>
      <c r="AH174" s="3">
        <v>2.8270800000000002E-13</v>
      </c>
      <c r="AI174" s="3">
        <v>2.9431100000000001E-13</v>
      </c>
      <c r="AJ174" s="30">
        <v>2.6736199999999998E-13</v>
      </c>
      <c r="AL174" s="6"/>
      <c r="AM174" s="3">
        <v>8.98269E-15</v>
      </c>
      <c r="AN174" s="3">
        <v>8.9577399999999997E-14</v>
      </c>
      <c r="AO174" s="3">
        <v>7.5229999999999999E-14</v>
      </c>
      <c r="AP174" s="30">
        <v>9.1074499999999995E-14</v>
      </c>
      <c r="AR174" s="6"/>
      <c r="AS174" s="3">
        <v>2.5076999999999999E-14</v>
      </c>
      <c r="AT174" s="3">
        <v>5.6890999999999995E-14</v>
      </c>
      <c r="AU174" s="30">
        <v>3.7428299999999999E-16</v>
      </c>
      <c r="AV174" s="3">
        <v>2.1957900000000001E-14</v>
      </c>
    </row>
    <row r="175" spans="2:48" x14ac:dyDescent="0.25">
      <c r="B175" s="4">
        <v>1.3728099999999999E-15</v>
      </c>
      <c r="C175" s="31">
        <v>2.2257399999999999E-13</v>
      </c>
      <c r="D175" s="5">
        <v>1.70049E-12</v>
      </c>
      <c r="E175" s="3">
        <v>1.7799699999999999E-12</v>
      </c>
      <c r="F175" s="30">
        <v>1.7622500000000001E-12</v>
      </c>
      <c r="H175" s="2"/>
      <c r="I175" s="3">
        <v>6.8119500000000006E-14</v>
      </c>
      <c r="J175" s="3">
        <v>6.2692400000000001E-13</v>
      </c>
      <c r="K175" s="3">
        <v>6.6148300000000004E-13</v>
      </c>
      <c r="L175" s="30">
        <v>6.1756700000000005E-13</v>
      </c>
      <c r="N175" s="6"/>
      <c r="O175" s="3">
        <v>7.8225200000000004E-14</v>
      </c>
      <c r="P175" s="3">
        <v>6.0446700000000003E-13</v>
      </c>
      <c r="Q175" s="3">
        <v>6.71589E-13</v>
      </c>
      <c r="R175" s="30">
        <v>7.0228000000000001E-13</v>
      </c>
      <c r="T175" s="6"/>
      <c r="U175" s="3">
        <v>6.3752900000000001E-14</v>
      </c>
      <c r="V175" s="3">
        <v>6.6510100000000004E-13</v>
      </c>
      <c r="W175" s="3">
        <v>6.9666500000000004E-13</v>
      </c>
      <c r="X175" s="35">
        <v>6.5786500000000004E-13</v>
      </c>
      <c r="Z175" s="6"/>
      <c r="AA175" s="3">
        <v>8.2841400000000004E-14</v>
      </c>
      <c r="AB175" s="3">
        <v>6.7483299999999998E-13</v>
      </c>
      <c r="AC175" s="3">
        <v>6.7695400000000005E-13</v>
      </c>
      <c r="AD175" s="30">
        <v>6.2380599999999996E-13</v>
      </c>
      <c r="AF175" s="6"/>
      <c r="AG175" s="3">
        <v>3.5307299999999997E-14</v>
      </c>
      <c r="AH175" s="3">
        <v>2.7884E-13</v>
      </c>
      <c r="AI175" s="3">
        <v>2.8283299999999998E-13</v>
      </c>
      <c r="AJ175" s="30">
        <v>2.6611500000000002E-13</v>
      </c>
      <c r="AL175" s="6"/>
      <c r="AM175" s="3">
        <v>8.98269E-15</v>
      </c>
      <c r="AN175" s="3">
        <v>8.8205000000000001E-14</v>
      </c>
      <c r="AO175" s="3">
        <v>7.1861500000000004E-14</v>
      </c>
      <c r="AP175" s="30">
        <v>9.0949699999999997E-14</v>
      </c>
      <c r="AR175" s="6"/>
      <c r="AS175" s="3">
        <v>2.5076999999999999E-14</v>
      </c>
      <c r="AT175" s="3">
        <v>5.1651099999999997E-14</v>
      </c>
      <c r="AU175" s="30">
        <v>3.7428299999999999E-16</v>
      </c>
      <c r="AV175" s="3">
        <v>2.1833200000000001E-14</v>
      </c>
    </row>
    <row r="176" spans="2:48" x14ac:dyDescent="0.25">
      <c r="B176" s="4">
        <v>1.3728099999999999E-15</v>
      </c>
      <c r="C176" s="31">
        <v>2.2132599999999999E-13</v>
      </c>
      <c r="D176" s="5">
        <v>1.66207E-12</v>
      </c>
      <c r="E176" s="3">
        <v>1.77847E-12</v>
      </c>
      <c r="F176" s="30">
        <v>1.76038E-12</v>
      </c>
      <c r="H176" s="2"/>
      <c r="I176" s="3">
        <v>6.7994699999999996E-14</v>
      </c>
      <c r="J176" s="3">
        <v>6.2293100000000002E-13</v>
      </c>
      <c r="K176" s="3">
        <v>6.5961100000000003E-13</v>
      </c>
      <c r="L176" s="30">
        <v>6.1507199999999997E-13</v>
      </c>
      <c r="N176" s="6"/>
      <c r="O176" s="3">
        <v>7.7975599999999996E-14</v>
      </c>
      <c r="P176" s="3">
        <v>6.0172200000000003E-13</v>
      </c>
      <c r="Q176" s="3">
        <v>6.6996700000000001E-13</v>
      </c>
      <c r="R176" s="30">
        <v>6.8107000000000005E-13</v>
      </c>
      <c r="T176" s="6"/>
      <c r="U176" s="3">
        <v>6.3503300000000006E-14</v>
      </c>
      <c r="V176" s="3">
        <v>6.6360400000000001E-13</v>
      </c>
      <c r="W176" s="3">
        <v>6.9055199999999996E-13</v>
      </c>
      <c r="X176" s="35">
        <v>6.5499499999999998E-13</v>
      </c>
      <c r="Z176" s="6"/>
      <c r="AA176" s="3">
        <v>8.1593800000000006E-14</v>
      </c>
      <c r="AB176" s="3">
        <v>6.7420900000000004E-13</v>
      </c>
      <c r="AC176" s="3">
        <v>6.6372899999999997E-13</v>
      </c>
      <c r="AD176" s="30">
        <v>6.2193400000000004E-13</v>
      </c>
      <c r="AF176" s="6"/>
      <c r="AG176" s="3">
        <v>3.4433999999999997E-14</v>
      </c>
      <c r="AH176" s="3">
        <v>2.7609600000000002E-13</v>
      </c>
      <c r="AI176" s="3">
        <v>2.77842E-13</v>
      </c>
      <c r="AJ176" s="30">
        <v>2.6536600000000002E-13</v>
      </c>
      <c r="AL176" s="6"/>
      <c r="AM176" s="3">
        <v>8.98269E-15</v>
      </c>
      <c r="AN176" s="3">
        <v>8.6707900000000003E-14</v>
      </c>
      <c r="AO176" s="3">
        <v>7.1861500000000004E-14</v>
      </c>
      <c r="AP176" s="30">
        <v>8.9826899999999997E-14</v>
      </c>
      <c r="AR176" s="6"/>
      <c r="AS176" s="3">
        <v>2.4453200000000001E-14</v>
      </c>
      <c r="AT176" s="3">
        <v>4.8781599999999997E-14</v>
      </c>
      <c r="AU176" s="30">
        <v>4.9904399999999999E-16</v>
      </c>
      <c r="AV176" s="3">
        <v>2.1708400000000001E-14</v>
      </c>
    </row>
    <row r="177" spans="2:48" x14ac:dyDescent="0.25">
      <c r="B177" s="4">
        <v>1.3728099999999999E-15</v>
      </c>
      <c r="C177" s="31">
        <v>2.20453E-13</v>
      </c>
      <c r="D177" s="5">
        <v>1.66132E-12</v>
      </c>
      <c r="E177" s="3">
        <v>1.7724799999999999E-12</v>
      </c>
      <c r="F177" s="30">
        <v>1.7576300000000001E-12</v>
      </c>
      <c r="H177" s="2"/>
      <c r="I177" s="3">
        <v>6.7745199999999995E-14</v>
      </c>
      <c r="J177" s="3">
        <v>6.2268199999999997E-13</v>
      </c>
      <c r="K177" s="3">
        <v>6.5674200000000003E-13</v>
      </c>
      <c r="L177" s="30">
        <v>6.1170300000000002E-13</v>
      </c>
      <c r="N177" s="6"/>
      <c r="O177" s="3">
        <v>7.7601400000000005E-14</v>
      </c>
      <c r="P177" s="3">
        <v>5.9910199999999999E-13</v>
      </c>
      <c r="Q177" s="3">
        <v>6.6884399999999999E-13</v>
      </c>
      <c r="R177" s="30">
        <v>6.7944799999999995E-13</v>
      </c>
      <c r="T177" s="6"/>
      <c r="U177" s="3">
        <v>6.3503300000000006E-14</v>
      </c>
      <c r="V177" s="3">
        <v>6.6297999999999997E-13</v>
      </c>
      <c r="W177" s="3">
        <v>6.8668400000000005E-13</v>
      </c>
      <c r="X177" s="35">
        <v>6.53249E-13</v>
      </c>
      <c r="Z177" s="6"/>
      <c r="AA177" s="3">
        <v>8.1094699999999998E-14</v>
      </c>
      <c r="AB177" s="3">
        <v>6.6634900000000001E-13</v>
      </c>
      <c r="AC177" s="3">
        <v>6.5699199999999995E-13</v>
      </c>
      <c r="AD177" s="30">
        <v>6.1282700000000001E-13</v>
      </c>
      <c r="AF177" s="6"/>
      <c r="AG177" s="3">
        <v>3.3685400000000001E-14</v>
      </c>
      <c r="AH177" s="3">
        <v>2.7572099999999998E-13</v>
      </c>
      <c r="AI177" s="3">
        <v>2.7272699999999997E-13</v>
      </c>
      <c r="AJ177" s="30">
        <v>2.6149900000000003E-13</v>
      </c>
      <c r="AL177" s="6"/>
      <c r="AM177" s="3">
        <v>8.85793E-15</v>
      </c>
      <c r="AN177" s="3">
        <v>8.3214599999999998E-14</v>
      </c>
      <c r="AO177" s="3">
        <v>7.0239599999999995E-14</v>
      </c>
      <c r="AP177" s="30">
        <v>8.88288E-14</v>
      </c>
      <c r="AR177" s="6"/>
      <c r="AS177" s="3">
        <v>2.4078899999999999E-14</v>
      </c>
      <c r="AT177" s="3">
        <v>4.86568E-14</v>
      </c>
      <c r="AU177" s="30">
        <v>2.5887899999999998E-13</v>
      </c>
      <c r="AV177" s="3">
        <v>2.0585600000000001E-14</v>
      </c>
    </row>
    <row r="178" spans="2:48" x14ac:dyDescent="0.25">
      <c r="B178" s="4">
        <v>1.2480099999999999E-15</v>
      </c>
      <c r="C178" s="31">
        <v>2.1957899999999999E-13</v>
      </c>
      <c r="D178" s="5">
        <v>1.6509600000000001E-12</v>
      </c>
      <c r="E178" s="3">
        <v>1.76624E-12</v>
      </c>
      <c r="F178" s="30">
        <v>1.7518899999999999E-12</v>
      </c>
      <c r="H178" s="2"/>
      <c r="I178" s="3">
        <v>6.6996599999999998E-14</v>
      </c>
      <c r="J178" s="3">
        <v>6.1544599999999998E-13</v>
      </c>
      <c r="K178" s="3">
        <v>6.5611799999999999E-13</v>
      </c>
      <c r="L178" s="30">
        <v>6.1095400000000002E-13</v>
      </c>
      <c r="N178" s="6"/>
      <c r="O178" s="3">
        <v>7.6852799999999996E-14</v>
      </c>
      <c r="P178" s="3">
        <v>5.8225999999999998E-13</v>
      </c>
      <c r="Q178" s="3">
        <v>6.5823899999999996E-13</v>
      </c>
      <c r="R178" s="30">
        <v>6.5262499999999996E-13</v>
      </c>
      <c r="T178" s="6"/>
      <c r="U178" s="3">
        <v>6.3378600000000003E-14</v>
      </c>
      <c r="V178" s="3">
        <v>6.6235600000000003E-13</v>
      </c>
      <c r="W178" s="3">
        <v>6.8631000000000003E-13</v>
      </c>
      <c r="X178" s="35">
        <v>6.5050399999999999E-13</v>
      </c>
      <c r="Z178" s="6"/>
      <c r="AA178" s="3">
        <v>8.07204E-14</v>
      </c>
      <c r="AB178" s="3">
        <v>6.6298100000000004E-13</v>
      </c>
      <c r="AC178" s="3">
        <v>6.4925699999999999E-13</v>
      </c>
      <c r="AD178" s="30">
        <v>6.0771100000000001E-13</v>
      </c>
      <c r="AF178" s="6"/>
      <c r="AG178" s="3">
        <v>3.3560699999999998E-14</v>
      </c>
      <c r="AH178" s="3">
        <v>2.7335100000000001E-13</v>
      </c>
      <c r="AI178" s="3">
        <v>2.6985799999999998E-13</v>
      </c>
      <c r="AJ178" s="30">
        <v>2.59253E-13</v>
      </c>
      <c r="AL178" s="6"/>
      <c r="AM178" s="3">
        <v>8.7331699999999999E-15</v>
      </c>
      <c r="AN178" s="3">
        <v>7.6602399999999994E-14</v>
      </c>
      <c r="AO178" s="3">
        <v>6.66216E-14</v>
      </c>
      <c r="AP178" s="30">
        <v>8.8454500000000002E-14</v>
      </c>
      <c r="AR178" s="6"/>
      <c r="AS178" s="3">
        <v>2.25817E-14</v>
      </c>
      <c r="AT178" s="3">
        <v>4.8532000000000002E-14</v>
      </c>
      <c r="AU178" s="30">
        <v>2.9942600000000002E-14</v>
      </c>
      <c r="AV178" s="3">
        <v>2.04608E-14</v>
      </c>
    </row>
    <row r="179" spans="2:48" x14ac:dyDescent="0.25">
      <c r="B179" s="4">
        <v>1.2480099999999999E-15</v>
      </c>
      <c r="C179" s="31">
        <v>2.1720899999999999E-13</v>
      </c>
      <c r="D179" s="5">
        <v>1.65046E-12</v>
      </c>
      <c r="E179" s="3">
        <v>1.7613799999999999E-12</v>
      </c>
      <c r="F179" s="30">
        <v>1.7497699999999999E-12</v>
      </c>
      <c r="H179" s="2"/>
      <c r="I179" s="3">
        <v>6.6248099999999997E-14</v>
      </c>
      <c r="J179" s="3">
        <v>6.1432299999999997E-13</v>
      </c>
      <c r="K179" s="3">
        <v>6.5487000000000002E-13</v>
      </c>
      <c r="L179" s="30">
        <v>5.9348799999999998E-13</v>
      </c>
      <c r="N179" s="6"/>
      <c r="O179" s="3">
        <v>7.6727999999999999E-14</v>
      </c>
      <c r="P179" s="3">
        <v>5.8001399999999996E-13</v>
      </c>
      <c r="Q179" s="3">
        <v>6.4775899999999999E-13</v>
      </c>
      <c r="R179" s="30">
        <v>6.5050399999999999E-13</v>
      </c>
      <c r="T179" s="6"/>
      <c r="U179" s="3">
        <v>6.3253800000000006E-14</v>
      </c>
      <c r="V179" s="3">
        <v>6.6060899999999998E-13</v>
      </c>
      <c r="W179" s="3">
        <v>6.7607999999999998E-13</v>
      </c>
      <c r="X179" s="35">
        <v>6.4588800000000004E-13</v>
      </c>
      <c r="Z179" s="6"/>
      <c r="AA179" s="3">
        <v>7.98471E-14</v>
      </c>
      <c r="AB179" s="3">
        <v>6.48384E-13</v>
      </c>
      <c r="AC179" s="3">
        <v>6.4626300000000003E-13</v>
      </c>
      <c r="AD179" s="30">
        <v>6.0384399999999997E-13</v>
      </c>
      <c r="AF179" s="6"/>
      <c r="AG179" s="3">
        <v>3.1938800000000002E-14</v>
      </c>
      <c r="AH179" s="3">
        <v>2.7123E-13</v>
      </c>
      <c r="AI179" s="3">
        <v>2.6736199999999998E-13</v>
      </c>
      <c r="AJ179" s="30">
        <v>2.5550999999999999E-13</v>
      </c>
      <c r="AL179" s="6"/>
      <c r="AM179" s="3">
        <v>6.9865400000000001E-15</v>
      </c>
      <c r="AN179" s="3">
        <v>7.5105299999999996E-14</v>
      </c>
      <c r="AO179" s="3">
        <v>6.5249299999999999E-14</v>
      </c>
      <c r="AP179" s="30">
        <v>8.1218499999999999E-14</v>
      </c>
      <c r="AR179" s="6"/>
      <c r="AS179" s="3">
        <v>2.1833200000000001E-14</v>
      </c>
      <c r="AT179" s="3">
        <v>4.8157799999999999E-14</v>
      </c>
      <c r="AU179" s="30">
        <v>1.3723700000000001E-15</v>
      </c>
      <c r="AV179" s="3">
        <v>2.0335999999999999E-14</v>
      </c>
    </row>
    <row r="180" spans="2:48" x14ac:dyDescent="0.25">
      <c r="B180" s="4">
        <v>1.2480099999999999E-15</v>
      </c>
      <c r="C180" s="31">
        <v>2.1496299999999999E-13</v>
      </c>
      <c r="D180" s="5">
        <v>1.6416099999999999E-12</v>
      </c>
      <c r="E180" s="3">
        <v>1.75402E-12</v>
      </c>
      <c r="F180" s="30">
        <v>1.7491500000000001E-12</v>
      </c>
      <c r="H180" s="2"/>
      <c r="I180" s="3">
        <v>6.5873799999999998E-14</v>
      </c>
      <c r="J180" s="3">
        <v>6.0970700000000002E-13</v>
      </c>
      <c r="K180" s="3">
        <v>6.4651100000000001E-13</v>
      </c>
      <c r="L180" s="30">
        <v>5.9348799999999998E-13</v>
      </c>
      <c r="N180" s="6"/>
      <c r="O180" s="3">
        <v>7.5854699999999999E-14</v>
      </c>
      <c r="P180" s="3">
        <v>5.7964000000000004E-13</v>
      </c>
      <c r="Q180" s="3">
        <v>6.2941899999999999E-13</v>
      </c>
      <c r="R180" s="30">
        <v>6.5037900000000003E-13</v>
      </c>
      <c r="T180" s="6"/>
      <c r="U180" s="3">
        <v>6.3004300000000005E-14</v>
      </c>
      <c r="V180" s="3">
        <v>6.4214499999999999E-13</v>
      </c>
      <c r="W180" s="3">
        <v>6.7582999999999996E-13</v>
      </c>
      <c r="X180" s="35">
        <v>6.4339199999999999E-13</v>
      </c>
      <c r="Z180" s="6"/>
      <c r="AA180" s="3">
        <v>7.8599500000000002E-14</v>
      </c>
      <c r="AB180" s="3">
        <v>6.4426599999999995E-13</v>
      </c>
      <c r="AC180" s="3">
        <v>6.4276900000000003E-13</v>
      </c>
      <c r="AD180" s="30">
        <v>5.9710699999999995E-13</v>
      </c>
      <c r="AF180" s="6"/>
      <c r="AG180" s="3">
        <v>3.1564499999999998E-14</v>
      </c>
      <c r="AH180" s="3">
        <v>2.67612E-13</v>
      </c>
      <c r="AI180" s="3">
        <v>2.6499200000000001E-13</v>
      </c>
      <c r="AJ180" s="30">
        <v>2.5526099999999999E-13</v>
      </c>
      <c r="AL180" s="6"/>
      <c r="AM180" s="3">
        <v>6.86178E-15</v>
      </c>
      <c r="AN180" s="3">
        <v>7.4980499999999998E-14</v>
      </c>
      <c r="AO180" s="3">
        <v>6.3128299999999995E-14</v>
      </c>
      <c r="AP180" s="30">
        <v>7.8972800000000004E-14</v>
      </c>
      <c r="AR180" s="6"/>
      <c r="AS180" s="3">
        <v>2.1708400000000001E-14</v>
      </c>
      <c r="AT180" s="3">
        <v>4.69101E-14</v>
      </c>
      <c r="AU180" s="30">
        <v>2.4952199999999999E-16</v>
      </c>
      <c r="AV180" s="3">
        <v>2.0335999999999999E-14</v>
      </c>
    </row>
    <row r="181" spans="2:48" x14ac:dyDescent="0.25">
      <c r="B181" s="4">
        <v>1.2480099999999999E-15</v>
      </c>
      <c r="C181" s="31">
        <v>2.14589E-13</v>
      </c>
      <c r="D181" s="5">
        <v>1.6181499999999999E-12</v>
      </c>
      <c r="E181" s="3">
        <v>1.74528E-12</v>
      </c>
      <c r="F181" s="30">
        <v>1.73468E-12</v>
      </c>
      <c r="H181" s="2"/>
      <c r="I181" s="3">
        <v>6.5374700000000003E-14</v>
      </c>
      <c r="J181" s="3">
        <v>6.0895800000000002E-13</v>
      </c>
      <c r="K181" s="3">
        <v>6.4389099999999997E-13</v>
      </c>
      <c r="L181" s="30">
        <v>5.9261499999999999E-13</v>
      </c>
      <c r="N181" s="6"/>
      <c r="O181" s="3">
        <v>7.5106100000000003E-14</v>
      </c>
      <c r="P181" s="3">
        <v>5.7814300000000001E-13</v>
      </c>
      <c r="Q181" s="3">
        <v>6.0434199999999997E-13</v>
      </c>
      <c r="R181" s="30">
        <v>6.4838300000000003E-13</v>
      </c>
      <c r="T181" s="6"/>
      <c r="U181" s="3">
        <v>6.2754800000000004E-14</v>
      </c>
      <c r="V181" s="3">
        <v>6.3802800000000002E-13</v>
      </c>
      <c r="W181" s="3">
        <v>6.6859399999999997E-13</v>
      </c>
      <c r="X181" s="35">
        <v>6.4202000000000002E-13</v>
      </c>
      <c r="Z181" s="6"/>
      <c r="AA181" s="3">
        <v>7.7850900000000006E-14</v>
      </c>
      <c r="AB181" s="3">
        <v>6.3952600000000002E-13</v>
      </c>
      <c r="AC181" s="3">
        <v>6.4027400000000004E-13</v>
      </c>
      <c r="AD181" s="30">
        <v>5.9211600000000002E-13</v>
      </c>
      <c r="AF181" s="6"/>
      <c r="AG181" s="3">
        <v>2.9693100000000001E-14</v>
      </c>
      <c r="AH181" s="3">
        <v>2.62996E-13</v>
      </c>
      <c r="AI181" s="3">
        <v>2.6411900000000002E-13</v>
      </c>
      <c r="AJ181" s="30">
        <v>2.5426299999999998E-13</v>
      </c>
      <c r="AL181" s="6"/>
      <c r="AM181" s="3">
        <v>6.86178E-15</v>
      </c>
      <c r="AN181" s="3">
        <v>7.4356699999999999E-14</v>
      </c>
      <c r="AO181" s="3">
        <v>6.1880699999999998E-14</v>
      </c>
      <c r="AP181" s="30">
        <v>7.8224199999999995E-14</v>
      </c>
      <c r="AR181" s="6"/>
      <c r="AS181" s="3">
        <v>2.1708400000000001E-14</v>
      </c>
      <c r="AT181" s="3">
        <v>4.5662500000000002E-14</v>
      </c>
      <c r="AU181" s="30">
        <v>2.8694999999999998E-14</v>
      </c>
      <c r="AV181" s="3">
        <v>1.97122E-14</v>
      </c>
    </row>
    <row r="182" spans="2:48" x14ac:dyDescent="0.25">
      <c r="B182" s="4">
        <v>1.2480099999999999E-15</v>
      </c>
      <c r="C182" s="31">
        <v>2.14589E-13</v>
      </c>
      <c r="D182" s="5">
        <v>1.6159E-12</v>
      </c>
      <c r="E182" s="3">
        <v>1.74191E-12</v>
      </c>
      <c r="F182" s="30">
        <v>1.7345499999999999E-12</v>
      </c>
      <c r="H182" s="2"/>
      <c r="I182" s="3">
        <v>6.525E-14</v>
      </c>
      <c r="J182" s="3">
        <v>6.0321899999999996E-13</v>
      </c>
      <c r="K182" s="3">
        <v>6.33411E-13</v>
      </c>
      <c r="L182" s="30">
        <v>5.8999499999999995E-13</v>
      </c>
      <c r="N182" s="6"/>
      <c r="O182" s="3">
        <v>7.3609000000000005E-14</v>
      </c>
      <c r="P182" s="3">
        <v>5.7789299999999999E-13</v>
      </c>
      <c r="Q182" s="3">
        <v>6.0346899999999998E-13</v>
      </c>
      <c r="R182" s="30">
        <v>6.4563800000000002E-13</v>
      </c>
      <c r="T182" s="6"/>
      <c r="U182" s="3">
        <v>6.2006199999999995E-14</v>
      </c>
      <c r="V182" s="3">
        <v>6.1557100000000004E-13</v>
      </c>
      <c r="W182" s="3">
        <v>6.6110799999999995E-13</v>
      </c>
      <c r="X182" s="35">
        <v>6.3877600000000004E-13</v>
      </c>
      <c r="Z182" s="6"/>
      <c r="AA182" s="3">
        <v>7.7726200000000003E-14</v>
      </c>
      <c r="AB182" s="3">
        <v>6.3428600000000003E-13</v>
      </c>
      <c r="AC182" s="3">
        <v>6.3702999999999996E-13</v>
      </c>
      <c r="AD182" s="30">
        <v>5.8725100000000002E-13</v>
      </c>
      <c r="AF182" s="6"/>
      <c r="AG182" s="3">
        <v>2.8944499999999998E-14</v>
      </c>
      <c r="AH182" s="3">
        <v>2.6287099999999999E-13</v>
      </c>
      <c r="AI182" s="3">
        <v>2.6212300000000001E-13</v>
      </c>
      <c r="AJ182" s="30">
        <v>2.5176699999999998E-13</v>
      </c>
      <c r="AL182" s="6"/>
      <c r="AM182" s="3">
        <v>6.73702E-15</v>
      </c>
      <c r="AN182" s="3">
        <v>7.26101E-14</v>
      </c>
      <c r="AO182" s="3">
        <v>5.7888400000000004E-14</v>
      </c>
      <c r="AP182" s="30">
        <v>7.5479499999999999E-14</v>
      </c>
      <c r="AR182" s="6"/>
      <c r="AS182" s="3">
        <v>2.1708400000000001E-14</v>
      </c>
      <c r="AT182" s="3">
        <v>4.4290200000000002E-14</v>
      </c>
      <c r="AU182" s="30">
        <v>3.2250699999999999E-13</v>
      </c>
      <c r="AV182" s="3">
        <v>1.94627E-14</v>
      </c>
    </row>
    <row r="183" spans="2:48" x14ac:dyDescent="0.25">
      <c r="B183" s="4">
        <v>1.12321E-15</v>
      </c>
      <c r="C183" s="31">
        <v>2.1109599999999999E-13</v>
      </c>
      <c r="D183" s="5">
        <v>1.60954E-12</v>
      </c>
      <c r="E183" s="3">
        <v>1.7019899999999999E-12</v>
      </c>
      <c r="F183" s="30">
        <v>1.7214499999999999E-12</v>
      </c>
      <c r="H183" s="2"/>
      <c r="I183" s="3">
        <v>6.5000499999999999E-14</v>
      </c>
      <c r="J183" s="3">
        <v>5.9910199999999999E-13</v>
      </c>
      <c r="K183" s="3">
        <v>6.3129000000000003E-13</v>
      </c>
      <c r="L183" s="30">
        <v>5.8600199999999997E-13</v>
      </c>
      <c r="N183" s="6"/>
      <c r="O183" s="3">
        <v>7.2361399999999994E-14</v>
      </c>
      <c r="P183" s="3">
        <v>5.7764299999999997E-13</v>
      </c>
      <c r="Q183" s="3">
        <v>6.0284500000000004E-13</v>
      </c>
      <c r="R183" s="30">
        <v>6.4002400000000002E-13</v>
      </c>
      <c r="T183" s="6"/>
      <c r="U183" s="3">
        <v>6.1756699999999995E-14</v>
      </c>
      <c r="V183" s="3">
        <v>6.0234599999999997E-13</v>
      </c>
      <c r="W183" s="3">
        <v>6.5437100000000004E-13</v>
      </c>
      <c r="X183" s="35">
        <v>6.30542E-13</v>
      </c>
      <c r="Z183" s="6"/>
      <c r="AA183" s="3">
        <v>7.6852900000000004E-14</v>
      </c>
      <c r="AB183" s="3">
        <v>6.3104200000000005E-13</v>
      </c>
      <c r="AC183" s="3">
        <v>6.3466000000000004E-13</v>
      </c>
      <c r="AD183" s="30">
        <v>5.8525400000000004E-13</v>
      </c>
      <c r="AF183" s="6"/>
      <c r="AG183" s="3">
        <v>2.8445499999999997E-14</v>
      </c>
      <c r="AH183" s="3">
        <v>2.6262199999999999E-13</v>
      </c>
      <c r="AI183" s="3">
        <v>2.55884E-13</v>
      </c>
      <c r="AJ183" s="30">
        <v>2.5139300000000002E-13</v>
      </c>
      <c r="AL183" s="6"/>
      <c r="AM183" s="3">
        <v>6.1132200000000004E-15</v>
      </c>
      <c r="AN183" s="3">
        <v>7.2485300000000003E-14</v>
      </c>
      <c r="AO183" s="3">
        <v>5.6890400000000002E-14</v>
      </c>
      <c r="AP183" s="30">
        <v>6.66216E-14</v>
      </c>
      <c r="AR183" s="6"/>
      <c r="AS183" s="3">
        <v>2.1583700000000001E-14</v>
      </c>
      <c r="AT183" s="3">
        <v>4.3541599999999999E-14</v>
      </c>
      <c r="AU183" s="30">
        <v>6.3840200000000003E-13</v>
      </c>
      <c r="AV183" s="3">
        <v>1.94627E-14</v>
      </c>
    </row>
    <row r="184" spans="2:48" x14ac:dyDescent="0.25">
      <c r="B184" s="4">
        <v>1.12321E-15</v>
      </c>
      <c r="C184" s="31">
        <v>2.1109599999999999E-13</v>
      </c>
      <c r="D184" s="5">
        <v>1.6053E-12</v>
      </c>
      <c r="E184" s="3">
        <v>1.6922599999999999E-12</v>
      </c>
      <c r="F184" s="30">
        <v>1.71684E-12</v>
      </c>
      <c r="H184" s="2"/>
      <c r="I184" s="3">
        <v>6.5000499999999999E-14</v>
      </c>
      <c r="J184" s="3">
        <v>5.9610800000000003E-13</v>
      </c>
      <c r="K184" s="3">
        <v>6.2966900000000001E-13</v>
      </c>
      <c r="L184" s="30">
        <v>5.78267E-13</v>
      </c>
      <c r="N184" s="6"/>
      <c r="O184" s="3">
        <v>7.1987099999999996E-14</v>
      </c>
      <c r="P184" s="3">
        <v>5.7726899999999995E-13</v>
      </c>
      <c r="Q184" s="3">
        <v>5.9872799999999997E-13</v>
      </c>
      <c r="R184" s="30">
        <v>6.3291299999999999E-13</v>
      </c>
      <c r="T184" s="6"/>
      <c r="U184" s="3">
        <v>6.1631899999999997E-14</v>
      </c>
      <c r="V184" s="3">
        <v>6.0010000000000004E-13</v>
      </c>
      <c r="W184" s="3">
        <v>6.5224999999999997E-13</v>
      </c>
      <c r="X184" s="35">
        <v>6.1332500000000001E-13</v>
      </c>
      <c r="Z184" s="6"/>
      <c r="AA184" s="3">
        <v>7.5979499999999997E-14</v>
      </c>
      <c r="AB184" s="3">
        <v>6.2555200000000004E-13</v>
      </c>
      <c r="AC184" s="3">
        <v>6.3016799999999999E-13</v>
      </c>
      <c r="AD184" s="30">
        <v>5.8375700000000001E-13</v>
      </c>
      <c r="AF184" s="6"/>
      <c r="AG184" s="3">
        <v>2.8071199999999999E-14</v>
      </c>
      <c r="AH184" s="3">
        <v>2.5937800000000001E-13</v>
      </c>
      <c r="AI184" s="3">
        <v>2.5438700000000002E-13</v>
      </c>
      <c r="AJ184" s="30">
        <v>2.5014499999999999E-13</v>
      </c>
      <c r="AL184" s="6"/>
      <c r="AM184" s="3">
        <v>5.8637000000000002E-15</v>
      </c>
      <c r="AN184" s="3">
        <v>6.7619699999999997E-14</v>
      </c>
      <c r="AO184" s="3">
        <v>5.6017000000000001E-14</v>
      </c>
      <c r="AP184" s="30">
        <v>6.5249299999999999E-14</v>
      </c>
      <c r="AR184" s="6"/>
      <c r="AS184" s="3">
        <v>2.14589E-14</v>
      </c>
      <c r="AT184" s="3">
        <v>4.29178E-14</v>
      </c>
      <c r="AU184" s="30">
        <v>1.24761E-16</v>
      </c>
      <c r="AV184" s="3">
        <v>1.94627E-14</v>
      </c>
    </row>
    <row r="185" spans="2:48" x14ac:dyDescent="0.25">
      <c r="B185" s="4">
        <v>8.7360500000000002E-16</v>
      </c>
      <c r="C185" s="31">
        <v>2.1059699999999999E-13</v>
      </c>
      <c r="D185" s="5">
        <v>1.5834699999999999E-12</v>
      </c>
      <c r="E185" s="3">
        <v>1.68639E-12</v>
      </c>
      <c r="F185" s="30">
        <v>1.7094799999999999E-12</v>
      </c>
      <c r="H185" s="2"/>
      <c r="I185" s="3">
        <v>6.4875700000000001E-14</v>
      </c>
      <c r="J185" s="3">
        <v>5.8912099999999999E-13</v>
      </c>
      <c r="K185" s="3">
        <v>6.2580099999999999E-13</v>
      </c>
      <c r="L185" s="30">
        <v>5.7614600000000004E-13</v>
      </c>
      <c r="N185" s="6"/>
      <c r="O185" s="3">
        <v>7.1488099999999995E-14</v>
      </c>
      <c r="P185" s="3">
        <v>5.7402499999999997E-13</v>
      </c>
      <c r="Q185" s="3">
        <v>5.9523500000000004E-13</v>
      </c>
      <c r="R185" s="30">
        <v>6.2180899999999998E-13</v>
      </c>
      <c r="T185" s="6"/>
      <c r="U185" s="3">
        <v>6.1507199999999994E-14</v>
      </c>
      <c r="V185" s="3">
        <v>5.9885300000000003E-13</v>
      </c>
      <c r="W185" s="3">
        <v>6.3727900000000002E-13</v>
      </c>
      <c r="X185" s="35">
        <v>6.10955E-13</v>
      </c>
      <c r="Z185" s="6"/>
      <c r="AA185" s="3">
        <v>7.38586E-14</v>
      </c>
      <c r="AB185" s="3">
        <v>6.2118600000000001E-13</v>
      </c>
      <c r="AC185" s="3">
        <v>6.2729899999999999E-13</v>
      </c>
      <c r="AD185" s="30">
        <v>5.8188599999999997E-13</v>
      </c>
      <c r="AF185" s="6"/>
      <c r="AG185" s="3">
        <v>2.6074999999999999E-14</v>
      </c>
      <c r="AH185" s="3">
        <v>2.5788099999999998E-13</v>
      </c>
      <c r="AI185" s="3">
        <v>2.5351399999999998E-13</v>
      </c>
      <c r="AJ185" s="30">
        <v>2.4228599999999998E-13</v>
      </c>
      <c r="AL185" s="6"/>
      <c r="AM185" s="3">
        <v>5.8637000000000002E-15</v>
      </c>
      <c r="AN185" s="3">
        <v>6.4875000000000001E-14</v>
      </c>
      <c r="AO185" s="3">
        <v>5.4270400000000002E-14</v>
      </c>
      <c r="AP185" s="30">
        <v>6.2504499999999996E-14</v>
      </c>
      <c r="AR185" s="6"/>
      <c r="AS185" s="3">
        <v>2.1209399999999999E-14</v>
      </c>
      <c r="AT185" s="3">
        <v>4.09216E-14</v>
      </c>
      <c r="AU185" s="30">
        <v>1.24761E-16</v>
      </c>
      <c r="AV185" s="3">
        <v>1.84646E-14</v>
      </c>
    </row>
    <row r="186" spans="2:48" x14ac:dyDescent="0.25">
      <c r="B186" s="4">
        <v>7.4880400000000003E-16</v>
      </c>
      <c r="C186" s="31">
        <v>2.0884999999999999E-13</v>
      </c>
      <c r="D186" s="5">
        <v>1.57349E-12</v>
      </c>
      <c r="E186" s="3">
        <v>1.6681800000000001E-12</v>
      </c>
      <c r="F186" s="30">
        <v>1.68652E-12</v>
      </c>
      <c r="H186" s="2"/>
      <c r="I186" s="3">
        <v>6.4251900000000003E-14</v>
      </c>
      <c r="J186" s="3">
        <v>5.8587700000000001E-13</v>
      </c>
      <c r="K186" s="3">
        <v>6.1382399999999999E-13</v>
      </c>
      <c r="L186" s="30">
        <v>5.75522E-13</v>
      </c>
      <c r="N186" s="6"/>
      <c r="O186" s="3">
        <v>7.0988999999999999E-14</v>
      </c>
      <c r="P186" s="3">
        <v>5.7377600000000002E-13</v>
      </c>
      <c r="Q186" s="3">
        <v>5.94611E-13</v>
      </c>
      <c r="R186" s="30">
        <v>6.03719E-13</v>
      </c>
      <c r="T186" s="6"/>
      <c r="U186" s="3">
        <v>6.1507199999999994E-14</v>
      </c>
      <c r="V186" s="3">
        <v>5.9760499999999996E-13</v>
      </c>
      <c r="W186" s="3">
        <v>6.2617500000000001E-13</v>
      </c>
      <c r="X186" s="35">
        <v>6.0646300000000004E-13</v>
      </c>
      <c r="Z186" s="6"/>
      <c r="AA186" s="3">
        <v>7.3733800000000002E-14</v>
      </c>
      <c r="AB186" s="3">
        <v>6.10082E-13</v>
      </c>
      <c r="AC186" s="3">
        <v>6.2393000000000005E-13</v>
      </c>
      <c r="AD186" s="30">
        <v>5.8163600000000005E-13</v>
      </c>
      <c r="AF186" s="6"/>
      <c r="AG186" s="3">
        <v>2.45779E-14</v>
      </c>
      <c r="AH186" s="3">
        <v>2.5538499999999998E-13</v>
      </c>
      <c r="AI186" s="3">
        <v>2.4989599999999999E-13</v>
      </c>
      <c r="AJ186" s="30">
        <v>2.3991499999999999E-13</v>
      </c>
      <c r="AL186" s="6"/>
      <c r="AM186" s="3">
        <v>5.8637000000000002E-15</v>
      </c>
      <c r="AN186" s="3">
        <v>6.1880699999999998E-14</v>
      </c>
      <c r="AO186" s="3">
        <v>5.1650499999999998E-14</v>
      </c>
      <c r="AP186" s="30">
        <v>6.1631199999999997E-14</v>
      </c>
      <c r="AR186" s="6"/>
      <c r="AS186" s="3">
        <v>2.0835100000000001E-14</v>
      </c>
      <c r="AT186" s="3">
        <v>3.8176899999999998E-14</v>
      </c>
      <c r="AU186" s="30">
        <v>5.2287299999999999E-13</v>
      </c>
      <c r="AV186" s="3">
        <v>1.84646E-14</v>
      </c>
    </row>
    <row r="187" spans="2:48" x14ac:dyDescent="0.25">
      <c r="B187" s="4">
        <v>7.4880400000000003E-16</v>
      </c>
      <c r="C187" s="31">
        <v>2.0735300000000001E-13</v>
      </c>
      <c r="D187" s="5">
        <v>1.5731099999999999E-12</v>
      </c>
      <c r="E187" s="3">
        <v>1.65795E-12</v>
      </c>
      <c r="F187" s="30">
        <v>1.6842700000000001E-12</v>
      </c>
      <c r="H187" s="2"/>
      <c r="I187" s="3">
        <v>6.4002400000000002E-14</v>
      </c>
      <c r="J187" s="3">
        <v>5.7776800000000003E-13</v>
      </c>
      <c r="K187" s="3">
        <v>6.1369900000000003E-13</v>
      </c>
      <c r="L187" s="30">
        <v>5.7402499999999997E-13</v>
      </c>
      <c r="N187" s="6"/>
      <c r="O187" s="3">
        <v>7.0988999999999999E-14</v>
      </c>
      <c r="P187" s="3">
        <v>5.7240399999999995E-13</v>
      </c>
      <c r="Q187" s="3">
        <v>5.9298900000000001E-13</v>
      </c>
      <c r="R187" s="30">
        <v>5.9585899999999998E-13</v>
      </c>
      <c r="T187" s="6"/>
      <c r="U187" s="3">
        <v>6.1382399999999997E-14</v>
      </c>
      <c r="V187" s="3">
        <v>5.9648200000000004E-13</v>
      </c>
      <c r="W187" s="3">
        <v>6.22183E-13</v>
      </c>
      <c r="X187" s="35">
        <v>6.0134800000000001E-13</v>
      </c>
      <c r="Z187" s="6"/>
      <c r="AA187" s="3">
        <v>7.3733800000000002E-14</v>
      </c>
      <c r="AB187" s="3">
        <v>6.0209700000000001E-13</v>
      </c>
      <c r="AC187" s="3">
        <v>6.1781699999999997E-13</v>
      </c>
      <c r="AD187" s="30">
        <v>5.6067699999999997E-13</v>
      </c>
      <c r="AF187" s="6"/>
      <c r="AG187" s="3">
        <v>2.45779E-14</v>
      </c>
      <c r="AH187" s="3">
        <v>2.5426299999999998E-13</v>
      </c>
      <c r="AI187" s="3">
        <v>2.4864800000000001E-13</v>
      </c>
      <c r="AJ187" s="30">
        <v>2.3991499999999999E-13</v>
      </c>
      <c r="AL187" s="6"/>
      <c r="AM187" s="3">
        <v>5.2398999999999998E-15</v>
      </c>
      <c r="AN187" s="3">
        <v>6.0882699999999995E-14</v>
      </c>
      <c r="AO187" s="3">
        <v>5.1400900000000003E-14</v>
      </c>
      <c r="AP187" s="30">
        <v>6.1256899999999999E-14</v>
      </c>
      <c r="AR187" s="6"/>
      <c r="AS187" s="3">
        <v>2.07103E-14</v>
      </c>
      <c r="AT187" s="3">
        <v>3.7677800000000002E-14</v>
      </c>
      <c r="AU187" s="30">
        <v>6.3628099999999997E-15</v>
      </c>
      <c r="AV187" s="3">
        <v>1.8215099999999999E-14</v>
      </c>
    </row>
    <row r="188" spans="2:48" x14ac:dyDescent="0.25">
      <c r="B188" s="4">
        <v>7.4880400000000003E-16</v>
      </c>
      <c r="C188" s="31">
        <v>2.0585600000000001E-13</v>
      </c>
      <c r="D188" s="5">
        <v>1.55165E-12</v>
      </c>
      <c r="E188" s="3">
        <v>1.65408E-12</v>
      </c>
      <c r="F188" s="30">
        <v>1.66681E-12</v>
      </c>
      <c r="H188" s="2"/>
      <c r="I188" s="3">
        <v>6.3752799999999994E-14</v>
      </c>
      <c r="J188" s="3">
        <v>5.7040699999999997E-13</v>
      </c>
      <c r="K188" s="3">
        <v>6.1008100000000003E-13</v>
      </c>
      <c r="L188" s="30">
        <v>5.7165499999999995E-13</v>
      </c>
      <c r="N188" s="6"/>
      <c r="O188" s="3">
        <v>7.0614700000000001E-14</v>
      </c>
      <c r="P188" s="3">
        <v>5.6292200000000003E-13</v>
      </c>
      <c r="Q188" s="3">
        <v>5.8388199999999998E-13</v>
      </c>
      <c r="R188" s="30">
        <v>5.9510999999999998E-13</v>
      </c>
      <c r="T188" s="6"/>
      <c r="U188" s="3">
        <v>6.0010000000000001E-14</v>
      </c>
      <c r="V188" s="3">
        <v>5.9049400000000003E-13</v>
      </c>
      <c r="W188" s="3">
        <v>6.2105999999999998E-13</v>
      </c>
      <c r="X188" s="35">
        <v>5.9773000000000002E-13</v>
      </c>
      <c r="Z188" s="6"/>
      <c r="AA188" s="3">
        <v>7.2735700000000005E-14</v>
      </c>
      <c r="AB188" s="3">
        <v>5.9835399999999996E-13</v>
      </c>
      <c r="AC188" s="3">
        <v>6.1382499999999996E-13</v>
      </c>
      <c r="AD188" s="30">
        <v>5.5768200000000005E-13</v>
      </c>
      <c r="AF188" s="6"/>
      <c r="AG188" s="3">
        <v>2.3954099999999998E-14</v>
      </c>
      <c r="AH188" s="3">
        <v>2.5214200000000002E-13</v>
      </c>
      <c r="AI188" s="3">
        <v>2.4403200000000001E-13</v>
      </c>
      <c r="AJ188" s="30">
        <v>2.3941600000000002E-13</v>
      </c>
      <c r="AL188" s="6"/>
      <c r="AM188" s="3">
        <v>5.1151399999999997E-15</v>
      </c>
      <c r="AN188" s="3">
        <v>5.97598E-14</v>
      </c>
      <c r="AO188" s="3">
        <v>4.95295E-14</v>
      </c>
      <c r="AP188" s="30">
        <v>6.0757899999999998E-14</v>
      </c>
      <c r="AR188" s="6"/>
      <c r="AS188" s="3">
        <v>2.04608E-14</v>
      </c>
      <c r="AT188" s="3">
        <v>3.7178800000000001E-14</v>
      </c>
      <c r="AU188" s="30">
        <v>1.07294E-14</v>
      </c>
      <c r="AV188" s="3">
        <v>1.8090300000000001E-14</v>
      </c>
    </row>
    <row r="189" spans="2:48" x14ac:dyDescent="0.25">
      <c r="B189" s="4">
        <v>6.2400300000000003E-16</v>
      </c>
      <c r="C189" s="31">
        <v>2.0398399999999999E-13</v>
      </c>
      <c r="D189" s="5">
        <v>1.53182E-12</v>
      </c>
      <c r="E189" s="3">
        <v>1.6535799999999999E-12</v>
      </c>
      <c r="F189" s="30">
        <v>1.6604399999999999E-12</v>
      </c>
      <c r="H189" s="2"/>
      <c r="I189" s="3">
        <v>6.3253800000000006E-14</v>
      </c>
      <c r="J189" s="3">
        <v>5.7003299999999996E-13</v>
      </c>
      <c r="K189" s="3">
        <v>5.9710599999999998E-13</v>
      </c>
      <c r="L189" s="30">
        <v>5.69908E-13</v>
      </c>
      <c r="N189" s="6"/>
      <c r="O189" s="3">
        <v>7.03652E-14</v>
      </c>
      <c r="P189" s="3">
        <v>5.6154899999999999E-13</v>
      </c>
      <c r="Q189" s="3">
        <v>5.8250900000000004E-13</v>
      </c>
      <c r="R189" s="30">
        <v>5.9236499999999997E-13</v>
      </c>
      <c r="T189" s="6"/>
      <c r="U189" s="3">
        <v>5.9386200000000002E-14</v>
      </c>
      <c r="V189" s="3">
        <v>5.8151099999999998E-13</v>
      </c>
      <c r="W189" s="3">
        <v>6.1382399999999999E-13</v>
      </c>
      <c r="X189" s="35">
        <v>5.90244E-13</v>
      </c>
      <c r="Z189" s="6"/>
      <c r="AA189" s="3">
        <v>7.2611000000000002E-14</v>
      </c>
      <c r="AB189" s="3">
        <v>5.9423699999999999E-13</v>
      </c>
      <c r="AC189" s="3">
        <v>6.12951E-13</v>
      </c>
      <c r="AD189" s="30">
        <v>5.53815E-13</v>
      </c>
      <c r="AF189" s="6"/>
      <c r="AG189" s="3">
        <v>2.35798E-14</v>
      </c>
      <c r="AH189" s="3">
        <v>2.50021E-13</v>
      </c>
      <c r="AI189" s="3">
        <v>2.4378300000000001E-13</v>
      </c>
      <c r="AJ189" s="30">
        <v>2.39042E-13</v>
      </c>
      <c r="AL189" s="6"/>
      <c r="AM189" s="3">
        <v>4.4913400000000001E-15</v>
      </c>
      <c r="AN189" s="3">
        <v>5.7264600000000005E-14</v>
      </c>
      <c r="AO189" s="3">
        <v>4.8905700000000001E-14</v>
      </c>
      <c r="AP189" s="30">
        <v>6.0383599999999999E-14</v>
      </c>
      <c r="AR189" s="6"/>
      <c r="AS189" s="3">
        <v>2.0335999999999999E-14</v>
      </c>
      <c r="AT189" s="3">
        <v>3.7054000000000003E-14</v>
      </c>
      <c r="AU189" s="30">
        <v>1.4971299999999999E-15</v>
      </c>
      <c r="AV189" s="3">
        <v>1.64685E-14</v>
      </c>
    </row>
    <row r="190" spans="2:48" x14ac:dyDescent="0.25">
      <c r="B190" s="4">
        <v>6.2400300000000003E-16</v>
      </c>
      <c r="C190" s="31">
        <v>2.0373499999999999E-13</v>
      </c>
      <c r="D190" s="5">
        <v>1.5155999999999999E-12</v>
      </c>
      <c r="E190" s="3">
        <v>1.63774E-12</v>
      </c>
      <c r="F190" s="30">
        <v>1.6479700000000001E-12</v>
      </c>
      <c r="H190" s="2"/>
      <c r="I190" s="3">
        <v>6.3253800000000006E-14</v>
      </c>
      <c r="J190" s="3">
        <v>5.6379500000000002E-13</v>
      </c>
      <c r="K190" s="3">
        <v>5.9510999999999998E-13</v>
      </c>
      <c r="L190" s="30">
        <v>5.6566599999999996E-13</v>
      </c>
      <c r="N190" s="6"/>
      <c r="O190" s="3">
        <v>6.9990900000000002E-14</v>
      </c>
      <c r="P190" s="3">
        <v>5.5381400000000003E-13</v>
      </c>
      <c r="Q190" s="3">
        <v>5.8101200000000001E-13</v>
      </c>
      <c r="R190" s="30">
        <v>5.8625199999999999E-13</v>
      </c>
      <c r="T190" s="6"/>
      <c r="U190" s="3">
        <v>5.9261499999999999E-14</v>
      </c>
      <c r="V190" s="3">
        <v>5.7539800000000001E-13</v>
      </c>
      <c r="W190" s="3">
        <v>6.1120400000000005E-13</v>
      </c>
      <c r="X190" s="35">
        <v>5.8999499999999995E-13</v>
      </c>
      <c r="Z190" s="6"/>
      <c r="AA190" s="3">
        <v>7.2361500000000002E-14</v>
      </c>
      <c r="AB190" s="3">
        <v>5.8987099999999996E-13</v>
      </c>
      <c r="AC190" s="3">
        <v>6.1132999999999998E-13</v>
      </c>
      <c r="AD190" s="30">
        <v>5.4171300000000004E-13</v>
      </c>
      <c r="AF190" s="6"/>
      <c r="AG190" s="3">
        <v>2.15836E-14</v>
      </c>
      <c r="AH190" s="3">
        <v>2.48025E-13</v>
      </c>
      <c r="AI190" s="3">
        <v>2.4303400000000001E-13</v>
      </c>
      <c r="AJ190" s="30">
        <v>2.3567300000000001E-13</v>
      </c>
      <c r="AL190" s="6"/>
      <c r="AM190" s="3">
        <v>4.36658E-15</v>
      </c>
      <c r="AN190" s="3">
        <v>5.7139900000000002E-14</v>
      </c>
      <c r="AO190" s="3">
        <v>4.7782900000000001E-14</v>
      </c>
      <c r="AP190" s="30">
        <v>5.9385599999999997E-14</v>
      </c>
      <c r="AR190" s="6"/>
      <c r="AS190" s="3">
        <v>2.0211299999999999E-14</v>
      </c>
      <c r="AT190" s="3">
        <v>3.51826E-14</v>
      </c>
      <c r="AU190" s="30">
        <v>1.24761E-16</v>
      </c>
      <c r="AV190" s="3">
        <v>1.6094199999999999E-14</v>
      </c>
    </row>
    <row r="191" spans="2:48" x14ac:dyDescent="0.25">
      <c r="B191" s="4">
        <v>6.2400300000000003E-16</v>
      </c>
      <c r="C191" s="31">
        <v>2.02861E-13</v>
      </c>
      <c r="D191" s="5">
        <v>1.51273E-12</v>
      </c>
      <c r="E191" s="3">
        <v>1.6357400000000001E-12</v>
      </c>
      <c r="F191" s="30">
        <v>1.6245099999999999E-12</v>
      </c>
      <c r="H191" s="2"/>
      <c r="I191" s="3">
        <v>6.3004300000000005E-14</v>
      </c>
      <c r="J191" s="3">
        <v>5.6242199999999998E-13</v>
      </c>
      <c r="K191" s="3">
        <v>5.9423600000000001E-13</v>
      </c>
      <c r="L191" s="30">
        <v>5.6504200000000003E-13</v>
      </c>
      <c r="N191" s="6"/>
      <c r="O191" s="3">
        <v>6.9616600000000004E-14</v>
      </c>
      <c r="P191" s="3">
        <v>5.4807499999999996E-13</v>
      </c>
      <c r="Q191" s="3">
        <v>5.8088700000000005E-13</v>
      </c>
      <c r="R191" s="30">
        <v>5.81885E-13</v>
      </c>
      <c r="T191" s="6"/>
      <c r="U191" s="3">
        <v>5.8013900000000002E-14</v>
      </c>
      <c r="V191" s="3">
        <v>5.7327700000000004E-13</v>
      </c>
      <c r="W191" s="3">
        <v>6.0908299999999998E-13</v>
      </c>
      <c r="X191" s="35">
        <v>5.8338200000000003E-13</v>
      </c>
      <c r="Z191" s="6"/>
      <c r="AA191" s="3">
        <v>7.2361500000000002E-14</v>
      </c>
      <c r="AB191" s="3">
        <v>5.7714499999999996E-13</v>
      </c>
      <c r="AC191" s="3">
        <v>5.8388199999999998E-13</v>
      </c>
      <c r="AD191" s="30">
        <v>5.3921799999999995E-13</v>
      </c>
      <c r="AF191" s="6"/>
      <c r="AG191" s="3">
        <v>2.1334099999999999E-14</v>
      </c>
      <c r="AH191" s="3">
        <v>2.4777500000000002E-13</v>
      </c>
      <c r="AI191" s="3">
        <v>2.41911E-13</v>
      </c>
      <c r="AJ191" s="30">
        <v>2.3567300000000001E-13</v>
      </c>
      <c r="AL191" s="6"/>
      <c r="AM191" s="3">
        <v>3.7427900000000002E-15</v>
      </c>
      <c r="AN191" s="3">
        <v>5.4644700000000001E-14</v>
      </c>
      <c r="AO191" s="3">
        <v>4.4040100000000002E-14</v>
      </c>
      <c r="AP191" s="30">
        <v>5.9260799999999999E-14</v>
      </c>
      <c r="AR191" s="6"/>
      <c r="AS191" s="3">
        <v>1.9837000000000001E-14</v>
      </c>
      <c r="AT191" s="3">
        <v>3.3436000000000001E-14</v>
      </c>
      <c r="AU191" s="30">
        <v>1.62189E-15</v>
      </c>
      <c r="AV191" s="3">
        <v>1.57199E-14</v>
      </c>
    </row>
    <row r="192" spans="2:48" x14ac:dyDescent="0.25">
      <c r="B192" s="4">
        <v>6.2400300000000003E-16</v>
      </c>
      <c r="C192" s="31">
        <v>2.0248699999999999E-13</v>
      </c>
      <c r="D192" s="5">
        <v>1.48091E-12</v>
      </c>
      <c r="E192" s="3">
        <v>1.6236399999999999E-12</v>
      </c>
      <c r="F192" s="30">
        <v>1.62077E-12</v>
      </c>
      <c r="H192" s="2"/>
      <c r="I192" s="3">
        <v>6.2754800000000004E-14</v>
      </c>
      <c r="J192" s="3">
        <v>5.5393899999999999E-13</v>
      </c>
      <c r="K192" s="3">
        <v>5.9348799999999998E-13</v>
      </c>
      <c r="L192" s="30">
        <v>5.5955299999999999E-13</v>
      </c>
      <c r="N192" s="6"/>
      <c r="O192" s="3">
        <v>6.9117600000000003E-14</v>
      </c>
      <c r="P192" s="3">
        <v>5.45954E-13</v>
      </c>
      <c r="Q192" s="3">
        <v>5.8026300000000001E-13</v>
      </c>
      <c r="R192" s="30">
        <v>5.7876599999999998E-13</v>
      </c>
      <c r="T192" s="6"/>
      <c r="U192" s="3">
        <v>5.7764299999999994E-14</v>
      </c>
      <c r="V192" s="3">
        <v>5.7178000000000001E-13</v>
      </c>
      <c r="W192" s="3">
        <v>6.0546499999999999E-13</v>
      </c>
      <c r="X192" s="35">
        <v>5.6591599999999999E-13</v>
      </c>
      <c r="Z192" s="6"/>
      <c r="AA192" s="3">
        <v>6.7246199999999994E-14</v>
      </c>
      <c r="AB192" s="3">
        <v>5.7153099999999996E-13</v>
      </c>
      <c r="AC192" s="3">
        <v>5.8188599999999997E-13</v>
      </c>
      <c r="AD192" s="30">
        <v>5.3909299999999999E-13</v>
      </c>
      <c r="AF192" s="6"/>
      <c r="AG192" s="3">
        <v>2.0959800000000001E-14</v>
      </c>
      <c r="AH192" s="3">
        <v>2.4278500000000001E-13</v>
      </c>
      <c r="AI192" s="3">
        <v>2.4116300000000002E-13</v>
      </c>
      <c r="AJ192" s="30">
        <v>2.3480000000000002E-13</v>
      </c>
      <c r="AL192" s="6"/>
      <c r="AM192" s="3">
        <v>3.7427900000000002E-15</v>
      </c>
      <c r="AN192" s="3">
        <v>5.1775200000000001E-14</v>
      </c>
      <c r="AO192" s="3">
        <v>3.7178300000000002E-14</v>
      </c>
      <c r="AP192" s="30">
        <v>5.8761799999999998E-14</v>
      </c>
      <c r="AR192" s="6"/>
      <c r="AS192" s="3">
        <v>1.97122E-14</v>
      </c>
      <c r="AT192" s="3">
        <v>3.31864E-14</v>
      </c>
      <c r="AU192" s="30">
        <v>2.0585600000000001E-13</v>
      </c>
      <c r="AV192" s="3">
        <v>1.5345599999999999E-14</v>
      </c>
    </row>
    <row r="193" spans="2:48" x14ac:dyDescent="0.25">
      <c r="B193" s="4">
        <v>4.9920299999999996E-16</v>
      </c>
      <c r="C193" s="31">
        <v>2.01364E-13</v>
      </c>
      <c r="D193" s="5">
        <v>1.4658199999999999E-12</v>
      </c>
      <c r="E193" s="3">
        <v>1.6125399999999999E-12</v>
      </c>
      <c r="F193" s="30">
        <v>1.61915E-12</v>
      </c>
      <c r="H193" s="2"/>
      <c r="I193" s="3">
        <v>6.2006199999999995E-14</v>
      </c>
      <c r="J193" s="3">
        <v>5.5244199999999996E-13</v>
      </c>
      <c r="K193" s="3">
        <v>5.8874699999999998E-13</v>
      </c>
      <c r="L193" s="30">
        <v>5.5144300000000004E-13</v>
      </c>
      <c r="N193" s="6"/>
      <c r="O193" s="3">
        <v>6.8244300000000003E-14</v>
      </c>
      <c r="P193" s="3">
        <v>5.4183700000000003E-13</v>
      </c>
      <c r="Q193" s="3">
        <v>5.7951499999999998E-13</v>
      </c>
      <c r="R193" s="30">
        <v>5.7589699999999998E-13</v>
      </c>
      <c r="T193" s="6"/>
      <c r="U193" s="3">
        <v>5.6766299999999998E-14</v>
      </c>
      <c r="V193" s="3">
        <v>5.7165499999999995E-13</v>
      </c>
      <c r="W193" s="3">
        <v>5.9698100000000002E-13</v>
      </c>
      <c r="X193" s="35">
        <v>5.6005199999999996E-13</v>
      </c>
      <c r="Z193" s="6"/>
      <c r="AA193" s="3">
        <v>6.6372899999999994E-14</v>
      </c>
      <c r="AB193" s="3">
        <v>5.6903599999999998E-13</v>
      </c>
      <c r="AC193" s="3">
        <v>5.7764400000000004E-13</v>
      </c>
      <c r="AD193" s="30">
        <v>5.3871899999999998E-13</v>
      </c>
      <c r="AF193" s="6"/>
      <c r="AG193" s="3">
        <v>2.05855E-14</v>
      </c>
      <c r="AH193" s="3">
        <v>2.3567300000000001E-13</v>
      </c>
      <c r="AI193" s="3">
        <v>2.4016500000000002E-13</v>
      </c>
      <c r="AJ193" s="30">
        <v>2.3430099999999999E-13</v>
      </c>
      <c r="AL193" s="6"/>
      <c r="AM193" s="3">
        <v>3.36851E-15</v>
      </c>
      <c r="AN193" s="3">
        <v>5.0028600000000002E-14</v>
      </c>
      <c r="AO193" s="3">
        <v>3.7053599999999999E-14</v>
      </c>
      <c r="AP193" s="30">
        <v>5.8637E-14</v>
      </c>
      <c r="AR193" s="6"/>
      <c r="AS193" s="3">
        <v>1.97122E-14</v>
      </c>
      <c r="AT193" s="3">
        <v>3.3061699999999997E-14</v>
      </c>
      <c r="AU193" s="30">
        <v>8.7332699999999998E-16</v>
      </c>
      <c r="AV193" s="3">
        <v>1.5220800000000002E-14</v>
      </c>
    </row>
    <row r="194" spans="2:48" x14ac:dyDescent="0.25">
      <c r="B194" s="4">
        <v>4.9920299999999996E-16</v>
      </c>
      <c r="C194" s="31">
        <v>1.9974200000000001E-13</v>
      </c>
      <c r="D194" s="5">
        <v>1.4645700000000001E-12</v>
      </c>
      <c r="E194" s="3">
        <v>1.6015600000000001E-12</v>
      </c>
      <c r="F194" s="30">
        <v>1.5924499999999999E-12</v>
      </c>
      <c r="H194" s="2"/>
      <c r="I194" s="3">
        <v>6.1881399999999998E-14</v>
      </c>
      <c r="J194" s="3">
        <v>5.4657800000000004E-13</v>
      </c>
      <c r="K194" s="3">
        <v>5.8425599999999999E-13</v>
      </c>
      <c r="L194" s="30">
        <v>5.4420700000000005E-13</v>
      </c>
      <c r="N194" s="6"/>
      <c r="O194" s="3">
        <v>6.7994800000000003E-14</v>
      </c>
      <c r="P194" s="3">
        <v>5.3385200000000004E-13</v>
      </c>
      <c r="Q194" s="3">
        <v>5.7427499999999999E-13</v>
      </c>
      <c r="R194" s="30">
        <v>5.6891000000000005E-13</v>
      </c>
      <c r="T194" s="6"/>
      <c r="U194" s="3">
        <v>5.66415E-14</v>
      </c>
      <c r="V194" s="3">
        <v>5.6404399999999997E-13</v>
      </c>
      <c r="W194" s="3">
        <v>5.8887200000000004E-13</v>
      </c>
      <c r="X194" s="35">
        <v>5.5206699999999997E-13</v>
      </c>
      <c r="Z194" s="6"/>
      <c r="AA194" s="3">
        <v>6.5125299999999997E-14</v>
      </c>
      <c r="AB194" s="3">
        <v>5.6716399999999997E-13</v>
      </c>
      <c r="AC194" s="3">
        <v>5.5905499999999998E-13</v>
      </c>
      <c r="AD194" s="30">
        <v>5.3347899999999999E-13</v>
      </c>
      <c r="AF194" s="6"/>
      <c r="AG194" s="3">
        <v>2.04608E-14</v>
      </c>
      <c r="AH194" s="3">
        <v>2.32679E-13</v>
      </c>
      <c r="AI194" s="3">
        <v>2.37046E-13</v>
      </c>
      <c r="AJ194" s="30">
        <v>2.3380200000000002E-13</v>
      </c>
      <c r="AL194" s="6"/>
      <c r="AM194" s="3">
        <v>3.36851E-15</v>
      </c>
      <c r="AN194" s="3">
        <v>4.8157199999999999E-14</v>
      </c>
      <c r="AO194" s="3">
        <v>3.1189900000000003E-14</v>
      </c>
      <c r="AP194" s="30">
        <v>5.7389400000000003E-14</v>
      </c>
      <c r="AR194" s="6"/>
      <c r="AS194" s="3">
        <v>1.9088400000000001E-14</v>
      </c>
      <c r="AT194" s="3">
        <v>3.3061699999999997E-14</v>
      </c>
      <c r="AU194" s="30">
        <v>4.9904399999999999E-16</v>
      </c>
      <c r="AV194" s="3">
        <v>1.4971300000000001E-14</v>
      </c>
    </row>
    <row r="195" spans="2:48" x14ac:dyDescent="0.25">
      <c r="B195" s="4">
        <v>3.7440200000000001E-16</v>
      </c>
      <c r="C195" s="31">
        <v>1.9924300000000001E-13</v>
      </c>
      <c r="D195" s="5">
        <v>1.4598300000000001E-12</v>
      </c>
      <c r="E195" s="3">
        <v>1.5966899999999999E-12</v>
      </c>
      <c r="F195" s="30">
        <v>1.58808E-12</v>
      </c>
      <c r="H195" s="2"/>
      <c r="I195" s="3">
        <v>6.1507199999999994E-14</v>
      </c>
      <c r="J195" s="3">
        <v>5.45205E-13</v>
      </c>
      <c r="K195" s="3">
        <v>5.8338200000000003E-13</v>
      </c>
      <c r="L195" s="30">
        <v>5.4370799999999997E-13</v>
      </c>
      <c r="N195" s="6"/>
      <c r="O195" s="3">
        <v>6.7745199999999995E-14</v>
      </c>
      <c r="P195" s="3">
        <v>5.3310400000000001E-13</v>
      </c>
      <c r="Q195" s="3">
        <v>5.67039E-13</v>
      </c>
      <c r="R195" s="30">
        <v>5.6716399999999997E-13</v>
      </c>
      <c r="T195" s="6"/>
      <c r="U195" s="3">
        <v>5.6142399999999998E-14</v>
      </c>
      <c r="V195" s="3">
        <v>5.5356499999999997E-13</v>
      </c>
      <c r="W195" s="3">
        <v>5.8151099999999998E-13</v>
      </c>
      <c r="X195" s="35">
        <v>5.5181800000000002E-13</v>
      </c>
      <c r="Z195" s="6"/>
      <c r="AA195" s="3">
        <v>6.4251999999999997E-14</v>
      </c>
      <c r="AB195" s="3">
        <v>5.6629099999999997E-13</v>
      </c>
      <c r="AC195" s="3">
        <v>5.5194299999999998E-13</v>
      </c>
      <c r="AD195" s="30">
        <v>5.31857E-13</v>
      </c>
      <c r="AF195" s="6"/>
      <c r="AG195" s="3">
        <v>1.97122E-14</v>
      </c>
      <c r="AH195" s="3">
        <v>2.3230499999999999E-13</v>
      </c>
      <c r="AI195" s="3">
        <v>2.36297E-13</v>
      </c>
      <c r="AJ195" s="30">
        <v>2.2219900000000001E-13</v>
      </c>
      <c r="AL195" s="6"/>
      <c r="AM195" s="3">
        <v>3.1189899999999998E-15</v>
      </c>
      <c r="AN195" s="3">
        <v>4.8157199999999999E-14</v>
      </c>
      <c r="AO195" s="3">
        <v>3.1189900000000003E-14</v>
      </c>
      <c r="AP195" s="30">
        <v>5.43952E-14</v>
      </c>
      <c r="AR195" s="6"/>
      <c r="AS195" s="3">
        <v>1.8963699999999999E-14</v>
      </c>
      <c r="AT195" s="3">
        <v>3.3061699999999997E-14</v>
      </c>
      <c r="AU195" s="30">
        <v>3.7428299999999999E-16</v>
      </c>
      <c r="AV195" s="3">
        <v>1.4222799999999999E-14</v>
      </c>
    </row>
    <row r="196" spans="2:48" x14ac:dyDescent="0.25">
      <c r="B196" s="4">
        <v>2.4960100000000002E-16</v>
      </c>
      <c r="C196" s="31">
        <v>1.97996E-13</v>
      </c>
      <c r="D196" s="5">
        <v>1.4513500000000001E-12</v>
      </c>
      <c r="E196" s="3">
        <v>1.58409E-12</v>
      </c>
      <c r="F196" s="30">
        <v>1.5823399999999999E-12</v>
      </c>
      <c r="H196" s="2"/>
      <c r="I196" s="3">
        <v>6.1008099999999998E-14</v>
      </c>
      <c r="J196" s="3">
        <v>5.3510000000000001E-13</v>
      </c>
      <c r="K196" s="3">
        <v>5.8113699999999997E-13</v>
      </c>
      <c r="L196" s="30">
        <v>5.4096400000000004E-13</v>
      </c>
      <c r="N196" s="6"/>
      <c r="O196" s="3">
        <v>6.6497599999999997E-14</v>
      </c>
      <c r="P196" s="3">
        <v>5.2936100000000005E-13</v>
      </c>
      <c r="Q196" s="3">
        <v>5.6167399999999996E-13</v>
      </c>
      <c r="R196" s="30">
        <v>5.6479299999999997E-13</v>
      </c>
      <c r="T196" s="6"/>
      <c r="U196" s="3">
        <v>5.6142399999999998E-14</v>
      </c>
      <c r="V196" s="3">
        <v>5.5206699999999997E-13</v>
      </c>
      <c r="W196" s="3">
        <v>5.8126099999999996E-13</v>
      </c>
      <c r="X196" s="35">
        <v>5.5094500000000003E-13</v>
      </c>
      <c r="Z196" s="6"/>
      <c r="AA196" s="3">
        <v>6.32539E-14</v>
      </c>
      <c r="AB196" s="3">
        <v>5.5755699999999998E-13</v>
      </c>
      <c r="AC196" s="3">
        <v>5.4757699999999996E-13</v>
      </c>
      <c r="AD196" s="30">
        <v>5.2898700000000004E-13</v>
      </c>
      <c r="AF196" s="6"/>
      <c r="AG196" s="3">
        <v>1.97122E-14</v>
      </c>
      <c r="AH196" s="3">
        <v>2.26067E-13</v>
      </c>
      <c r="AI196" s="3">
        <v>2.2955999999999998E-13</v>
      </c>
      <c r="AJ196" s="30">
        <v>2.1933000000000001E-13</v>
      </c>
      <c r="AL196" s="6"/>
      <c r="AM196" s="3">
        <v>2.8694700000000001E-15</v>
      </c>
      <c r="AN196" s="3">
        <v>4.64106E-14</v>
      </c>
      <c r="AO196" s="3">
        <v>2.9942299999999999E-14</v>
      </c>
      <c r="AP196" s="30">
        <v>5.1400900000000003E-14</v>
      </c>
      <c r="AR196" s="6"/>
      <c r="AS196" s="3">
        <v>1.8090300000000001E-14</v>
      </c>
      <c r="AT196" s="3">
        <v>3.2812100000000002E-14</v>
      </c>
      <c r="AU196" s="30">
        <v>6.2380499999999999E-16</v>
      </c>
      <c r="AV196" s="3">
        <v>1.4222799999999999E-14</v>
      </c>
    </row>
    <row r="197" spans="2:48" x14ac:dyDescent="0.25">
      <c r="B197" s="4">
        <v>2.4960100000000002E-16</v>
      </c>
      <c r="C197" s="31">
        <v>1.9662299999999999E-13</v>
      </c>
      <c r="D197" s="5">
        <v>1.45097E-12</v>
      </c>
      <c r="E197" s="3">
        <v>1.57099E-12</v>
      </c>
      <c r="F197" s="30">
        <v>1.57698E-12</v>
      </c>
      <c r="H197" s="2"/>
      <c r="I197" s="3">
        <v>6.1008099999999998E-14</v>
      </c>
      <c r="J197" s="3">
        <v>5.3223000000000005E-13</v>
      </c>
      <c r="K197" s="3">
        <v>5.7913999999999999E-13</v>
      </c>
      <c r="L197" s="30">
        <v>5.2599200000000001E-13</v>
      </c>
      <c r="N197" s="6"/>
      <c r="O197" s="3">
        <v>6.5873799999999998E-14</v>
      </c>
      <c r="P197" s="3">
        <v>5.2886199999999997E-13</v>
      </c>
      <c r="Q197" s="3">
        <v>5.5206699999999997E-13</v>
      </c>
      <c r="R197" s="30">
        <v>5.64294E-13</v>
      </c>
      <c r="T197" s="6"/>
      <c r="U197" s="3">
        <v>5.5518599999999999E-14</v>
      </c>
      <c r="V197" s="3">
        <v>5.5131900000000005E-13</v>
      </c>
      <c r="W197" s="3">
        <v>5.7976400000000003E-13</v>
      </c>
      <c r="X197" s="35">
        <v>5.4470600000000002E-13</v>
      </c>
      <c r="Z197" s="6"/>
      <c r="AA197" s="3">
        <v>6.1632000000000004E-14</v>
      </c>
      <c r="AB197" s="3">
        <v>5.5730800000000003E-13</v>
      </c>
      <c r="AC197" s="3">
        <v>5.4258600000000003E-13</v>
      </c>
      <c r="AD197" s="30">
        <v>5.2511999999999999E-13</v>
      </c>
      <c r="AF197" s="6"/>
      <c r="AG197" s="3">
        <v>1.95875E-14</v>
      </c>
      <c r="AH197" s="3">
        <v>2.2319700000000001E-13</v>
      </c>
      <c r="AI197" s="3">
        <v>2.2831200000000001E-13</v>
      </c>
      <c r="AJ197" s="30">
        <v>2.18706E-13</v>
      </c>
      <c r="AL197" s="6"/>
      <c r="AM197" s="3">
        <v>2.8694700000000001E-15</v>
      </c>
      <c r="AN197" s="3">
        <v>4.4663900000000001E-14</v>
      </c>
      <c r="AO197" s="3">
        <v>2.9817500000000001E-14</v>
      </c>
      <c r="AP197" s="30">
        <v>5.1400900000000003E-14</v>
      </c>
      <c r="AR197" s="6"/>
      <c r="AS197" s="3">
        <v>1.7716100000000001E-14</v>
      </c>
      <c r="AT197" s="3">
        <v>3.0940699999999999E-14</v>
      </c>
      <c r="AU197" s="30">
        <v>1.3723700000000001E-15</v>
      </c>
      <c r="AV197" s="3">
        <v>1.4098E-14</v>
      </c>
    </row>
    <row r="198" spans="2:48" x14ac:dyDescent="0.25">
      <c r="B198" s="4">
        <v>2.4960100000000002E-16</v>
      </c>
      <c r="C198" s="31">
        <v>1.9575E-13</v>
      </c>
      <c r="D198" s="5">
        <v>1.4422399999999999E-12</v>
      </c>
      <c r="E198" s="3">
        <v>1.55352E-12</v>
      </c>
      <c r="F198" s="30">
        <v>1.5746100000000001E-12</v>
      </c>
      <c r="H198" s="2"/>
      <c r="I198" s="3">
        <v>6.06338E-14</v>
      </c>
      <c r="J198" s="3">
        <v>5.2798800000000001E-13</v>
      </c>
      <c r="K198" s="3">
        <v>5.7801799999999995E-13</v>
      </c>
      <c r="L198" s="30">
        <v>5.2462000000000004E-13</v>
      </c>
      <c r="N198" s="6"/>
      <c r="O198" s="3">
        <v>6.5125200000000002E-14</v>
      </c>
      <c r="P198" s="3">
        <v>5.2711500000000002E-13</v>
      </c>
      <c r="Q198" s="3">
        <v>5.5181800000000002E-13</v>
      </c>
      <c r="R198" s="30">
        <v>5.59927E-13</v>
      </c>
      <c r="T198" s="6"/>
      <c r="U198" s="3">
        <v>5.4271000000000002E-14</v>
      </c>
      <c r="V198" s="3">
        <v>5.5057000000000005E-13</v>
      </c>
      <c r="W198" s="3">
        <v>5.7664500000000001E-13</v>
      </c>
      <c r="X198" s="35">
        <v>5.3909200000000002E-13</v>
      </c>
      <c r="Z198" s="6"/>
      <c r="AA198" s="3">
        <v>6.0509099999999997E-14</v>
      </c>
      <c r="AB198" s="3">
        <v>5.55062E-13</v>
      </c>
      <c r="AC198" s="3">
        <v>5.4221200000000001E-13</v>
      </c>
      <c r="AD198" s="30">
        <v>5.2499500000000003E-13</v>
      </c>
      <c r="AF198" s="6"/>
      <c r="AG198" s="3">
        <v>1.94627E-14</v>
      </c>
      <c r="AH198" s="3">
        <v>2.2319700000000001E-13</v>
      </c>
      <c r="AI198" s="3">
        <v>2.2494400000000001E-13</v>
      </c>
      <c r="AJ198" s="30">
        <v>2.1421399999999999E-13</v>
      </c>
      <c r="AL198" s="6"/>
      <c r="AM198" s="3">
        <v>2.8694700000000001E-15</v>
      </c>
      <c r="AN198" s="3">
        <v>3.9673499999999998E-14</v>
      </c>
      <c r="AO198" s="3">
        <v>2.8569899999999997E-14</v>
      </c>
      <c r="AP198" s="30">
        <v>4.9279999999999999E-14</v>
      </c>
      <c r="AR198" s="6"/>
      <c r="AS198" s="3">
        <v>1.75913E-14</v>
      </c>
      <c r="AT198" s="3">
        <v>3.0816000000000002E-14</v>
      </c>
      <c r="AU198" s="30">
        <v>1.24761E-16</v>
      </c>
      <c r="AV198" s="3">
        <v>1.3599E-14</v>
      </c>
    </row>
    <row r="199" spans="2:48" x14ac:dyDescent="0.25">
      <c r="B199" s="4">
        <v>2.4960100000000002E-16</v>
      </c>
      <c r="C199" s="31">
        <v>1.95501E-13</v>
      </c>
      <c r="D199" s="5">
        <v>1.44062E-12</v>
      </c>
      <c r="E199" s="3">
        <v>1.5506500000000001E-12</v>
      </c>
      <c r="F199" s="30">
        <v>1.5662499999999999E-12</v>
      </c>
      <c r="H199" s="2"/>
      <c r="I199" s="3">
        <v>6.0259500000000002E-14</v>
      </c>
      <c r="J199" s="3">
        <v>5.2748900000000004E-13</v>
      </c>
      <c r="K199" s="3">
        <v>5.7701900000000003E-13</v>
      </c>
      <c r="L199" s="30">
        <v>5.2012799999999998E-13</v>
      </c>
      <c r="N199" s="6"/>
      <c r="O199" s="3">
        <v>6.4251900000000003E-14</v>
      </c>
      <c r="P199" s="3">
        <v>5.2249899999999997E-13</v>
      </c>
      <c r="Q199" s="3">
        <v>5.4420800000000002E-13</v>
      </c>
      <c r="R199" s="30">
        <v>5.5593499999999999E-13</v>
      </c>
      <c r="T199" s="6"/>
      <c r="U199" s="3">
        <v>5.4146299999999999E-14</v>
      </c>
      <c r="V199" s="3">
        <v>5.48699E-13</v>
      </c>
      <c r="W199" s="3">
        <v>5.7477399999999997E-13</v>
      </c>
      <c r="X199" s="35">
        <v>5.3747000000000003E-13</v>
      </c>
      <c r="Z199" s="6"/>
      <c r="AA199" s="3">
        <v>6.0134900000000006E-14</v>
      </c>
      <c r="AB199" s="3">
        <v>5.5418900000000001E-13</v>
      </c>
      <c r="AC199" s="3">
        <v>5.4021600000000001E-13</v>
      </c>
      <c r="AD199" s="30">
        <v>5.2437099999999999E-13</v>
      </c>
      <c r="AF199" s="6"/>
      <c r="AG199" s="3">
        <v>1.9213199999999999E-14</v>
      </c>
      <c r="AH199" s="3">
        <v>2.1883100000000001E-13</v>
      </c>
      <c r="AI199" s="3">
        <v>2.24819E-13</v>
      </c>
      <c r="AJ199" s="30">
        <v>2.1171900000000001E-13</v>
      </c>
      <c r="AL199" s="6"/>
      <c r="AM199" s="3">
        <v>2.74471E-15</v>
      </c>
      <c r="AN199" s="3">
        <v>3.7926899999999999E-14</v>
      </c>
      <c r="AO199" s="3">
        <v>2.61995E-14</v>
      </c>
      <c r="AP199" s="30">
        <v>4.5786800000000002E-14</v>
      </c>
      <c r="AR199" s="6"/>
      <c r="AS199" s="3">
        <v>1.7466499999999999E-14</v>
      </c>
      <c r="AT199" s="3">
        <v>3.03169E-14</v>
      </c>
      <c r="AU199" s="30">
        <v>9.07013E-14</v>
      </c>
      <c r="AV199" s="3">
        <v>1.33494E-14</v>
      </c>
    </row>
    <row r="200" spans="2:48" x14ac:dyDescent="0.25">
      <c r="B200" s="4">
        <v>1.2480099999999999E-16</v>
      </c>
      <c r="C200" s="31">
        <v>1.9537600000000001E-13</v>
      </c>
      <c r="D200" s="5">
        <v>1.43987E-12</v>
      </c>
      <c r="E200" s="3">
        <v>1.5039899999999999E-12</v>
      </c>
      <c r="F200" s="30">
        <v>1.5531499999999999E-12</v>
      </c>
      <c r="H200" s="2"/>
      <c r="I200" s="3">
        <v>6.0010000000000001E-14</v>
      </c>
      <c r="J200" s="3">
        <v>5.2187500000000004E-13</v>
      </c>
      <c r="K200" s="3">
        <v>5.7477399999999997E-13</v>
      </c>
      <c r="L200" s="30">
        <v>5.16386E-13</v>
      </c>
      <c r="N200" s="6"/>
      <c r="O200" s="3">
        <v>6.4251900000000003E-14</v>
      </c>
      <c r="P200" s="3">
        <v>5.1713400000000003E-13</v>
      </c>
      <c r="Q200" s="3">
        <v>5.4034E-13</v>
      </c>
      <c r="R200" s="30">
        <v>5.5518699999999996E-13</v>
      </c>
      <c r="T200" s="6"/>
      <c r="U200" s="3">
        <v>5.4146299999999999E-14</v>
      </c>
      <c r="V200" s="3">
        <v>5.4296000000000004E-13</v>
      </c>
      <c r="W200" s="3">
        <v>5.7202899999999997E-13</v>
      </c>
      <c r="X200" s="35">
        <v>5.3135699999999995E-13</v>
      </c>
      <c r="Z200" s="6"/>
      <c r="AA200" s="3">
        <v>5.9011999999999999E-14</v>
      </c>
      <c r="AB200" s="3">
        <v>5.4820000000000003E-13</v>
      </c>
      <c r="AC200" s="3">
        <v>5.3822E-13</v>
      </c>
      <c r="AD200" s="30">
        <v>5.2299900000000002E-13</v>
      </c>
      <c r="AF200" s="6"/>
      <c r="AG200" s="3">
        <v>1.85894E-14</v>
      </c>
      <c r="AH200" s="3">
        <v>2.1246800000000001E-13</v>
      </c>
      <c r="AI200" s="3">
        <v>2.2145000000000001E-13</v>
      </c>
      <c r="AJ200" s="30">
        <v>2.0934899999999999E-13</v>
      </c>
      <c r="AL200" s="6"/>
      <c r="AM200" s="3">
        <v>2.74471E-15</v>
      </c>
      <c r="AN200" s="3">
        <v>3.7802100000000001E-14</v>
      </c>
      <c r="AO200" s="3">
        <v>2.4951899999999999E-14</v>
      </c>
      <c r="AP200" s="30">
        <v>4.5661999999999998E-14</v>
      </c>
      <c r="AR200" s="6"/>
      <c r="AS200" s="3">
        <v>1.64685E-14</v>
      </c>
      <c r="AT200" s="3">
        <v>3.0192199999999997E-14</v>
      </c>
      <c r="AU200" s="30">
        <v>1.24761E-16</v>
      </c>
      <c r="AV200" s="3">
        <v>1.2975100000000001E-14</v>
      </c>
    </row>
    <row r="201" spans="2:48" x14ac:dyDescent="0.25">
      <c r="B201" s="4">
        <v>1.2480099999999999E-16</v>
      </c>
      <c r="C201" s="31">
        <v>1.93504E-13</v>
      </c>
      <c r="D201" s="5">
        <v>1.4367499999999999E-12</v>
      </c>
      <c r="E201" s="3">
        <v>1.49114E-12</v>
      </c>
      <c r="F201" s="30">
        <v>1.55153E-12</v>
      </c>
      <c r="H201" s="2"/>
      <c r="I201" s="3">
        <v>5.8512900000000003E-14</v>
      </c>
      <c r="J201" s="3">
        <v>5.1226799999999995E-13</v>
      </c>
      <c r="K201" s="3">
        <v>5.7477399999999997E-13</v>
      </c>
      <c r="L201" s="30">
        <v>5.1626100000000004E-13</v>
      </c>
      <c r="N201" s="6"/>
      <c r="O201" s="3">
        <v>6.41272E-14</v>
      </c>
      <c r="P201" s="3">
        <v>5.1651099999999996E-13</v>
      </c>
      <c r="Q201" s="3">
        <v>5.3734600000000004E-13</v>
      </c>
      <c r="R201" s="30">
        <v>5.4582900000000004E-13</v>
      </c>
      <c r="T201" s="6"/>
      <c r="U201" s="3">
        <v>5.3772E-14</v>
      </c>
      <c r="V201" s="3">
        <v>5.2773899999999996E-13</v>
      </c>
      <c r="W201" s="3">
        <v>5.7152999999999999E-13</v>
      </c>
      <c r="X201" s="35">
        <v>5.2636699999999999E-13</v>
      </c>
      <c r="Z201" s="6"/>
      <c r="AA201" s="3">
        <v>5.8263400000000002E-14</v>
      </c>
      <c r="AB201" s="3">
        <v>5.4707799999999998E-13</v>
      </c>
      <c r="AC201" s="3">
        <v>5.3784500000000002E-13</v>
      </c>
      <c r="AD201" s="30">
        <v>5.1950500000000002E-13</v>
      </c>
      <c r="AF201" s="6"/>
      <c r="AG201" s="3">
        <v>1.7840800000000001E-14</v>
      </c>
      <c r="AH201" s="3">
        <v>2.0947300000000001E-13</v>
      </c>
      <c r="AI201" s="3">
        <v>2.2082699999999999E-13</v>
      </c>
      <c r="AJ201" s="30">
        <v>2.0909899999999999E-13</v>
      </c>
      <c r="AL201" s="6"/>
      <c r="AM201" s="3">
        <v>2.3704300000000001E-15</v>
      </c>
      <c r="AN201" s="3">
        <v>3.0940400000000002E-14</v>
      </c>
      <c r="AO201" s="3">
        <v>2.4452900000000001E-14</v>
      </c>
      <c r="AP201" s="30">
        <v>4.5038199999999999E-14</v>
      </c>
      <c r="AR201" s="6"/>
      <c r="AS201" s="3">
        <v>1.6343699999999999E-14</v>
      </c>
      <c r="AT201" s="3">
        <v>3.0067399999999999E-14</v>
      </c>
      <c r="AU201" s="30">
        <v>4.9904399999999999E-16</v>
      </c>
      <c r="AV201" s="3">
        <v>1.2975100000000001E-14</v>
      </c>
    </row>
    <row r="202" spans="2:48" x14ac:dyDescent="0.25">
      <c r="C202" s="31">
        <v>1.92382E-13</v>
      </c>
      <c r="D202" s="5">
        <v>1.4207799999999999E-12</v>
      </c>
      <c r="E202" s="3">
        <v>1.4751700000000001E-12</v>
      </c>
      <c r="F202" s="30">
        <v>1.5266999999999999E-12</v>
      </c>
      <c r="H202" s="2"/>
      <c r="I202" s="3">
        <v>5.8263400000000002E-14</v>
      </c>
      <c r="J202" s="3">
        <v>5.0964899999999998E-13</v>
      </c>
      <c r="K202" s="3">
        <v>5.7177900000000004E-13</v>
      </c>
      <c r="L202" s="30">
        <v>5.1576199999999996E-13</v>
      </c>
      <c r="N202" s="6"/>
      <c r="O202" s="3">
        <v>6.1507199999999994E-14</v>
      </c>
      <c r="P202" s="3">
        <v>5.1476400000000001E-13</v>
      </c>
      <c r="Q202" s="3">
        <v>5.2898700000000004E-13</v>
      </c>
      <c r="R202" s="30">
        <v>5.4370799999999997E-13</v>
      </c>
      <c r="T202" s="6"/>
      <c r="U202" s="3">
        <v>5.3397700000000002E-14</v>
      </c>
      <c r="V202" s="3">
        <v>5.2312300000000001E-13</v>
      </c>
      <c r="W202" s="3">
        <v>5.6529199999999995E-13</v>
      </c>
      <c r="X202" s="35">
        <v>5.2549300000000003E-13</v>
      </c>
      <c r="Z202" s="6"/>
      <c r="AA202" s="3">
        <v>5.8138699999999999E-14</v>
      </c>
      <c r="AB202" s="3">
        <v>5.4695300000000002E-13</v>
      </c>
      <c r="AC202" s="3">
        <v>5.3659800000000001E-13</v>
      </c>
      <c r="AD202" s="30">
        <v>5.18382E-13</v>
      </c>
      <c r="AF202" s="6"/>
      <c r="AG202" s="3">
        <v>1.7466499999999999E-14</v>
      </c>
      <c r="AH202" s="3">
        <v>2.0348499999999999E-13</v>
      </c>
      <c r="AI202" s="3">
        <v>2.1670999999999999E-13</v>
      </c>
      <c r="AJ202" s="30">
        <v>2.06479E-13</v>
      </c>
      <c r="AL202" s="6"/>
      <c r="AM202" s="3">
        <v>2.2456700000000001E-15</v>
      </c>
      <c r="AN202" s="3">
        <v>2.9817500000000001E-14</v>
      </c>
      <c r="AO202" s="3">
        <v>2.2830999999999999E-14</v>
      </c>
      <c r="AP202" s="30">
        <v>4.3416300000000003E-14</v>
      </c>
      <c r="AR202" s="6"/>
      <c r="AS202" s="3">
        <v>1.6218899999999999E-14</v>
      </c>
      <c r="AT202" s="3">
        <v>2.9443600000000001E-14</v>
      </c>
      <c r="AU202" s="30">
        <v>4.9904399999999999E-16</v>
      </c>
      <c r="AV202" s="3">
        <v>1.2850400000000001E-14</v>
      </c>
    </row>
    <row r="203" spans="2:48" x14ac:dyDescent="0.25">
      <c r="C203" s="31">
        <v>1.9001100000000001E-13</v>
      </c>
      <c r="D203" s="5">
        <v>1.4154099999999999E-12</v>
      </c>
      <c r="E203" s="3">
        <v>1.46145E-12</v>
      </c>
      <c r="F203" s="30">
        <v>1.4908899999999999E-12</v>
      </c>
      <c r="H203" s="2"/>
      <c r="I203" s="3">
        <v>5.7514800000000006E-14</v>
      </c>
      <c r="J203" s="3">
        <v>5.0378499999999996E-13</v>
      </c>
      <c r="K203" s="3">
        <v>5.5917899999999997E-13</v>
      </c>
      <c r="L203" s="30">
        <v>5.1538800000000005E-13</v>
      </c>
      <c r="N203" s="6"/>
      <c r="O203" s="3">
        <v>6.1257700000000006E-14</v>
      </c>
      <c r="P203" s="3">
        <v>5.1052199999999997E-13</v>
      </c>
      <c r="Q203" s="3">
        <v>5.2511900000000002E-13</v>
      </c>
      <c r="R203" s="30">
        <v>5.4058899999999995E-13</v>
      </c>
      <c r="T203" s="6"/>
      <c r="U203" s="3">
        <v>5.2773899999999997E-14</v>
      </c>
      <c r="V203" s="3">
        <v>5.1713400000000003E-13</v>
      </c>
      <c r="W203" s="3">
        <v>5.5007099999999997E-13</v>
      </c>
      <c r="X203" s="35">
        <v>5.18382E-13</v>
      </c>
      <c r="Z203" s="6"/>
      <c r="AA203" s="3">
        <v>5.8013900000000002E-14</v>
      </c>
      <c r="AB203" s="3">
        <v>5.43085E-13</v>
      </c>
      <c r="AC203" s="3">
        <v>5.3609900000000004E-13</v>
      </c>
      <c r="AD203" s="30">
        <v>5.0141500000000004E-13</v>
      </c>
      <c r="AF203" s="6"/>
      <c r="AG203" s="3">
        <v>1.7341799999999999E-14</v>
      </c>
      <c r="AH203" s="3">
        <v>2.0323499999999999E-13</v>
      </c>
      <c r="AI203" s="3">
        <v>2.15337E-13</v>
      </c>
      <c r="AJ203" s="30">
        <v>2.0535600000000001E-13</v>
      </c>
      <c r="AL203" s="6"/>
      <c r="AM203" s="3">
        <v>2.2456700000000001E-15</v>
      </c>
      <c r="AN203" s="3">
        <v>2.8819499999999999E-14</v>
      </c>
      <c r="AO203" s="3">
        <v>2.0211E-14</v>
      </c>
      <c r="AP203" s="30">
        <v>3.5431699999999997E-14</v>
      </c>
      <c r="AR203" s="6"/>
      <c r="AS203" s="3">
        <v>1.5096099999999999E-14</v>
      </c>
      <c r="AT203" s="3">
        <v>2.91941E-14</v>
      </c>
      <c r="AU203" s="30">
        <v>1.7466500000000001E-15</v>
      </c>
      <c r="AV203" s="3">
        <v>1.2850400000000001E-14</v>
      </c>
    </row>
    <row r="204" spans="2:48" x14ac:dyDescent="0.25">
      <c r="C204" s="31">
        <v>1.8826400000000001E-13</v>
      </c>
      <c r="D204" s="5">
        <v>1.4147900000000001E-12</v>
      </c>
      <c r="E204" s="3">
        <v>1.44972E-12</v>
      </c>
      <c r="F204" s="30">
        <v>1.4750500000000001E-12</v>
      </c>
      <c r="H204" s="2"/>
      <c r="I204" s="3">
        <v>5.7389999999999996E-14</v>
      </c>
      <c r="J204" s="3">
        <v>5.0241200000000002E-13</v>
      </c>
      <c r="K204" s="3">
        <v>5.5743200000000002E-13</v>
      </c>
      <c r="L204" s="30">
        <v>5.1264300000000004E-13</v>
      </c>
      <c r="N204" s="6"/>
      <c r="O204" s="3">
        <v>6.1132899999999996E-14</v>
      </c>
      <c r="P204" s="3">
        <v>5.1027300000000002E-13</v>
      </c>
      <c r="Q204" s="3">
        <v>5.2462000000000004E-13</v>
      </c>
      <c r="R204" s="30">
        <v>5.3871800000000001E-13</v>
      </c>
      <c r="T204" s="6"/>
      <c r="U204" s="3">
        <v>5.2773899999999997E-14</v>
      </c>
      <c r="V204" s="3">
        <v>5.0765200000000001E-13</v>
      </c>
      <c r="W204" s="3">
        <v>5.4770099999999995E-13</v>
      </c>
      <c r="X204" s="35">
        <v>5.1339099999999997E-13</v>
      </c>
      <c r="Z204" s="6"/>
      <c r="AA204" s="3">
        <v>5.7889199999999999E-14</v>
      </c>
      <c r="AB204" s="3">
        <v>5.4271099999999999E-13</v>
      </c>
      <c r="AC204" s="3">
        <v>5.3298000000000002E-13</v>
      </c>
      <c r="AD204" s="30">
        <v>5.0128999999999998E-13</v>
      </c>
      <c r="AF204" s="6"/>
      <c r="AG204" s="3">
        <v>1.6468399999999999E-14</v>
      </c>
      <c r="AH204" s="3">
        <v>1.98245E-13</v>
      </c>
      <c r="AI204" s="3">
        <v>2.1421399999999999E-13</v>
      </c>
      <c r="AJ204" s="30">
        <v>2.0435800000000001E-13</v>
      </c>
      <c r="AL204" s="6"/>
      <c r="AM204" s="3">
        <v>2.12091E-15</v>
      </c>
      <c r="AN204" s="3">
        <v>2.5451000000000001E-14</v>
      </c>
      <c r="AO204" s="3">
        <v>1.8589199999999998E-14</v>
      </c>
      <c r="AP204" s="30">
        <v>3.4308899999999997E-14</v>
      </c>
      <c r="AR204" s="6"/>
      <c r="AS204" s="3">
        <v>1.4971300000000001E-14</v>
      </c>
      <c r="AT204" s="3">
        <v>2.8694999999999998E-14</v>
      </c>
      <c r="AU204" s="30">
        <v>2.4952199999999999E-15</v>
      </c>
      <c r="AV204" s="3">
        <v>1.27256E-14</v>
      </c>
    </row>
    <row r="205" spans="2:48" x14ac:dyDescent="0.25">
      <c r="C205" s="31">
        <v>1.8614299999999999E-13</v>
      </c>
      <c r="D205" s="5">
        <v>1.41379E-12</v>
      </c>
      <c r="E205" s="3">
        <v>1.4491E-12</v>
      </c>
      <c r="F205" s="30">
        <v>1.45796E-12</v>
      </c>
      <c r="H205" s="2"/>
      <c r="I205" s="3">
        <v>5.7140499999999995E-14</v>
      </c>
      <c r="J205" s="3">
        <v>5.0153900000000003E-13</v>
      </c>
      <c r="K205" s="3">
        <v>5.4994600000000001E-13</v>
      </c>
      <c r="L205" s="30">
        <v>5.0228800000000003E-13</v>
      </c>
      <c r="N205" s="6"/>
      <c r="O205" s="3">
        <v>6.0259599999999996E-14</v>
      </c>
      <c r="P205" s="3">
        <v>5.0391000000000002E-13</v>
      </c>
      <c r="Q205" s="3">
        <v>5.2412099999999996E-13</v>
      </c>
      <c r="R205" s="30">
        <v>5.30359E-13</v>
      </c>
      <c r="T205" s="6"/>
      <c r="U205" s="3">
        <v>5.2524400000000003E-14</v>
      </c>
      <c r="V205" s="3">
        <v>5.0241299999999999E-13</v>
      </c>
      <c r="W205" s="3">
        <v>5.4271000000000002E-13</v>
      </c>
      <c r="X205" s="35">
        <v>5.1326699999999998E-13</v>
      </c>
      <c r="Z205" s="6"/>
      <c r="AA205" s="3">
        <v>5.7390100000000003E-14</v>
      </c>
      <c r="AB205" s="3">
        <v>5.3759599999999996E-13</v>
      </c>
      <c r="AC205" s="3">
        <v>5.2823900000000001E-13</v>
      </c>
      <c r="AD205" s="30">
        <v>5.0041699999999999E-13</v>
      </c>
      <c r="AF205" s="6"/>
      <c r="AG205" s="3">
        <v>1.6343699999999999E-14</v>
      </c>
      <c r="AH205" s="3">
        <v>1.96997E-13</v>
      </c>
      <c r="AI205" s="3">
        <v>2.13341E-13</v>
      </c>
      <c r="AJ205" s="30">
        <v>1.9949300000000001E-13</v>
      </c>
      <c r="AL205" s="6"/>
      <c r="AM205" s="3">
        <v>2.12091E-15</v>
      </c>
      <c r="AN205" s="3">
        <v>2.52014E-14</v>
      </c>
      <c r="AO205" s="3">
        <v>1.5969199999999999E-14</v>
      </c>
      <c r="AP205" s="30">
        <v>3.1813700000000002E-14</v>
      </c>
      <c r="AR205" s="6"/>
      <c r="AS205" s="3">
        <v>1.4846600000000001E-14</v>
      </c>
      <c r="AT205" s="3">
        <v>2.7696900000000001E-14</v>
      </c>
      <c r="AU205" s="30">
        <v>1.8714199999999999E-15</v>
      </c>
      <c r="AV205" s="3">
        <v>1.27256E-14</v>
      </c>
    </row>
    <row r="206" spans="2:48" x14ac:dyDescent="0.25">
      <c r="C206" s="31">
        <v>1.8589399999999999E-13</v>
      </c>
      <c r="D206" s="5">
        <v>1.4103E-12</v>
      </c>
      <c r="E206" s="3">
        <v>1.4477299999999999E-12</v>
      </c>
      <c r="F206" s="30">
        <v>1.4479800000000001E-12</v>
      </c>
      <c r="H206" s="2"/>
      <c r="I206" s="3">
        <v>5.7015800000000005E-14</v>
      </c>
      <c r="J206" s="3">
        <v>4.9891899999999999E-13</v>
      </c>
      <c r="K206" s="3">
        <v>5.3572399999999995E-13</v>
      </c>
      <c r="L206" s="30">
        <v>4.9779599999999997E-13</v>
      </c>
      <c r="N206" s="6"/>
      <c r="O206" s="3">
        <v>6.0259599999999996E-14</v>
      </c>
      <c r="P206" s="3">
        <v>4.9492699999999998E-13</v>
      </c>
      <c r="Q206" s="3">
        <v>5.2237400000000001E-13</v>
      </c>
      <c r="R206" s="30">
        <v>5.2674100000000001E-13</v>
      </c>
      <c r="T206" s="6"/>
      <c r="U206" s="3">
        <v>5.2025300000000001E-14</v>
      </c>
      <c r="V206" s="3">
        <v>5.0141399999999997E-13</v>
      </c>
      <c r="W206" s="3">
        <v>5.3073300000000002E-13</v>
      </c>
      <c r="X206" s="35">
        <v>5.0852599999999997E-13</v>
      </c>
      <c r="Z206" s="6"/>
      <c r="AA206" s="3">
        <v>5.6516799999999997E-14</v>
      </c>
      <c r="AB206" s="3">
        <v>5.3535000000000004E-13</v>
      </c>
      <c r="AC206" s="3">
        <v>5.2362199999999999E-13</v>
      </c>
      <c r="AD206" s="30">
        <v>4.8931299999999998E-13</v>
      </c>
      <c r="AF206" s="6"/>
      <c r="AG206" s="3">
        <v>1.4222700000000001E-14</v>
      </c>
      <c r="AH206" s="3">
        <v>1.94253E-13</v>
      </c>
      <c r="AI206" s="3">
        <v>2.06729E-13</v>
      </c>
      <c r="AJ206" s="30">
        <v>1.97746E-13</v>
      </c>
      <c r="AL206" s="6"/>
      <c r="AM206" s="3">
        <v>2.12091E-15</v>
      </c>
      <c r="AN206" s="3">
        <v>2.40786E-14</v>
      </c>
      <c r="AO206" s="3">
        <v>1.5220700000000001E-14</v>
      </c>
      <c r="AP206" s="30">
        <v>2.7696600000000001E-14</v>
      </c>
      <c r="AR206" s="6"/>
      <c r="AS206" s="3">
        <v>1.4597E-14</v>
      </c>
      <c r="AT206" s="3">
        <v>2.71979E-14</v>
      </c>
      <c r="AU206" s="30">
        <v>1.62189E-15</v>
      </c>
      <c r="AV206" s="3">
        <v>1.2476099999999999E-14</v>
      </c>
    </row>
    <row r="207" spans="2:48" x14ac:dyDescent="0.25">
      <c r="C207" s="31">
        <v>1.8464599999999999E-13</v>
      </c>
      <c r="D207" s="5">
        <v>1.39857E-12</v>
      </c>
      <c r="E207" s="3">
        <v>1.4409899999999999E-12</v>
      </c>
      <c r="F207" s="30">
        <v>1.4402399999999999E-12</v>
      </c>
      <c r="H207" s="2"/>
      <c r="I207" s="3">
        <v>5.6890999999999995E-14</v>
      </c>
      <c r="J207" s="3">
        <v>4.9642400000000001E-13</v>
      </c>
      <c r="K207" s="3">
        <v>5.3285399999999998E-13</v>
      </c>
      <c r="L207" s="30">
        <v>4.9779599999999997E-13</v>
      </c>
      <c r="N207" s="6"/>
      <c r="O207" s="3">
        <v>5.9885299999999998E-14</v>
      </c>
      <c r="P207" s="3">
        <v>4.9255599999999999E-13</v>
      </c>
      <c r="Q207" s="3">
        <v>5.1701000000000004E-13</v>
      </c>
      <c r="R207" s="30">
        <v>5.2611699999999997E-13</v>
      </c>
      <c r="T207" s="6"/>
      <c r="U207" s="3">
        <v>5.17758E-14</v>
      </c>
      <c r="V207" s="3">
        <v>4.8968699999999999E-13</v>
      </c>
      <c r="W207" s="3">
        <v>5.2698999999999996E-13</v>
      </c>
      <c r="X207" s="35">
        <v>4.9966799999999999E-13</v>
      </c>
      <c r="Z207" s="6"/>
      <c r="AA207" s="3">
        <v>5.6392E-14</v>
      </c>
      <c r="AB207" s="3">
        <v>5.2886199999999997E-13</v>
      </c>
      <c r="AC207" s="3">
        <v>5.1988E-13</v>
      </c>
      <c r="AD207" s="30">
        <v>4.8794100000000001E-13</v>
      </c>
      <c r="AF207" s="6"/>
      <c r="AG207" s="3">
        <v>1.2850400000000001E-14</v>
      </c>
      <c r="AH207" s="3">
        <v>1.8901300000000001E-13</v>
      </c>
      <c r="AI207" s="3">
        <v>2.0398399999999999E-13</v>
      </c>
      <c r="AJ207" s="30">
        <v>1.9325499999999999E-13</v>
      </c>
      <c r="AL207" s="6"/>
      <c r="AM207" s="3">
        <v>1.9961499999999999E-15</v>
      </c>
      <c r="AN207" s="3">
        <v>2.29558E-14</v>
      </c>
      <c r="AO207" s="3">
        <v>1.50959E-14</v>
      </c>
      <c r="AP207" s="30">
        <v>2.7571900000000001E-14</v>
      </c>
      <c r="AR207" s="6"/>
      <c r="AS207" s="3">
        <v>1.44723E-14</v>
      </c>
      <c r="AT207" s="3">
        <v>2.6823600000000001E-14</v>
      </c>
      <c r="AU207" s="30">
        <v>3.7428299999999999E-16</v>
      </c>
      <c r="AV207" s="3">
        <v>1.23513E-14</v>
      </c>
    </row>
    <row r="208" spans="2:48" x14ac:dyDescent="0.25">
      <c r="C208" s="31">
        <v>1.84023E-13</v>
      </c>
      <c r="D208" s="5">
        <v>1.3965800000000001E-12</v>
      </c>
      <c r="E208" s="3">
        <v>1.4342500000000001E-12</v>
      </c>
      <c r="F208" s="30">
        <v>1.4345E-12</v>
      </c>
      <c r="H208" s="2"/>
      <c r="I208" s="3">
        <v>5.6766199999999997E-14</v>
      </c>
      <c r="J208" s="3">
        <v>4.9542599999999995E-13</v>
      </c>
      <c r="K208" s="3">
        <v>5.3123199999999999E-13</v>
      </c>
      <c r="L208" s="30">
        <v>4.9667299999999996E-13</v>
      </c>
      <c r="N208" s="6"/>
      <c r="O208" s="3">
        <v>5.9011999999999999E-14</v>
      </c>
      <c r="P208" s="3">
        <v>4.9155800000000003E-13</v>
      </c>
      <c r="Q208" s="3">
        <v>5.1289299999999996E-13</v>
      </c>
      <c r="R208" s="30">
        <v>5.2000399999999999E-13</v>
      </c>
      <c r="T208" s="6"/>
      <c r="U208" s="3">
        <v>5.1276799999999999E-14</v>
      </c>
      <c r="V208" s="3">
        <v>4.8781499999999998E-13</v>
      </c>
      <c r="W208" s="3">
        <v>5.2511900000000002E-13</v>
      </c>
      <c r="X208" s="35">
        <v>4.9679800000000002E-13</v>
      </c>
      <c r="Z208" s="6"/>
      <c r="AA208" s="3">
        <v>5.5393900000000003E-14</v>
      </c>
      <c r="AB208" s="3">
        <v>5.2087799999999995E-13</v>
      </c>
      <c r="AC208" s="3">
        <v>5.1888200000000005E-13</v>
      </c>
      <c r="AD208" s="30">
        <v>4.86818E-13</v>
      </c>
      <c r="AF208" s="6"/>
      <c r="AG208" s="3">
        <v>1.2476099999999999E-14</v>
      </c>
      <c r="AH208" s="3">
        <v>1.88139E-13</v>
      </c>
      <c r="AI208" s="3">
        <v>2.00865E-13</v>
      </c>
      <c r="AJ208" s="30">
        <v>1.8764E-13</v>
      </c>
      <c r="AL208" s="6"/>
      <c r="AM208" s="3">
        <v>1.9961499999999999E-15</v>
      </c>
      <c r="AN208" s="3">
        <v>2.1832899999999999E-14</v>
      </c>
      <c r="AO208" s="3">
        <v>1.35988E-14</v>
      </c>
      <c r="AP208" s="30">
        <v>2.73223E-14</v>
      </c>
      <c r="AR208" s="6"/>
      <c r="AS208" s="3">
        <v>1.44723E-14</v>
      </c>
      <c r="AT208" s="3">
        <v>2.4702700000000001E-14</v>
      </c>
      <c r="AU208" s="30">
        <v>1.7466499999999999E-14</v>
      </c>
      <c r="AV208" s="3">
        <v>1.21018E-14</v>
      </c>
    </row>
    <row r="209" spans="3:48" x14ac:dyDescent="0.25">
      <c r="C209" s="31">
        <v>1.83274E-13</v>
      </c>
      <c r="D209" s="5">
        <v>1.3898400000000001E-12</v>
      </c>
      <c r="E209" s="3">
        <v>1.43188E-12</v>
      </c>
      <c r="F209" s="30">
        <v>1.4325099999999999E-12</v>
      </c>
      <c r="H209" s="2"/>
      <c r="I209" s="3">
        <v>5.66415E-14</v>
      </c>
      <c r="J209" s="3">
        <v>4.9318000000000003E-13</v>
      </c>
      <c r="K209" s="3">
        <v>5.2736500000000005E-13</v>
      </c>
      <c r="L209" s="30">
        <v>4.9143299999999997E-13</v>
      </c>
      <c r="N209" s="6"/>
      <c r="O209" s="3">
        <v>5.8637700000000001E-14</v>
      </c>
      <c r="P209" s="3">
        <v>4.9093499999999997E-13</v>
      </c>
      <c r="Q209" s="3">
        <v>5.10772E-13</v>
      </c>
      <c r="R209" s="30">
        <v>5.1538800000000005E-13</v>
      </c>
      <c r="T209" s="6"/>
      <c r="U209" s="3">
        <v>5.1152000000000001E-14</v>
      </c>
      <c r="V209" s="3">
        <v>4.8220099999999998E-13</v>
      </c>
      <c r="W209" s="3">
        <v>5.2462000000000004E-13</v>
      </c>
      <c r="X209" s="35">
        <v>4.9505200000000004E-13</v>
      </c>
      <c r="Z209" s="6"/>
      <c r="AA209" s="3">
        <v>5.3896799999999998E-14</v>
      </c>
      <c r="AB209" s="3">
        <v>5.1850699999999996E-13</v>
      </c>
      <c r="AC209" s="3">
        <v>5.1102200000000002E-13</v>
      </c>
      <c r="AD209" s="30">
        <v>4.8519600000000001E-13</v>
      </c>
      <c r="AF209" s="6"/>
      <c r="AG209" s="3">
        <v>1.2476099999999999E-14</v>
      </c>
      <c r="AH209" s="3">
        <v>1.86268E-13</v>
      </c>
      <c r="AI209" s="3">
        <v>1.9811999999999999E-13</v>
      </c>
      <c r="AJ209" s="30">
        <v>1.8152699999999999E-13</v>
      </c>
      <c r="AL209" s="6"/>
      <c r="AM209" s="3">
        <v>1.8713899999999998E-15</v>
      </c>
      <c r="AN209" s="3">
        <v>1.90882E-14</v>
      </c>
      <c r="AO209" s="3">
        <v>1.3473999999999999E-14</v>
      </c>
      <c r="AP209" s="30">
        <v>2.5825199999999998E-14</v>
      </c>
      <c r="AR209" s="6"/>
      <c r="AS209" s="3">
        <v>1.4347499999999999E-14</v>
      </c>
      <c r="AT209" s="3">
        <v>2.45779E-14</v>
      </c>
      <c r="AU209" s="30">
        <v>3.7428299999999999E-16</v>
      </c>
      <c r="AV209" s="3">
        <v>1.19771E-14</v>
      </c>
    </row>
    <row r="210" spans="3:48" x14ac:dyDescent="0.25">
      <c r="C210" s="31">
        <v>1.8052899999999999E-13</v>
      </c>
      <c r="D210" s="5">
        <v>1.3897099999999999E-12</v>
      </c>
      <c r="E210" s="3">
        <v>1.43026E-12</v>
      </c>
      <c r="F210" s="30">
        <v>1.4308800000000001E-12</v>
      </c>
      <c r="H210" s="2"/>
      <c r="I210" s="3">
        <v>5.6392E-14</v>
      </c>
      <c r="J210" s="3">
        <v>4.9143299999999997E-13</v>
      </c>
      <c r="K210" s="3">
        <v>5.2674100000000001E-13</v>
      </c>
      <c r="L210" s="30">
        <v>4.9068500000000004E-13</v>
      </c>
      <c r="N210" s="6"/>
      <c r="O210" s="3">
        <v>5.8512900000000003E-14</v>
      </c>
      <c r="P210" s="3">
        <v>4.86069E-13</v>
      </c>
      <c r="Q210" s="3">
        <v>5.10772E-13</v>
      </c>
      <c r="R210" s="30">
        <v>5.1413999999999997E-13</v>
      </c>
      <c r="T210" s="6"/>
      <c r="U210" s="3">
        <v>5.1152000000000001E-14</v>
      </c>
      <c r="V210" s="3">
        <v>4.8220099999999998E-13</v>
      </c>
      <c r="W210" s="3">
        <v>5.22749E-13</v>
      </c>
      <c r="X210" s="35">
        <v>4.9043500000000002E-13</v>
      </c>
      <c r="Z210" s="6"/>
      <c r="AA210" s="3">
        <v>5.3272999999999999E-14</v>
      </c>
      <c r="AB210" s="3">
        <v>5.1376599999999995E-13</v>
      </c>
      <c r="AC210" s="3">
        <v>5.0964899999999998E-13</v>
      </c>
      <c r="AD210" s="30">
        <v>4.7920700000000002E-13</v>
      </c>
      <c r="AF210" s="6"/>
      <c r="AG210" s="3">
        <v>1.2476099999999999E-14</v>
      </c>
      <c r="AH210" s="3">
        <v>1.84771E-13</v>
      </c>
      <c r="AI210" s="3">
        <v>1.9687299999999999E-13</v>
      </c>
      <c r="AJ210" s="30">
        <v>1.8077799999999999E-13</v>
      </c>
      <c r="AL210" s="6"/>
      <c r="AM210" s="3">
        <v>1.8713899999999998E-15</v>
      </c>
      <c r="AN210" s="3">
        <v>1.90882E-14</v>
      </c>
      <c r="AO210" s="3">
        <v>1.3349299999999999E-14</v>
      </c>
      <c r="AP210" s="30">
        <v>2.4577600000000001E-14</v>
      </c>
      <c r="AR210" s="6"/>
      <c r="AS210" s="3">
        <v>1.4347499999999999E-14</v>
      </c>
      <c r="AT210" s="3">
        <v>2.45779E-14</v>
      </c>
      <c r="AU210" s="30">
        <v>1.24761E-16</v>
      </c>
      <c r="AV210" s="3">
        <v>1.1478000000000001E-14</v>
      </c>
    </row>
    <row r="211" spans="3:48" x14ac:dyDescent="0.25">
      <c r="C211" s="31">
        <v>1.7978099999999999E-13</v>
      </c>
      <c r="D211" s="5">
        <v>1.38859E-12</v>
      </c>
      <c r="E211" s="3">
        <v>1.4160400000000001E-12</v>
      </c>
      <c r="F211" s="30">
        <v>1.4236500000000001E-12</v>
      </c>
      <c r="H211" s="2"/>
      <c r="I211" s="3">
        <v>5.6142399999999998E-14</v>
      </c>
      <c r="J211" s="3">
        <v>4.8968699999999999E-13</v>
      </c>
      <c r="K211" s="3">
        <v>5.2462000000000004E-13</v>
      </c>
      <c r="L211" s="30">
        <v>4.8893799999999999E-13</v>
      </c>
      <c r="N211" s="6"/>
      <c r="O211" s="3">
        <v>5.8263400000000002E-14</v>
      </c>
      <c r="P211" s="3">
        <v>4.8095399999999997E-13</v>
      </c>
      <c r="Q211" s="3">
        <v>5.0677900000000002E-13</v>
      </c>
      <c r="R211" s="30">
        <v>5.12019E-13</v>
      </c>
      <c r="T211" s="6"/>
      <c r="U211" s="3">
        <v>5.0403399999999999E-14</v>
      </c>
      <c r="V211" s="3">
        <v>4.8157700000000004E-13</v>
      </c>
      <c r="W211" s="3">
        <v>5.2100200000000005E-13</v>
      </c>
      <c r="X211" s="35">
        <v>4.8893799999999999E-13</v>
      </c>
      <c r="Z211" s="6"/>
      <c r="AA211" s="3">
        <v>5.3272999999999999E-14</v>
      </c>
      <c r="AB211" s="3">
        <v>5.1364199999999996E-13</v>
      </c>
      <c r="AC211" s="3">
        <v>4.9891999999999996E-13</v>
      </c>
      <c r="AD211" s="30">
        <v>4.7621299999999996E-13</v>
      </c>
      <c r="AF211" s="6"/>
      <c r="AG211" s="3">
        <v>1.23513E-14</v>
      </c>
      <c r="AH211" s="3">
        <v>1.84272E-13</v>
      </c>
      <c r="AI211" s="3">
        <v>1.88638E-13</v>
      </c>
      <c r="AJ211" s="30">
        <v>1.80155E-13</v>
      </c>
      <c r="AL211" s="6"/>
      <c r="AM211" s="3">
        <v>1.7466299999999999E-15</v>
      </c>
      <c r="AN211" s="3">
        <v>1.7591100000000001E-14</v>
      </c>
      <c r="AO211" s="3">
        <v>1.17274E-14</v>
      </c>
      <c r="AP211" s="30">
        <v>2.42034E-14</v>
      </c>
      <c r="AR211" s="6"/>
      <c r="AS211" s="3">
        <v>1.4347499999999999E-14</v>
      </c>
      <c r="AT211" s="3">
        <v>2.43284E-14</v>
      </c>
      <c r="AU211" s="30">
        <v>8.7332699999999998E-16</v>
      </c>
      <c r="AV211" s="3">
        <v>1.1353299999999999E-14</v>
      </c>
    </row>
    <row r="212" spans="3:48" x14ac:dyDescent="0.25">
      <c r="C212" s="31">
        <v>1.76911E-13</v>
      </c>
      <c r="D212" s="5">
        <v>1.3722499999999999E-12</v>
      </c>
      <c r="E212" s="3">
        <v>1.4149100000000001E-12</v>
      </c>
      <c r="F212" s="30">
        <v>1.4175299999999999E-12</v>
      </c>
      <c r="H212" s="2"/>
      <c r="I212" s="3">
        <v>5.5518599999999999E-14</v>
      </c>
      <c r="J212" s="3">
        <v>4.8719200000000001E-13</v>
      </c>
      <c r="K212" s="3">
        <v>5.2262400000000004E-13</v>
      </c>
      <c r="L212" s="30">
        <v>4.8794000000000004E-13</v>
      </c>
      <c r="N212" s="6"/>
      <c r="O212" s="3">
        <v>5.8138600000000005E-14</v>
      </c>
      <c r="P212" s="3">
        <v>4.7958100000000003E-13</v>
      </c>
      <c r="Q212" s="3">
        <v>5.0590600000000003E-13</v>
      </c>
      <c r="R212" s="30">
        <v>5.0677900000000002E-13</v>
      </c>
      <c r="T212" s="6"/>
      <c r="U212" s="3">
        <v>4.9280599999999999E-14</v>
      </c>
      <c r="V212" s="3">
        <v>4.7633699999999995E-13</v>
      </c>
      <c r="W212" s="3">
        <v>5.1900600000000004E-13</v>
      </c>
      <c r="X212" s="35">
        <v>4.8794000000000004E-13</v>
      </c>
      <c r="Z212" s="6"/>
      <c r="AA212" s="3">
        <v>5.2898700000000001E-14</v>
      </c>
      <c r="AB212" s="3">
        <v>5.1064700000000004E-13</v>
      </c>
      <c r="AC212" s="3">
        <v>4.9829600000000002E-13</v>
      </c>
      <c r="AD212" s="30">
        <v>4.7446699999999998E-13</v>
      </c>
      <c r="AF212" s="6"/>
      <c r="AG212" s="3">
        <v>1.22266E-14</v>
      </c>
      <c r="AH212" s="3">
        <v>1.83523E-13</v>
      </c>
      <c r="AI212" s="3">
        <v>1.88638E-13</v>
      </c>
      <c r="AJ212" s="30">
        <v>1.79656E-13</v>
      </c>
      <c r="AL212" s="6"/>
      <c r="AM212" s="3">
        <v>1.7466299999999999E-15</v>
      </c>
      <c r="AN212" s="3">
        <v>1.6967299999999999E-14</v>
      </c>
      <c r="AO212" s="3">
        <v>1.1228400000000001E-14</v>
      </c>
      <c r="AP212" s="30">
        <v>2.3080499999999999E-14</v>
      </c>
      <c r="AR212" s="6"/>
      <c r="AS212" s="3">
        <v>1.4098E-14</v>
      </c>
      <c r="AT212" s="3">
        <v>2.2956000000000001E-14</v>
      </c>
      <c r="AU212" s="30">
        <v>2.2956000000000001E-14</v>
      </c>
      <c r="AV212" s="3">
        <v>1.0479900000000001E-14</v>
      </c>
    </row>
    <row r="213" spans="3:48" x14ac:dyDescent="0.25">
      <c r="C213" s="31">
        <v>1.7653700000000001E-13</v>
      </c>
      <c r="D213" s="5">
        <v>1.37075E-12</v>
      </c>
      <c r="E213" s="3">
        <v>1.4146700000000001E-12</v>
      </c>
      <c r="F213" s="30">
        <v>1.4174099999999999E-12</v>
      </c>
      <c r="H213" s="2"/>
      <c r="I213" s="3">
        <v>5.4770099999999998E-14</v>
      </c>
      <c r="J213" s="3">
        <v>4.7571399999999999E-13</v>
      </c>
      <c r="K213" s="3">
        <v>5.2112700000000001E-13</v>
      </c>
      <c r="L213" s="30">
        <v>4.8719200000000001E-13</v>
      </c>
      <c r="N213" s="6"/>
      <c r="O213" s="3">
        <v>5.7015800000000005E-14</v>
      </c>
      <c r="P213" s="3">
        <v>4.7758500000000003E-13</v>
      </c>
      <c r="Q213" s="3">
        <v>5.0366E-13</v>
      </c>
      <c r="R213" s="30">
        <v>5.0465800000000005E-13</v>
      </c>
      <c r="T213" s="6"/>
      <c r="U213" s="3">
        <v>4.8407299999999999E-14</v>
      </c>
      <c r="V213" s="3">
        <v>4.7583799999999998E-13</v>
      </c>
      <c r="W213" s="3">
        <v>5.1239300000000002E-13</v>
      </c>
      <c r="X213" s="35">
        <v>4.8182699999999996E-13</v>
      </c>
      <c r="Z213" s="6"/>
      <c r="AA213" s="3">
        <v>5.1900599999999998E-14</v>
      </c>
      <c r="AB213" s="3">
        <v>5.0964899999999998E-13</v>
      </c>
      <c r="AC213" s="3">
        <v>4.9430400000000001E-13</v>
      </c>
      <c r="AD213" s="30">
        <v>4.7434200000000002E-13</v>
      </c>
      <c r="AF213" s="6"/>
      <c r="AG213" s="3">
        <v>1.1977E-14</v>
      </c>
      <c r="AH213" s="3">
        <v>1.8339799999999999E-13</v>
      </c>
      <c r="AI213" s="3">
        <v>1.8739099999999999E-13</v>
      </c>
      <c r="AJ213" s="30">
        <v>1.77909E-13</v>
      </c>
      <c r="AL213" s="6"/>
      <c r="AM213" s="3">
        <v>1.7466299999999999E-15</v>
      </c>
      <c r="AN213" s="3">
        <v>1.6842499999999999E-14</v>
      </c>
      <c r="AO213" s="3">
        <v>1.11036E-14</v>
      </c>
      <c r="AP213" s="30">
        <v>2.2706200000000001E-14</v>
      </c>
      <c r="AR213" s="6"/>
      <c r="AS213" s="3">
        <v>1.34742E-14</v>
      </c>
      <c r="AT213" s="3">
        <v>2.2831299999999998E-14</v>
      </c>
      <c r="AU213" s="30">
        <v>6.2380499999999999E-16</v>
      </c>
      <c r="AV213" s="3">
        <v>1.0355200000000001E-14</v>
      </c>
    </row>
    <row r="214" spans="3:48" x14ac:dyDescent="0.25">
      <c r="C214" s="31">
        <v>1.7653700000000001E-13</v>
      </c>
      <c r="D214" s="5">
        <v>1.3706200000000001E-12</v>
      </c>
      <c r="E214" s="3">
        <v>1.4084300000000001E-12</v>
      </c>
      <c r="F214" s="30">
        <v>1.40606E-12</v>
      </c>
      <c r="H214" s="2"/>
      <c r="I214" s="3">
        <v>5.35225E-14</v>
      </c>
      <c r="J214" s="3">
        <v>4.7546399999999996E-13</v>
      </c>
      <c r="K214" s="3">
        <v>5.2087699999999998E-13</v>
      </c>
      <c r="L214" s="30">
        <v>4.8581899999999997E-13</v>
      </c>
      <c r="N214" s="6"/>
      <c r="O214" s="3">
        <v>5.66415E-14</v>
      </c>
      <c r="P214" s="3">
        <v>4.7733599999999998E-13</v>
      </c>
      <c r="Q214" s="3">
        <v>4.9966799999999999E-13</v>
      </c>
      <c r="R214" s="30">
        <v>5.04409E-13</v>
      </c>
      <c r="T214" s="6"/>
      <c r="U214" s="3">
        <v>4.7908199999999997E-14</v>
      </c>
      <c r="V214" s="3">
        <v>4.7546399999999996E-13</v>
      </c>
      <c r="W214" s="3">
        <v>5.0153900000000003E-13</v>
      </c>
      <c r="X214" s="35">
        <v>4.7159700000000001E-13</v>
      </c>
      <c r="Z214" s="6"/>
      <c r="AA214" s="3">
        <v>5.1651099999999997E-14</v>
      </c>
      <c r="AB214" s="3">
        <v>5.0727899999999996E-13</v>
      </c>
      <c r="AC214" s="3">
        <v>4.93181E-13</v>
      </c>
      <c r="AD214" s="30">
        <v>4.67729E-13</v>
      </c>
      <c r="AF214" s="6"/>
      <c r="AG214" s="3">
        <v>1.1977E-14</v>
      </c>
      <c r="AH214" s="3">
        <v>1.8265000000000001E-13</v>
      </c>
      <c r="AI214" s="3">
        <v>1.8701600000000001E-13</v>
      </c>
      <c r="AJ214" s="30">
        <v>1.76911E-13</v>
      </c>
      <c r="AL214" s="6"/>
      <c r="AM214" s="3">
        <v>1.7466299999999999E-15</v>
      </c>
      <c r="AN214" s="3">
        <v>1.6717799999999999E-14</v>
      </c>
      <c r="AO214" s="3">
        <v>1.04798E-14</v>
      </c>
      <c r="AP214" s="30">
        <v>2.12091E-14</v>
      </c>
      <c r="AR214" s="6"/>
      <c r="AS214" s="3">
        <v>1.34742E-14</v>
      </c>
      <c r="AT214" s="3">
        <v>2.2706500000000001E-14</v>
      </c>
      <c r="AU214" s="30">
        <v>1.24761E-16</v>
      </c>
      <c r="AV214" s="3">
        <v>1.02304E-14</v>
      </c>
    </row>
    <row r="215" spans="3:48" x14ac:dyDescent="0.25">
      <c r="C215" s="31">
        <v>1.7628700000000001E-13</v>
      </c>
      <c r="D215" s="5">
        <v>1.3662600000000001E-12</v>
      </c>
      <c r="E215" s="3">
        <v>1.40581E-12</v>
      </c>
      <c r="F215" s="30">
        <v>1.40281E-12</v>
      </c>
      <c r="H215" s="2"/>
      <c r="I215" s="3">
        <v>5.28986E-14</v>
      </c>
      <c r="J215" s="3">
        <v>4.75339E-13</v>
      </c>
      <c r="K215" s="3">
        <v>5.1513800000000002E-13</v>
      </c>
      <c r="L215" s="30">
        <v>4.8307399999999997E-13</v>
      </c>
      <c r="N215" s="6"/>
      <c r="O215" s="3">
        <v>5.6267200000000002E-14</v>
      </c>
      <c r="P215" s="3">
        <v>4.7571399999999999E-13</v>
      </c>
      <c r="Q215" s="3">
        <v>4.97297E-13</v>
      </c>
      <c r="R215" s="30">
        <v>5.0391000000000002E-13</v>
      </c>
      <c r="T215" s="6"/>
      <c r="U215" s="3">
        <v>4.7908199999999997E-14</v>
      </c>
      <c r="V215" s="3">
        <v>4.6548299999999997E-13</v>
      </c>
      <c r="W215" s="3">
        <v>4.9555100000000002E-13</v>
      </c>
      <c r="X215" s="35">
        <v>4.6922600000000002E-13</v>
      </c>
      <c r="Z215" s="6"/>
      <c r="AA215" s="3">
        <v>4.95302E-14</v>
      </c>
      <c r="AB215" s="3">
        <v>4.9854499999999997E-13</v>
      </c>
      <c r="AC215" s="3">
        <v>4.9193300000000002E-13</v>
      </c>
      <c r="AD215" s="30">
        <v>4.6648199999999999E-13</v>
      </c>
      <c r="AF215" s="6"/>
      <c r="AG215" s="3">
        <v>1.1852300000000001E-14</v>
      </c>
      <c r="AH215" s="3">
        <v>1.82525E-13</v>
      </c>
      <c r="AI215" s="3">
        <v>1.85519E-13</v>
      </c>
      <c r="AJ215" s="30">
        <v>1.7628700000000001E-13</v>
      </c>
      <c r="AL215" s="6"/>
      <c r="AM215" s="3">
        <v>1.6218700000000001E-15</v>
      </c>
      <c r="AN215" s="3">
        <v>1.6593000000000001E-14</v>
      </c>
      <c r="AO215" s="3">
        <v>8.7331699999999999E-15</v>
      </c>
      <c r="AP215" s="30">
        <v>1.8838699999999999E-14</v>
      </c>
      <c r="AR215" s="6"/>
      <c r="AS215" s="3">
        <v>1.23513E-14</v>
      </c>
      <c r="AT215" s="3">
        <v>2.22075E-14</v>
      </c>
      <c r="AU215" s="30">
        <v>7.4856599999999998E-16</v>
      </c>
      <c r="AV215" s="3">
        <v>1.02304E-14</v>
      </c>
    </row>
    <row r="216" spans="3:48" x14ac:dyDescent="0.25">
      <c r="C216" s="31">
        <v>1.7504E-13</v>
      </c>
      <c r="D216" s="5">
        <v>1.36039E-12</v>
      </c>
      <c r="E216" s="3">
        <v>1.3846E-12</v>
      </c>
      <c r="F216" s="30">
        <v>1.4013199999999999E-12</v>
      </c>
      <c r="H216" s="2"/>
      <c r="I216" s="3">
        <v>5.2773899999999997E-14</v>
      </c>
      <c r="J216" s="3">
        <v>4.7234500000000004E-13</v>
      </c>
      <c r="K216" s="3">
        <v>5.0977299999999997E-13</v>
      </c>
      <c r="L216" s="30">
        <v>4.7696099999999999E-13</v>
      </c>
      <c r="N216" s="6"/>
      <c r="O216" s="3">
        <v>5.5892899999999998E-14</v>
      </c>
      <c r="P216" s="3">
        <v>4.7259499999999997E-13</v>
      </c>
      <c r="Q216" s="3">
        <v>4.8906299999999995E-13</v>
      </c>
      <c r="R216" s="30">
        <v>5.0191400000000002E-13</v>
      </c>
      <c r="T216" s="6"/>
      <c r="U216" s="3">
        <v>4.7658700000000003E-14</v>
      </c>
      <c r="V216" s="3">
        <v>4.6186499999999997E-13</v>
      </c>
      <c r="W216" s="3">
        <v>4.8744099999999996E-13</v>
      </c>
      <c r="X216" s="35">
        <v>4.61366E-13</v>
      </c>
      <c r="Z216" s="6"/>
      <c r="AA216" s="3">
        <v>4.7034899999999998E-14</v>
      </c>
      <c r="AB216" s="3">
        <v>4.9630000000000002E-13</v>
      </c>
      <c r="AC216" s="3">
        <v>4.9031100000000003E-13</v>
      </c>
      <c r="AD216" s="30">
        <v>4.5912100000000004E-13</v>
      </c>
      <c r="AF216" s="6"/>
      <c r="AG216" s="3">
        <v>1.13532E-14</v>
      </c>
      <c r="AH216" s="3">
        <v>1.8190100000000001E-13</v>
      </c>
      <c r="AI216" s="3">
        <v>1.8502E-13</v>
      </c>
      <c r="AJ216" s="30">
        <v>1.7217000000000001E-13</v>
      </c>
      <c r="AL216" s="6"/>
      <c r="AM216" s="3">
        <v>1.3723600000000001E-15</v>
      </c>
      <c r="AN216" s="3">
        <v>1.62187E-14</v>
      </c>
      <c r="AO216" s="3">
        <v>8.6084099999999998E-15</v>
      </c>
      <c r="AP216" s="30">
        <v>1.7840599999999999E-14</v>
      </c>
      <c r="AR216" s="6"/>
      <c r="AS216" s="3">
        <v>1.16028E-14</v>
      </c>
      <c r="AT216" s="3">
        <v>2.1708400000000001E-14</v>
      </c>
      <c r="AU216" s="30">
        <v>1.7466500000000001E-15</v>
      </c>
      <c r="AV216" s="3">
        <v>1.02304E-14</v>
      </c>
    </row>
    <row r="217" spans="3:48" x14ac:dyDescent="0.25">
      <c r="C217" s="31">
        <v>1.7441599999999999E-13</v>
      </c>
      <c r="D217" s="5">
        <v>1.3566500000000001E-12</v>
      </c>
      <c r="E217" s="3">
        <v>1.3806099999999999E-12</v>
      </c>
      <c r="F217" s="30">
        <v>1.40032E-12</v>
      </c>
      <c r="H217" s="2"/>
      <c r="I217" s="3">
        <v>5.2274800000000001E-14</v>
      </c>
      <c r="J217" s="3">
        <v>4.6560800000000003E-13</v>
      </c>
      <c r="K217" s="3">
        <v>5.0528199999999999E-13</v>
      </c>
      <c r="L217" s="30">
        <v>4.7122200000000003E-13</v>
      </c>
      <c r="N217" s="6"/>
      <c r="O217" s="3">
        <v>5.5269099999999999E-14</v>
      </c>
      <c r="P217" s="3">
        <v>4.6760400000000003E-13</v>
      </c>
      <c r="Q217" s="3">
        <v>4.8843900000000002E-13</v>
      </c>
      <c r="R217" s="30">
        <v>4.8769099999999999E-13</v>
      </c>
      <c r="T217" s="6"/>
      <c r="U217" s="3">
        <v>4.7284399999999998E-14</v>
      </c>
      <c r="V217" s="3">
        <v>4.5887100000000001E-13</v>
      </c>
      <c r="W217" s="3">
        <v>4.8257599999999996E-13</v>
      </c>
      <c r="X217" s="35">
        <v>4.6099199999999998E-13</v>
      </c>
      <c r="Z217" s="6"/>
      <c r="AA217" s="3">
        <v>4.5038799999999998E-14</v>
      </c>
      <c r="AB217" s="3">
        <v>4.8893899999999996E-13</v>
      </c>
      <c r="AC217" s="3">
        <v>4.8132799999999999E-13</v>
      </c>
      <c r="AD217" s="30">
        <v>4.4963900000000002E-13</v>
      </c>
      <c r="AF217" s="6"/>
      <c r="AG217" s="3">
        <v>1.12285E-14</v>
      </c>
      <c r="AH217" s="3">
        <v>1.7977999999999999E-13</v>
      </c>
      <c r="AI217" s="3">
        <v>1.8464599999999999E-13</v>
      </c>
      <c r="AJ217" s="30">
        <v>1.7042300000000001E-13</v>
      </c>
      <c r="AL217" s="6"/>
      <c r="AM217" s="3">
        <v>1.3723600000000001E-15</v>
      </c>
      <c r="AN217" s="3">
        <v>1.5594900000000001E-14</v>
      </c>
      <c r="AO217" s="3">
        <v>8.4836499999999997E-15</v>
      </c>
      <c r="AP217" s="30">
        <v>1.40978E-14</v>
      </c>
      <c r="AR217" s="6"/>
      <c r="AS217" s="3">
        <v>1.1478000000000001E-14</v>
      </c>
      <c r="AT217" s="3">
        <v>2.1209399999999999E-14</v>
      </c>
      <c r="AU217" s="30">
        <v>1.8714199999999999E-15</v>
      </c>
      <c r="AV217" s="3">
        <v>9.8561199999999997E-15</v>
      </c>
    </row>
    <row r="218" spans="3:48" x14ac:dyDescent="0.25">
      <c r="C218" s="31">
        <v>1.7391699999999999E-13</v>
      </c>
      <c r="D218" s="5">
        <v>1.3510400000000001E-12</v>
      </c>
      <c r="E218" s="3">
        <v>1.3751199999999999E-12</v>
      </c>
      <c r="F218" s="30">
        <v>1.37923E-12</v>
      </c>
      <c r="H218" s="2"/>
      <c r="I218" s="3">
        <v>5.17758E-14</v>
      </c>
      <c r="J218" s="3">
        <v>4.6473500000000004E-13</v>
      </c>
      <c r="K218" s="3">
        <v>5.0153900000000003E-13</v>
      </c>
      <c r="L218" s="30">
        <v>4.6273799999999996E-13</v>
      </c>
      <c r="N218" s="6"/>
      <c r="O218" s="3">
        <v>5.4271000000000002E-14</v>
      </c>
      <c r="P218" s="3">
        <v>4.6648100000000002E-13</v>
      </c>
      <c r="Q218" s="3">
        <v>4.8694199999999999E-13</v>
      </c>
      <c r="R218" s="30">
        <v>4.8357400000000002E-13</v>
      </c>
      <c r="T218" s="6"/>
      <c r="U218" s="3">
        <v>4.7159700000000001E-14</v>
      </c>
      <c r="V218" s="3">
        <v>4.5437999999999998E-13</v>
      </c>
      <c r="W218" s="3">
        <v>4.8195200000000002E-13</v>
      </c>
      <c r="X218" s="35">
        <v>4.5936999999999999E-13</v>
      </c>
      <c r="Z218" s="6"/>
      <c r="AA218" s="3">
        <v>4.4914000000000001E-14</v>
      </c>
      <c r="AB218" s="3">
        <v>4.8719200000000001E-13</v>
      </c>
      <c r="AC218" s="3">
        <v>4.8008099999999998E-13</v>
      </c>
      <c r="AD218" s="30">
        <v>4.4789200000000002E-13</v>
      </c>
      <c r="AF218" s="6"/>
      <c r="AG218" s="3">
        <v>1.1103699999999999E-14</v>
      </c>
      <c r="AH218" s="3">
        <v>1.7853299999999999E-13</v>
      </c>
      <c r="AI218" s="3">
        <v>1.8265000000000001E-13</v>
      </c>
      <c r="AJ218" s="30">
        <v>1.7017400000000001E-13</v>
      </c>
      <c r="AL218" s="6"/>
      <c r="AM218" s="3">
        <v>1.3723600000000001E-15</v>
      </c>
      <c r="AN218" s="3">
        <v>1.30998E-14</v>
      </c>
      <c r="AO218" s="3">
        <v>8.1093699999999995E-15</v>
      </c>
      <c r="AP218" s="30">
        <v>1.26007E-14</v>
      </c>
      <c r="AR218" s="6"/>
      <c r="AS218" s="3">
        <v>1.1478000000000001E-14</v>
      </c>
      <c r="AT218" s="3">
        <v>2.1209399999999999E-14</v>
      </c>
      <c r="AU218" s="30">
        <v>1.1228500000000001E-15</v>
      </c>
      <c r="AV218" s="3">
        <v>9.8561199999999997E-15</v>
      </c>
    </row>
    <row r="219" spans="3:48" x14ac:dyDescent="0.25">
      <c r="C219" s="31">
        <v>1.71546E-13</v>
      </c>
      <c r="D219" s="5">
        <v>1.3469200000000001E-12</v>
      </c>
      <c r="E219" s="3">
        <v>1.3697500000000001E-12</v>
      </c>
      <c r="F219" s="30">
        <v>1.3781100000000001E-12</v>
      </c>
      <c r="H219" s="2"/>
      <c r="I219" s="3">
        <v>5.1651000000000003E-14</v>
      </c>
      <c r="J219" s="3">
        <v>4.6186499999999997E-13</v>
      </c>
      <c r="K219" s="3">
        <v>4.9829500000000005E-13</v>
      </c>
      <c r="L219" s="30">
        <v>4.61366E-13</v>
      </c>
      <c r="N219" s="6"/>
      <c r="O219" s="3">
        <v>5.2274900000000002E-14</v>
      </c>
      <c r="P219" s="3">
        <v>4.6610700000000001E-13</v>
      </c>
      <c r="Q219" s="3">
        <v>4.8644300000000001E-13</v>
      </c>
      <c r="R219" s="30">
        <v>4.8207699999999999E-13</v>
      </c>
      <c r="T219" s="6"/>
      <c r="U219" s="3">
        <v>4.7034899999999998E-14</v>
      </c>
      <c r="V219" s="3">
        <v>4.5275799999999999E-13</v>
      </c>
      <c r="W219" s="3">
        <v>4.78957E-13</v>
      </c>
      <c r="X219" s="35">
        <v>4.5762300000000004E-13</v>
      </c>
      <c r="Z219" s="6"/>
      <c r="AA219" s="3">
        <v>4.4789200000000003E-14</v>
      </c>
      <c r="AB219" s="3">
        <v>4.8706700000000005E-13</v>
      </c>
      <c r="AC219" s="3">
        <v>4.7808499999999998E-13</v>
      </c>
      <c r="AD219" s="30">
        <v>4.4614599999999999E-13</v>
      </c>
      <c r="AF219" s="6"/>
      <c r="AG219" s="3">
        <v>1.0979E-14</v>
      </c>
      <c r="AH219" s="3">
        <v>1.77909E-13</v>
      </c>
      <c r="AI219" s="3">
        <v>1.80155E-13</v>
      </c>
      <c r="AJ219" s="30">
        <v>1.70049E-13</v>
      </c>
      <c r="AL219" s="6"/>
      <c r="AM219" s="3">
        <v>1.3723600000000001E-15</v>
      </c>
      <c r="AN219" s="3">
        <v>1.22264E-14</v>
      </c>
      <c r="AO219" s="3">
        <v>6.9865400000000001E-15</v>
      </c>
      <c r="AP219" s="30">
        <v>1.22264E-14</v>
      </c>
      <c r="AR219" s="6"/>
      <c r="AS219" s="3">
        <v>1.0979E-14</v>
      </c>
      <c r="AT219" s="3">
        <v>2.07103E-14</v>
      </c>
      <c r="AU219" s="30">
        <v>3.7428299999999999E-16</v>
      </c>
      <c r="AV219" s="3">
        <v>9.7313599999999996E-15</v>
      </c>
    </row>
    <row r="220" spans="3:48" x14ac:dyDescent="0.25">
      <c r="C220" s="31">
        <v>1.7029899999999999E-13</v>
      </c>
      <c r="D220" s="5">
        <v>1.3332E-12</v>
      </c>
      <c r="E220" s="3">
        <v>1.35852E-12</v>
      </c>
      <c r="F220" s="30">
        <v>1.3705000000000001E-12</v>
      </c>
      <c r="H220" s="2"/>
      <c r="I220" s="3">
        <v>5.15263E-14</v>
      </c>
      <c r="J220" s="3">
        <v>4.6086700000000002E-13</v>
      </c>
      <c r="K220" s="3">
        <v>4.9517600000000003E-13</v>
      </c>
      <c r="L220" s="30">
        <v>4.5462899999999998E-13</v>
      </c>
      <c r="N220" s="6"/>
      <c r="O220" s="3">
        <v>5.1900599999999998E-14</v>
      </c>
      <c r="P220" s="3">
        <v>4.6498399999999999E-13</v>
      </c>
      <c r="Q220" s="3">
        <v>4.8631800000000005E-13</v>
      </c>
      <c r="R220" s="30">
        <v>4.8207699999999999E-13</v>
      </c>
      <c r="T220" s="6"/>
      <c r="U220" s="3">
        <v>4.6785399999999997E-14</v>
      </c>
      <c r="V220" s="3">
        <v>4.4652E-13</v>
      </c>
      <c r="W220" s="3">
        <v>4.7758500000000003E-13</v>
      </c>
      <c r="X220" s="35">
        <v>4.4315100000000001E-13</v>
      </c>
      <c r="Z220" s="6"/>
      <c r="AA220" s="3">
        <v>4.4290200000000002E-14</v>
      </c>
      <c r="AB220" s="3">
        <v>4.8594500000000001E-13</v>
      </c>
      <c r="AC220" s="3">
        <v>4.7696199999999996E-13</v>
      </c>
      <c r="AD220" s="30">
        <v>4.4340099999999998E-13</v>
      </c>
      <c r="AF220" s="6"/>
      <c r="AG220" s="3">
        <v>1.08542E-14</v>
      </c>
      <c r="AH220" s="3">
        <v>1.7716E-13</v>
      </c>
      <c r="AI220" s="3">
        <v>1.76412E-13</v>
      </c>
      <c r="AJ220" s="30">
        <v>1.68677E-13</v>
      </c>
      <c r="AL220" s="6"/>
      <c r="AM220" s="3">
        <v>1.3723600000000001E-15</v>
      </c>
      <c r="AN220" s="3">
        <v>1.18522E-14</v>
      </c>
      <c r="AO220" s="3">
        <v>6.73702E-15</v>
      </c>
      <c r="AP220" s="30">
        <v>1.17274E-14</v>
      </c>
      <c r="AR220" s="6"/>
      <c r="AS220" s="3">
        <v>1.07294E-14</v>
      </c>
      <c r="AT220" s="3">
        <v>2.0585600000000001E-14</v>
      </c>
      <c r="AU220" s="30">
        <v>1.24761E-16</v>
      </c>
      <c r="AV220" s="3">
        <v>9.6065999999999996E-15</v>
      </c>
    </row>
    <row r="221" spans="3:48" x14ac:dyDescent="0.25">
      <c r="C221" s="31">
        <v>1.70049E-13</v>
      </c>
      <c r="D221" s="5">
        <v>1.31748E-12</v>
      </c>
      <c r="E221" s="3">
        <v>1.35478E-12</v>
      </c>
      <c r="F221" s="30">
        <v>1.36613E-12</v>
      </c>
      <c r="H221" s="2"/>
      <c r="I221" s="3">
        <v>5.1401500000000002E-14</v>
      </c>
      <c r="J221" s="3">
        <v>4.5899599999999998E-13</v>
      </c>
      <c r="K221" s="3">
        <v>4.9081000000000001E-13</v>
      </c>
      <c r="L221" s="30">
        <v>4.52134E-13</v>
      </c>
      <c r="N221" s="6"/>
      <c r="O221" s="3">
        <v>5.1900599999999998E-14</v>
      </c>
      <c r="P221" s="3">
        <v>4.6348699999999996E-13</v>
      </c>
      <c r="Q221" s="3">
        <v>4.8344899999999995E-13</v>
      </c>
      <c r="R221" s="30">
        <v>4.7883300000000001E-13</v>
      </c>
      <c r="T221" s="6"/>
      <c r="U221" s="3">
        <v>4.6161599999999998E-14</v>
      </c>
      <c r="V221" s="3">
        <v>4.4539699999999999E-13</v>
      </c>
      <c r="W221" s="3">
        <v>4.7484000000000002E-13</v>
      </c>
      <c r="X221" s="35">
        <v>4.4227800000000002E-13</v>
      </c>
      <c r="Z221" s="6"/>
      <c r="AA221" s="3">
        <v>4.29178E-14</v>
      </c>
      <c r="AB221" s="3">
        <v>4.8482199999999999E-13</v>
      </c>
      <c r="AC221" s="3">
        <v>4.7658800000000005E-13</v>
      </c>
      <c r="AD221" s="30">
        <v>4.3965800000000002E-13</v>
      </c>
      <c r="AF221" s="6"/>
      <c r="AG221" s="3">
        <v>1.0479900000000001E-14</v>
      </c>
      <c r="AH221" s="3">
        <v>1.7466499999999999E-13</v>
      </c>
      <c r="AI221" s="3">
        <v>1.7528900000000001E-13</v>
      </c>
      <c r="AJ221" s="30">
        <v>1.66431E-13</v>
      </c>
      <c r="AL221" s="6"/>
      <c r="AM221" s="3">
        <v>1.2476E-15</v>
      </c>
      <c r="AN221" s="3">
        <v>1.0978799999999999E-14</v>
      </c>
      <c r="AO221" s="3">
        <v>6.73702E-15</v>
      </c>
      <c r="AP221" s="30">
        <v>1.0854099999999999E-14</v>
      </c>
      <c r="AR221" s="6"/>
      <c r="AS221" s="3">
        <v>1.07294E-14</v>
      </c>
      <c r="AT221" s="3">
        <v>1.94627E-14</v>
      </c>
      <c r="AU221" s="30">
        <v>3.3685499999999999E-15</v>
      </c>
      <c r="AV221" s="3">
        <v>9.6065999999999996E-15</v>
      </c>
    </row>
    <row r="222" spans="3:48" x14ac:dyDescent="0.25">
      <c r="C222" s="31">
        <v>1.6880199999999999E-13</v>
      </c>
      <c r="D222" s="5">
        <v>1.3157300000000001E-12</v>
      </c>
      <c r="E222" s="3">
        <v>1.33469E-12</v>
      </c>
      <c r="F222" s="30">
        <v>1.36514E-12</v>
      </c>
      <c r="H222" s="2"/>
      <c r="I222" s="3">
        <v>5.1152000000000001E-14</v>
      </c>
      <c r="J222" s="3">
        <v>4.5300699999999999E-13</v>
      </c>
      <c r="K222" s="3">
        <v>4.8744099999999996E-13</v>
      </c>
      <c r="L222" s="30">
        <v>4.4514700000000001E-13</v>
      </c>
      <c r="N222" s="6"/>
      <c r="O222" s="3">
        <v>5.17758E-14</v>
      </c>
      <c r="P222" s="3">
        <v>4.6261399999999997E-13</v>
      </c>
      <c r="Q222" s="3">
        <v>4.82451E-13</v>
      </c>
      <c r="R222" s="30">
        <v>4.7646200000000001E-13</v>
      </c>
      <c r="T222" s="6"/>
      <c r="U222" s="3">
        <v>4.5912000000000003E-14</v>
      </c>
      <c r="V222" s="3">
        <v>4.4464799999999999E-13</v>
      </c>
      <c r="W222" s="3">
        <v>4.7371700000000001E-13</v>
      </c>
      <c r="X222" s="35">
        <v>4.4165399999999998E-13</v>
      </c>
      <c r="Z222" s="6"/>
      <c r="AA222" s="3">
        <v>4.1046399999999997E-14</v>
      </c>
      <c r="AB222" s="3">
        <v>4.8020600000000004E-13</v>
      </c>
      <c r="AC222" s="3">
        <v>4.7509000000000005E-13</v>
      </c>
      <c r="AD222" s="30">
        <v>4.27931E-13</v>
      </c>
      <c r="AF222" s="6"/>
      <c r="AG222" s="3">
        <v>9.98087E-15</v>
      </c>
      <c r="AH222" s="3">
        <v>1.71796E-13</v>
      </c>
      <c r="AI222" s="3">
        <v>1.6892600000000001E-13</v>
      </c>
      <c r="AJ222" s="30">
        <v>1.6281300000000001E-13</v>
      </c>
      <c r="AL222" s="6"/>
      <c r="AM222" s="3">
        <v>1.2476E-15</v>
      </c>
      <c r="AN222" s="3">
        <v>1.01055E-14</v>
      </c>
      <c r="AO222" s="3">
        <v>6.2379799999999997E-15</v>
      </c>
      <c r="AP222" s="30">
        <v>1.01055E-14</v>
      </c>
      <c r="AR222" s="6"/>
      <c r="AS222" s="3">
        <v>1.07294E-14</v>
      </c>
      <c r="AT222" s="3">
        <v>1.8215099999999999E-14</v>
      </c>
      <c r="AU222" s="30">
        <v>3.7428299999999999E-16</v>
      </c>
      <c r="AV222" s="3">
        <v>9.4818399999999995E-15</v>
      </c>
    </row>
    <row r="223" spans="3:48" x14ac:dyDescent="0.25">
      <c r="C223" s="31">
        <v>1.6755399999999999E-13</v>
      </c>
      <c r="D223" s="5">
        <v>1.3156100000000001E-12</v>
      </c>
      <c r="E223" s="3">
        <v>1.3314499999999999E-12</v>
      </c>
      <c r="F223" s="30">
        <v>1.35004E-12</v>
      </c>
      <c r="H223" s="2"/>
      <c r="I223" s="3">
        <v>5.0777700000000003E-14</v>
      </c>
      <c r="J223" s="3">
        <v>4.5275799999999999E-13</v>
      </c>
      <c r="K223" s="3">
        <v>4.8619299999999999E-13</v>
      </c>
      <c r="L223" s="30">
        <v>4.4464799999999999E-13</v>
      </c>
      <c r="N223" s="6"/>
      <c r="O223" s="3">
        <v>5.1651099999999997E-14</v>
      </c>
      <c r="P223" s="3">
        <v>4.5986899999999997E-13</v>
      </c>
      <c r="Q223" s="3">
        <v>4.8070400000000005E-13</v>
      </c>
      <c r="R223" s="30">
        <v>4.7596300000000004E-13</v>
      </c>
      <c r="T223" s="6"/>
      <c r="U223" s="3">
        <v>4.5912000000000003E-14</v>
      </c>
      <c r="V223" s="3">
        <v>4.4065599999999998E-13</v>
      </c>
      <c r="W223" s="3">
        <v>4.6960000000000004E-13</v>
      </c>
      <c r="X223" s="35">
        <v>4.3965800000000002E-13</v>
      </c>
      <c r="Z223" s="6"/>
      <c r="AA223" s="3">
        <v>4.1046399999999997E-14</v>
      </c>
      <c r="AB223" s="3">
        <v>4.77586E-13</v>
      </c>
      <c r="AC223" s="3">
        <v>4.7272000000000003E-13</v>
      </c>
      <c r="AD223" s="30">
        <v>4.2780599999999998E-13</v>
      </c>
      <c r="AF223" s="6"/>
      <c r="AG223" s="3">
        <v>9.7313400000000001E-15</v>
      </c>
      <c r="AH223" s="3">
        <v>1.693E-13</v>
      </c>
      <c r="AI223" s="3">
        <v>1.6880099999999999E-13</v>
      </c>
      <c r="AJ223" s="30">
        <v>1.6256300000000001E-13</v>
      </c>
      <c r="AL223" s="6"/>
      <c r="AM223" s="3">
        <v>1.2476E-15</v>
      </c>
      <c r="AN223" s="3">
        <v>9.9807599999999993E-15</v>
      </c>
      <c r="AO223" s="3">
        <v>5.7389400000000001E-15</v>
      </c>
      <c r="AP223" s="30">
        <v>9.8560100000000006E-15</v>
      </c>
      <c r="AR223" s="6"/>
      <c r="AS223" s="3">
        <v>1.07294E-14</v>
      </c>
      <c r="AT223" s="3">
        <v>1.8090300000000001E-14</v>
      </c>
      <c r="AU223" s="30">
        <v>3.2437900000000002E-15</v>
      </c>
      <c r="AV223" s="3">
        <v>8.8580299999999993E-15</v>
      </c>
    </row>
    <row r="224" spans="3:48" x14ac:dyDescent="0.25">
      <c r="C224" s="31">
        <v>1.66681E-13</v>
      </c>
      <c r="D224" s="5">
        <v>1.3116099999999999E-12</v>
      </c>
      <c r="E224" s="3">
        <v>1.31798E-12</v>
      </c>
      <c r="F224" s="30">
        <v>1.3428000000000001E-12</v>
      </c>
      <c r="H224" s="2"/>
      <c r="I224" s="3">
        <v>5.0777700000000003E-14</v>
      </c>
      <c r="J224" s="3">
        <v>4.5101099999999999E-13</v>
      </c>
      <c r="K224" s="3">
        <v>4.8507100000000004E-13</v>
      </c>
      <c r="L224" s="30">
        <v>4.4377499999999999E-13</v>
      </c>
      <c r="N224" s="6"/>
      <c r="O224" s="3">
        <v>5.1027299999999998E-14</v>
      </c>
      <c r="P224" s="3">
        <v>4.5837200000000004E-13</v>
      </c>
      <c r="Q224" s="3">
        <v>4.7671200000000004E-13</v>
      </c>
      <c r="R224" s="30">
        <v>4.7284400000000002E-13</v>
      </c>
      <c r="T224" s="6"/>
      <c r="U224" s="3">
        <v>4.5537799999999999E-14</v>
      </c>
      <c r="V224" s="3">
        <v>4.3965800000000002E-13</v>
      </c>
      <c r="W224" s="3">
        <v>4.6835300000000003E-13</v>
      </c>
      <c r="X224" s="35">
        <v>4.35541E-13</v>
      </c>
      <c r="Z224" s="6"/>
      <c r="AA224" s="3">
        <v>4.0796900000000003E-14</v>
      </c>
      <c r="AB224" s="3">
        <v>4.6598300000000001E-13</v>
      </c>
      <c r="AC224" s="3">
        <v>4.6086799999999999E-13</v>
      </c>
      <c r="AD224" s="30">
        <v>4.2755600000000001E-13</v>
      </c>
      <c r="AF224" s="6"/>
      <c r="AG224" s="3">
        <v>9.3570599999999998E-15</v>
      </c>
      <c r="AH224" s="3">
        <v>1.6905099999999999E-13</v>
      </c>
      <c r="AI224" s="3">
        <v>1.6693E-13</v>
      </c>
      <c r="AJ224" s="30">
        <v>1.58821E-13</v>
      </c>
      <c r="AL224" s="6"/>
      <c r="AM224" s="3">
        <v>1.1228399999999999E-15</v>
      </c>
      <c r="AN224" s="3">
        <v>8.7331699999999999E-15</v>
      </c>
      <c r="AO224" s="3">
        <v>5.2398999999999998E-15</v>
      </c>
      <c r="AP224" s="30">
        <v>9.3569700000000003E-15</v>
      </c>
      <c r="AR224" s="6"/>
      <c r="AS224" s="3">
        <v>1.06047E-14</v>
      </c>
      <c r="AT224" s="3">
        <v>1.7341799999999999E-14</v>
      </c>
      <c r="AU224" s="30">
        <v>3.28246E-13</v>
      </c>
      <c r="AV224" s="3">
        <v>8.7332699999999992E-15</v>
      </c>
    </row>
    <row r="225" spans="3:48" x14ac:dyDescent="0.25">
      <c r="C225" s="31">
        <v>1.66182E-13</v>
      </c>
      <c r="D225" s="5">
        <v>1.29664E-12</v>
      </c>
      <c r="E225" s="3">
        <v>1.3143600000000001E-12</v>
      </c>
      <c r="F225" s="30">
        <v>1.34031E-12</v>
      </c>
      <c r="H225" s="2"/>
      <c r="I225" s="3">
        <v>5.0652899999999999E-14</v>
      </c>
      <c r="J225" s="3">
        <v>4.50387E-13</v>
      </c>
      <c r="K225" s="3">
        <v>4.8157700000000004E-13</v>
      </c>
      <c r="L225" s="30">
        <v>4.4227800000000002E-13</v>
      </c>
      <c r="N225" s="6"/>
      <c r="O225" s="3">
        <v>5.0777700000000003E-14</v>
      </c>
      <c r="P225" s="3">
        <v>4.5712399999999996E-13</v>
      </c>
      <c r="Q225" s="3">
        <v>4.7521500000000001E-13</v>
      </c>
      <c r="R225" s="30">
        <v>4.7271899999999996E-13</v>
      </c>
      <c r="T225" s="6"/>
      <c r="U225" s="3">
        <v>4.5537799999999999E-14</v>
      </c>
      <c r="V225" s="3">
        <v>4.3254600000000002E-13</v>
      </c>
      <c r="W225" s="3">
        <v>4.6760400000000003E-13</v>
      </c>
      <c r="X225" s="35">
        <v>4.3229700000000002E-13</v>
      </c>
      <c r="Z225" s="6"/>
      <c r="AA225" s="3">
        <v>4.0547400000000002E-14</v>
      </c>
      <c r="AB225" s="3">
        <v>4.47518E-13</v>
      </c>
      <c r="AC225" s="3">
        <v>4.6036900000000001E-13</v>
      </c>
      <c r="AD225" s="30">
        <v>4.1919700000000001E-13</v>
      </c>
      <c r="AF225" s="6"/>
      <c r="AG225" s="3">
        <v>9.1075399999999997E-15</v>
      </c>
      <c r="AH225" s="3">
        <v>1.6855199999999999E-13</v>
      </c>
      <c r="AI225" s="3">
        <v>1.6680499999999999E-13</v>
      </c>
      <c r="AJ225" s="30">
        <v>1.5844600000000001E-13</v>
      </c>
      <c r="AL225" s="6"/>
      <c r="AM225" s="3">
        <v>1.1228399999999999E-15</v>
      </c>
      <c r="AN225" s="3">
        <v>8.6084099999999998E-15</v>
      </c>
      <c r="AO225" s="3">
        <v>5.2398999999999998E-15</v>
      </c>
      <c r="AP225" s="30">
        <v>9.2322100000000002E-15</v>
      </c>
      <c r="AR225" s="6"/>
      <c r="AS225" s="3">
        <v>1.0479900000000001E-14</v>
      </c>
      <c r="AT225" s="3">
        <v>1.7092299999999999E-14</v>
      </c>
      <c r="AU225" s="30">
        <v>6.2380499999999999E-16</v>
      </c>
      <c r="AV225" s="3">
        <v>8.6085100000000007E-15</v>
      </c>
    </row>
    <row r="226" spans="3:48" x14ac:dyDescent="0.25">
      <c r="C226" s="31">
        <v>1.6555800000000001E-13</v>
      </c>
      <c r="D226" s="5">
        <v>1.28142E-12</v>
      </c>
      <c r="E226" s="3">
        <v>1.3082400000000001E-12</v>
      </c>
      <c r="F226" s="30">
        <v>1.33419E-12</v>
      </c>
      <c r="H226" s="2"/>
      <c r="I226" s="3">
        <v>5.0403399999999999E-14</v>
      </c>
      <c r="J226" s="3">
        <v>4.4614500000000001E-13</v>
      </c>
      <c r="K226" s="3">
        <v>4.7933199999999998E-13</v>
      </c>
      <c r="L226" s="30">
        <v>4.41404E-13</v>
      </c>
      <c r="N226" s="6"/>
      <c r="O226" s="3">
        <v>5.0777700000000003E-14</v>
      </c>
      <c r="P226" s="3">
        <v>4.5325700000000001E-13</v>
      </c>
      <c r="Q226" s="3">
        <v>4.7521500000000001E-13</v>
      </c>
      <c r="R226" s="30">
        <v>4.70474E-13</v>
      </c>
      <c r="T226" s="6"/>
      <c r="U226" s="3">
        <v>4.5537799999999999E-14</v>
      </c>
      <c r="V226" s="3">
        <v>4.3254600000000002E-13</v>
      </c>
      <c r="W226" s="3">
        <v>4.6735499999999998E-13</v>
      </c>
      <c r="X226" s="35">
        <v>4.3079999999999999E-13</v>
      </c>
      <c r="Z226" s="6"/>
      <c r="AA226" s="3">
        <v>4.0173099999999998E-14</v>
      </c>
      <c r="AB226" s="3">
        <v>4.47518E-13</v>
      </c>
      <c r="AC226" s="3">
        <v>4.4714399999999999E-13</v>
      </c>
      <c r="AD226" s="30">
        <v>4.0722000000000001E-13</v>
      </c>
      <c r="AF226" s="6"/>
      <c r="AG226" s="3">
        <v>8.3589800000000008E-15</v>
      </c>
      <c r="AH226" s="3">
        <v>1.6268799999999999E-13</v>
      </c>
      <c r="AI226" s="3">
        <v>1.66181E-13</v>
      </c>
      <c r="AJ226" s="30">
        <v>1.5507799999999999E-13</v>
      </c>
      <c r="AL226" s="6"/>
      <c r="AM226" s="3">
        <v>1.1228399999999999E-15</v>
      </c>
      <c r="AN226" s="3">
        <v>8.3588899999999996E-15</v>
      </c>
      <c r="AO226" s="3">
        <v>5.1151399999999997E-15</v>
      </c>
      <c r="AP226" s="30">
        <v>8.3588899999999996E-15</v>
      </c>
      <c r="AR226" s="6"/>
      <c r="AS226" s="3">
        <v>1.0479900000000001E-14</v>
      </c>
      <c r="AT226" s="3">
        <v>1.6842700000000001E-14</v>
      </c>
      <c r="AU226" s="30">
        <v>3.7428299999999999E-16</v>
      </c>
      <c r="AV226" s="3">
        <v>8.3589900000000006E-15</v>
      </c>
    </row>
    <row r="227" spans="3:48" x14ac:dyDescent="0.25">
      <c r="C227" s="31">
        <v>1.6381100000000001E-13</v>
      </c>
      <c r="D227" s="5">
        <v>1.27044E-12</v>
      </c>
      <c r="E227" s="3">
        <v>1.3055E-12</v>
      </c>
      <c r="F227" s="30">
        <v>1.3224699999999999E-12</v>
      </c>
      <c r="H227" s="2"/>
      <c r="I227" s="3">
        <v>4.8781500000000003E-14</v>
      </c>
      <c r="J227" s="3">
        <v>4.4539699999999999E-13</v>
      </c>
      <c r="K227" s="3">
        <v>4.7646200000000001E-13</v>
      </c>
      <c r="L227" s="30">
        <v>4.3703799999999998E-13</v>
      </c>
      <c r="N227" s="6"/>
      <c r="O227" s="3">
        <v>4.97796E-14</v>
      </c>
      <c r="P227" s="3">
        <v>4.4377499999999999E-13</v>
      </c>
      <c r="Q227" s="3">
        <v>4.7209599999999999E-13</v>
      </c>
      <c r="R227" s="30">
        <v>4.6610700000000001E-13</v>
      </c>
      <c r="T227" s="6"/>
      <c r="U227" s="3">
        <v>4.5163500000000001E-14</v>
      </c>
      <c r="V227" s="3">
        <v>4.2967699999999998E-13</v>
      </c>
      <c r="W227" s="3">
        <v>4.6498399999999999E-13</v>
      </c>
      <c r="X227" s="35">
        <v>4.2967699999999998E-13</v>
      </c>
      <c r="Z227" s="6"/>
      <c r="AA227" s="3">
        <v>3.9424500000000002E-14</v>
      </c>
      <c r="AB227" s="3">
        <v>4.41155E-13</v>
      </c>
      <c r="AC227" s="3">
        <v>4.4053199999999999E-13</v>
      </c>
      <c r="AD227" s="30">
        <v>4.0335300000000001E-13</v>
      </c>
      <c r="AF227" s="6"/>
      <c r="AG227" s="3">
        <v>7.8599300000000007E-15</v>
      </c>
      <c r="AH227" s="3">
        <v>1.5744800000000001E-13</v>
      </c>
      <c r="AI227" s="3">
        <v>1.6456000000000001E-13</v>
      </c>
      <c r="AJ227" s="30">
        <v>1.5432899999999999E-13</v>
      </c>
      <c r="AL227" s="6"/>
      <c r="AM227" s="3">
        <v>1.1228399999999999E-15</v>
      </c>
      <c r="AN227" s="3">
        <v>7.9846099999999994E-15</v>
      </c>
      <c r="AO227" s="3">
        <v>5.1151399999999997E-15</v>
      </c>
      <c r="AP227" s="30">
        <v>7.3608100000000006E-15</v>
      </c>
      <c r="AR227" s="6"/>
      <c r="AS227" s="3">
        <v>1.0355200000000001E-14</v>
      </c>
      <c r="AT227" s="3">
        <v>1.6718000000000001E-14</v>
      </c>
      <c r="AU227" s="30">
        <v>6.2380499999999999E-16</v>
      </c>
      <c r="AV227" s="3">
        <v>8.1094700000000004E-15</v>
      </c>
    </row>
    <row r="228" spans="3:48" x14ac:dyDescent="0.25">
      <c r="C228" s="31">
        <v>1.6318699999999999E-13</v>
      </c>
      <c r="D228" s="5">
        <v>1.26483E-12</v>
      </c>
      <c r="E228" s="3">
        <v>1.305E-12</v>
      </c>
      <c r="F228" s="30">
        <v>1.3010099999999999E-12</v>
      </c>
      <c r="H228" s="2"/>
      <c r="I228" s="3">
        <v>4.86568E-14</v>
      </c>
      <c r="J228" s="3">
        <v>4.4464799999999999E-13</v>
      </c>
      <c r="K228" s="3">
        <v>4.7583799999999998E-13</v>
      </c>
      <c r="L228" s="30">
        <v>4.35541E-13</v>
      </c>
      <c r="N228" s="6"/>
      <c r="O228" s="3">
        <v>4.9654900000000003E-14</v>
      </c>
      <c r="P228" s="3">
        <v>4.4315100000000001E-13</v>
      </c>
      <c r="Q228" s="3">
        <v>4.7197100000000003E-13</v>
      </c>
      <c r="R228" s="30">
        <v>4.6498399999999999E-13</v>
      </c>
      <c r="T228" s="6"/>
      <c r="U228" s="3">
        <v>4.4539700000000002E-14</v>
      </c>
      <c r="V228" s="3">
        <v>4.2431199999999998E-13</v>
      </c>
      <c r="W228" s="3">
        <v>4.63362E-13</v>
      </c>
      <c r="X228" s="35">
        <v>4.2443699999999999E-13</v>
      </c>
      <c r="Z228" s="6"/>
      <c r="AA228" s="3">
        <v>3.7677900000000003E-14</v>
      </c>
      <c r="AB228" s="3">
        <v>4.3629E-13</v>
      </c>
      <c r="AC228" s="3">
        <v>4.3853500000000001E-13</v>
      </c>
      <c r="AD228" s="30">
        <v>4.02479E-13</v>
      </c>
      <c r="AF228" s="6"/>
      <c r="AG228" s="3">
        <v>7.6104100000000005E-15</v>
      </c>
      <c r="AH228" s="3">
        <v>1.5333100000000001E-13</v>
      </c>
      <c r="AI228" s="3">
        <v>1.6393599999999999E-13</v>
      </c>
      <c r="AJ228" s="30">
        <v>1.5383000000000001E-13</v>
      </c>
      <c r="AL228" s="6"/>
      <c r="AM228" s="3">
        <v>1.1228399999999999E-15</v>
      </c>
      <c r="AN228" s="3">
        <v>7.1112900000000004E-15</v>
      </c>
      <c r="AO228" s="3">
        <v>4.9903799999999997E-15</v>
      </c>
      <c r="AP228" s="30">
        <v>7.1112900000000004E-15</v>
      </c>
      <c r="AR228" s="6"/>
      <c r="AS228" s="3">
        <v>1.02304E-14</v>
      </c>
      <c r="AT228" s="3">
        <v>1.6718000000000001E-14</v>
      </c>
      <c r="AU228" s="30">
        <v>5.1152E-15</v>
      </c>
      <c r="AV228" s="3">
        <v>8.1094700000000004E-15</v>
      </c>
    </row>
    <row r="229" spans="3:48" x14ac:dyDescent="0.25">
      <c r="C229" s="31">
        <v>1.63063E-13</v>
      </c>
      <c r="D229" s="5">
        <v>1.26158E-12</v>
      </c>
      <c r="E229" s="3">
        <v>1.3046300000000001E-12</v>
      </c>
      <c r="F229" s="30">
        <v>1.3010099999999999E-12</v>
      </c>
      <c r="H229" s="2"/>
      <c r="I229" s="3">
        <v>4.8407299999999999E-14</v>
      </c>
      <c r="J229" s="3">
        <v>4.42153E-13</v>
      </c>
      <c r="K229" s="3">
        <v>4.7396700000000003E-13</v>
      </c>
      <c r="L229" s="30">
        <v>4.3466699999999999E-13</v>
      </c>
      <c r="N229" s="6"/>
      <c r="O229" s="3">
        <v>4.9405400000000002E-14</v>
      </c>
      <c r="P229" s="3">
        <v>4.42153E-13</v>
      </c>
      <c r="Q229" s="3">
        <v>4.6149099999999996E-13</v>
      </c>
      <c r="R229" s="30">
        <v>4.6398600000000004E-13</v>
      </c>
      <c r="T229" s="6"/>
      <c r="U229" s="3">
        <v>4.4539700000000002E-14</v>
      </c>
      <c r="V229" s="3">
        <v>4.2131800000000002E-13</v>
      </c>
      <c r="W229" s="3">
        <v>4.6099199999999998E-13</v>
      </c>
      <c r="X229" s="35">
        <v>4.2244099999999999E-13</v>
      </c>
      <c r="Z229" s="6"/>
      <c r="AA229" s="3">
        <v>3.7303599999999998E-14</v>
      </c>
      <c r="AB229" s="3">
        <v>4.3616499999999999E-13</v>
      </c>
      <c r="AC229" s="3">
        <v>4.3841100000000002E-13</v>
      </c>
      <c r="AD229" s="30">
        <v>3.9898600000000001E-13</v>
      </c>
      <c r="AF229" s="6"/>
      <c r="AG229" s="3">
        <v>7.3608900000000004E-15</v>
      </c>
      <c r="AH229" s="3">
        <v>1.49838E-13</v>
      </c>
      <c r="AI229" s="3">
        <v>1.60817E-13</v>
      </c>
      <c r="AJ229" s="30">
        <v>1.5046199999999999E-13</v>
      </c>
      <c r="AL229" s="6"/>
      <c r="AM229" s="3">
        <v>9.9807599999999997E-16</v>
      </c>
      <c r="AN229" s="3">
        <v>6.6122599999999999E-15</v>
      </c>
      <c r="AO229" s="3">
        <v>4.8656200000000004E-15</v>
      </c>
      <c r="AP229" s="30">
        <v>6.6122599999999999E-15</v>
      </c>
      <c r="AR229" s="6"/>
      <c r="AS229" s="3">
        <v>1.0105600000000001E-14</v>
      </c>
      <c r="AT229" s="3">
        <v>1.64685E-14</v>
      </c>
      <c r="AU229" s="30">
        <v>2.07103E-14</v>
      </c>
      <c r="AV229" s="3">
        <v>7.9847100000000003E-15</v>
      </c>
    </row>
    <row r="230" spans="3:48" x14ac:dyDescent="0.25">
      <c r="C230" s="31">
        <v>1.6293799999999999E-13</v>
      </c>
      <c r="D230" s="5">
        <v>1.2600899999999999E-12</v>
      </c>
      <c r="E230" s="3">
        <v>1.29801E-12</v>
      </c>
      <c r="F230" s="30">
        <v>1.2997599999999999E-12</v>
      </c>
      <c r="H230" s="2"/>
      <c r="I230" s="3">
        <v>4.8407299999999999E-14</v>
      </c>
      <c r="J230" s="3">
        <v>4.3953300000000001E-13</v>
      </c>
      <c r="K230" s="3">
        <v>4.7022399999999998E-13</v>
      </c>
      <c r="L230" s="30">
        <v>4.2830399999999999E-13</v>
      </c>
      <c r="N230" s="6"/>
      <c r="O230" s="3">
        <v>4.89063E-14</v>
      </c>
      <c r="P230" s="3">
        <v>4.3703799999999998E-13</v>
      </c>
      <c r="Q230" s="3">
        <v>4.58497E-13</v>
      </c>
      <c r="R230" s="30">
        <v>4.6199000000000003E-13</v>
      </c>
      <c r="T230" s="6"/>
      <c r="U230" s="3">
        <v>4.4165399999999998E-14</v>
      </c>
      <c r="V230" s="3">
        <v>4.20819E-13</v>
      </c>
      <c r="W230" s="3">
        <v>4.5612600000000001E-13</v>
      </c>
      <c r="X230" s="35">
        <v>4.1745E-13</v>
      </c>
      <c r="Z230" s="6"/>
      <c r="AA230" s="3">
        <v>3.5681700000000002E-14</v>
      </c>
      <c r="AB230" s="3">
        <v>4.2655800000000001E-13</v>
      </c>
      <c r="AC230" s="3">
        <v>4.3678899999999998E-13</v>
      </c>
      <c r="AD230" s="30">
        <v>3.8975400000000002E-13</v>
      </c>
      <c r="AF230" s="6"/>
      <c r="AG230" s="3">
        <v>7.3608900000000004E-15</v>
      </c>
      <c r="AH230" s="3">
        <v>1.4946299999999999E-13</v>
      </c>
      <c r="AI230" s="3">
        <v>1.5844600000000001E-13</v>
      </c>
      <c r="AJ230" s="30">
        <v>1.46843E-13</v>
      </c>
      <c r="AL230" s="6"/>
      <c r="AM230" s="3">
        <v>9.9807599999999997E-16</v>
      </c>
      <c r="AN230" s="3">
        <v>6.4874999999999998E-15</v>
      </c>
      <c r="AO230" s="3">
        <v>4.7408600000000003E-15</v>
      </c>
      <c r="AP230" s="30">
        <v>6.4874999999999998E-15</v>
      </c>
      <c r="AR230" s="6"/>
      <c r="AS230" s="3">
        <v>1.0105600000000001E-14</v>
      </c>
      <c r="AT230" s="3">
        <v>1.54704E-14</v>
      </c>
      <c r="AU230" s="30">
        <v>2.4952199999999999E-16</v>
      </c>
      <c r="AV230" s="3">
        <v>7.8599400000000005E-15</v>
      </c>
    </row>
    <row r="231" spans="3:48" x14ac:dyDescent="0.25">
      <c r="C231" s="31">
        <v>1.6243899999999999E-13</v>
      </c>
      <c r="D231" s="5">
        <v>1.2583400000000001E-12</v>
      </c>
      <c r="E231" s="3">
        <v>1.2929000000000001E-12</v>
      </c>
      <c r="F231" s="30">
        <v>1.2948899999999999E-12</v>
      </c>
      <c r="H231" s="2"/>
      <c r="I231" s="3">
        <v>4.8407299999999999E-14</v>
      </c>
      <c r="J231" s="3">
        <v>4.3703799999999998E-13</v>
      </c>
      <c r="K231" s="3">
        <v>4.6860199999999999E-13</v>
      </c>
      <c r="L231" s="30">
        <v>4.2593400000000002E-13</v>
      </c>
      <c r="N231" s="6"/>
      <c r="O231" s="3">
        <v>4.8407299999999999E-14</v>
      </c>
      <c r="P231" s="3">
        <v>4.3192300000000001E-13</v>
      </c>
      <c r="Q231" s="3">
        <v>4.5637600000000003E-13</v>
      </c>
      <c r="R231" s="30">
        <v>4.6149099999999996E-13</v>
      </c>
      <c r="T231" s="6"/>
      <c r="U231" s="3">
        <v>4.40406E-14</v>
      </c>
      <c r="V231" s="3">
        <v>4.1607799999999999E-13</v>
      </c>
      <c r="W231" s="3">
        <v>4.53381E-13</v>
      </c>
      <c r="X231" s="35">
        <v>4.1345799999999999E-13</v>
      </c>
      <c r="Z231" s="6"/>
      <c r="AA231" s="3">
        <v>3.5681700000000002E-14</v>
      </c>
      <c r="AB231" s="3">
        <v>4.2032000000000002E-13</v>
      </c>
      <c r="AC231" s="3">
        <v>4.23315E-13</v>
      </c>
      <c r="AD231" s="30">
        <v>3.8838099999999998E-13</v>
      </c>
      <c r="AF231" s="6"/>
      <c r="AG231" s="3">
        <v>6.9866100000000001E-15</v>
      </c>
      <c r="AH231" s="3">
        <v>1.4384899999999999E-13</v>
      </c>
      <c r="AI231" s="3">
        <v>1.5632499999999999E-13</v>
      </c>
      <c r="AJ231" s="30">
        <v>1.46344E-13</v>
      </c>
      <c r="AL231" s="6"/>
      <c r="AM231" s="3">
        <v>9.9807599999999997E-16</v>
      </c>
      <c r="AN231" s="3">
        <v>6.4874999999999998E-15</v>
      </c>
      <c r="AO231" s="3">
        <v>4.2418299999999997E-15</v>
      </c>
      <c r="AP231" s="30">
        <v>6.4874999999999998E-15</v>
      </c>
      <c r="AR231" s="6"/>
      <c r="AS231" s="3">
        <v>1.0105600000000001E-14</v>
      </c>
      <c r="AT231" s="3">
        <v>1.4597E-14</v>
      </c>
      <c r="AU231" s="30">
        <v>6.2380499999999999E-16</v>
      </c>
      <c r="AV231" s="3">
        <v>7.7351800000000004E-15</v>
      </c>
    </row>
    <row r="232" spans="3:48" x14ac:dyDescent="0.25">
      <c r="C232" s="31">
        <v>1.6218899999999999E-13</v>
      </c>
      <c r="D232" s="5">
        <v>1.2402500000000001E-12</v>
      </c>
      <c r="E232" s="3">
        <v>1.2735600000000001E-12</v>
      </c>
      <c r="F232" s="30">
        <v>1.26695E-12</v>
      </c>
      <c r="H232" s="2"/>
      <c r="I232" s="3">
        <v>4.7658700000000003E-14</v>
      </c>
      <c r="J232" s="3">
        <v>4.35541E-13</v>
      </c>
      <c r="K232" s="3">
        <v>4.6835300000000003E-13</v>
      </c>
      <c r="L232" s="30">
        <v>4.2580900000000001E-13</v>
      </c>
      <c r="N232" s="6"/>
      <c r="O232" s="3">
        <v>4.8157799999999999E-14</v>
      </c>
      <c r="P232" s="3">
        <v>4.2880399999999999E-13</v>
      </c>
      <c r="Q232" s="3">
        <v>4.53132E-13</v>
      </c>
      <c r="R232" s="30">
        <v>4.6074199999999996E-13</v>
      </c>
      <c r="T232" s="6"/>
      <c r="U232" s="3">
        <v>4.40406E-14</v>
      </c>
      <c r="V232" s="3">
        <v>4.1358300000000001E-13</v>
      </c>
      <c r="W232" s="3">
        <v>4.5163500000000002E-13</v>
      </c>
      <c r="X232" s="35">
        <v>4.1221000000000002E-13</v>
      </c>
      <c r="Z232" s="6"/>
      <c r="AA232" s="3">
        <v>3.5307399999999998E-14</v>
      </c>
      <c r="AB232" s="3">
        <v>4.1807500000000001E-13</v>
      </c>
      <c r="AC232" s="3">
        <v>4.2219199999999998E-13</v>
      </c>
      <c r="AD232" s="30">
        <v>3.8438900000000002E-13</v>
      </c>
      <c r="AF232" s="6"/>
      <c r="AG232" s="3">
        <v>6.8618500000000001E-15</v>
      </c>
      <c r="AH232" s="3">
        <v>1.3811E-13</v>
      </c>
      <c r="AI232" s="3">
        <v>1.5283200000000001E-13</v>
      </c>
      <c r="AJ232" s="30">
        <v>1.41728E-13</v>
      </c>
      <c r="AL232" s="6"/>
      <c r="AM232" s="3">
        <v>9.9807599999999997E-16</v>
      </c>
      <c r="AN232" s="3">
        <v>5.1151399999999997E-15</v>
      </c>
      <c r="AO232" s="3">
        <v>4.1170699999999997E-15</v>
      </c>
      <c r="AP232" s="30">
        <v>5.48942E-15</v>
      </c>
      <c r="AR232" s="6"/>
      <c r="AS232" s="3">
        <v>9.9808799999999998E-15</v>
      </c>
      <c r="AT232" s="3">
        <v>1.4222799999999999E-14</v>
      </c>
      <c r="AU232" s="30">
        <v>1.7965600000000001E-14</v>
      </c>
      <c r="AV232" s="3">
        <v>7.6104200000000003E-15</v>
      </c>
    </row>
    <row r="233" spans="3:48" x14ac:dyDescent="0.25">
      <c r="C233" s="31">
        <v>1.6069199999999999E-13</v>
      </c>
      <c r="D233" s="5">
        <v>1.22952E-12</v>
      </c>
      <c r="E233" s="3">
        <v>1.2682E-12</v>
      </c>
      <c r="F233" s="30">
        <v>1.26283E-12</v>
      </c>
      <c r="H233" s="2"/>
      <c r="I233" s="3">
        <v>4.7409200000000002E-14</v>
      </c>
      <c r="J233" s="3">
        <v>4.35041E-13</v>
      </c>
      <c r="K233" s="3">
        <v>4.6735499999999998E-13</v>
      </c>
      <c r="L233" s="30">
        <v>4.2530999999999998E-13</v>
      </c>
      <c r="N233" s="6"/>
      <c r="O233" s="3">
        <v>4.5288199999999998E-14</v>
      </c>
      <c r="P233" s="3">
        <v>4.22566E-13</v>
      </c>
      <c r="Q233" s="3">
        <v>4.52134E-13</v>
      </c>
      <c r="R233" s="30">
        <v>4.5862099999999999E-13</v>
      </c>
      <c r="T233" s="6"/>
      <c r="U233" s="3">
        <v>4.3666300000000002E-14</v>
      </c>
      <c r="V233" s="3">
        <v>4.0859200000000002E-13</v>
      </c>
      <c r="W233" s="3">
        <v>4.50387E-13</v>
      </c>
      <c r="X233" s="35">
        <v>4.0971499999999999E-13</v>
      </c>
      <c r="Z233" s="6"/>
      <c r="AA233" s="3">
        <v>3.4309300000000001E-14</v>
      </c>
      <c r="AB233" s="3">
        <v>4.1507999999999998E-13</v>
      </c>
      <c r="AC233" s="3">
        <v>4.1707599999999999E-13</v>
      </c>
      <c r="AD233" s="30">
        <v>3.8014699999999999E-13</v>
      </c>
      <c r="AF233" s="6"/>
      <c r="AG233" s="3">
        <v>6.7370800000000002E-15</v>
      </c>
      <c r="AH233" s="3">
        <v>1.3648799999999999E-13</v>
      </c>
      <c r="AI233" s="3">
        <v>1.49089E-13</v>
      </c>
      <c r="AJ233" s="30">
        <v>1.4035600000000001E-13</v>
      </c>
      <c r="AL233" s="6"/>
      <c r="AM233" s="3">
        <v>8.7331700000000001E-16</v>
      </c>
      <c r="AN233" s="3">
        <v>4.8656200000000004E-15</v>
      </c>
      <c r="AO233" s="3">
        <v>3.9923100000000004E-15</v>
      </c>
      <c r="AP233" s="30">
        <v>5.2398999999999998E-15</v>
      </c>
      <c r="AR233" s="6"/>
      <c r="AS233" s="3">
        <v>9.3570799999999994E-15</v>
      </c>
      <c r="AT233" s="3">
        <v>1.3599E-14</v>
      </c>
      <c r="AU233" s="30">
        <v>2.4952199999999999E-16</v>
      </c>
      <c r="AV233" s="3">
        <v>7.6104200000000003E-15</v>
      </c>
    </row>
    <row r="234" spans="3:48" x14ac:dyDescent="0.25">
      <c r="C234" s="31">
        <v>1.59569E-13</v>
      </c>
      <c r="D234" s="5">
        <v>1.2234099999999999E-12</v>
      </c>
      <c r="E234" s="3">
        <v>1.2549700000000001E-12</v>
      </c>
      <c r="F234" s="30">
        <v>1.25522E-12</v>
      </c>
      <c r="H234" s="2"/>
      <c r="I234" s="3">
        <v>4.7159600000000001E-14</v>
      </c>
      <c r="J234" s="3">
        <v>4.3391900000000001E-13</v>
      </c>
      <c r="K234" s="3">
        <v>4.59744E-13</v>
      </c>
      <c r="L234" s="30">
        <v>4.2443699999999999E-13</v>
      </c>
      <c r="N234" s="6"/>
      <c r="O234" s="3">
        <v>4.4914000000000001E-14</v>
      </c>
      <c r="P234" s="3">
        <v>4.2019500000000001E-13</v>
      </c>
      <c r="Q234" s="3">
        <v>4.5101099999999999E-13</v>
      </c>
      <c r="R234" s="30">
        <v>4.5837200000000004E-13</v>
      </c>
      <c r="T234" s="6"/>
      <c r="U234" s="3">
        <v>4.3666300000000002E-14</v>
      </c>
      <c r="V234" s="3">
        <v>4.0722000000000001E-13</v>
      </c>
      <c r="W234" s="3">
        <v>4.46769E-13</v>
      </c>
      <c r="X234" s="35">
        <v>4.0834300000000002E-13</v>
      </c>
      <c r="Z234" s="6"/>
      <c r="AA234" s="3">
        <v>3.3685500000000002E-14</v>
      </c>
      <c r="AB234" s="3">
        <v>4.1208599999999998E-13</v>
      </c>
      <c r="AC234" s="3">
        <v>4.1320899999999999E-13</v>
      </c>
      <c r="AD234" s="30">
        <v>3.7977300000000002E-13</v>
      </c>
      <c r="AF234" s="6"/>
      <c r="AG234" s="3">
        <v>6.6123200000000001E-15</v>
      </c>
      <c r="AH234" s="3">
        <v>1.29003E-13</v>
      </c>
      <c r="AI234" s="3">
        <v>1.47343E-13</v>
      </c>
      <c r="AJ234" s="30">
        <v>1.3723699999999999E-13</v>
      </c>
      <c r="AL234" s="6"/>
      <c r="AM234" s="3">
        <v>8.7331700000000001E-16</v>
      </c>
      <c r="AN234" s="3">
        <v>4.8656200000000004E-15</v>
      </c>
      <c r="AO234" s="3">
        <v>3.8675500000000003E-15</v>
      </c>
      <c r="AP234" s="30">
        <v>5.2398999999999998E-15</v>
      </c>
      <c r="AR234" s="6"/>
      <c r="AS234" s="3">
        <v>8.8580299999999993E-15</v>
      </c>
      <c r="AT234" s="3">
        <v>1.33494E-14</v>
      </c>
      <c r="AU234" s="30">
        <v>1.24761E-16</v>
      </c>
      <c r="AV234" s="3">
        <v>7.6104200000000003E-15</v>
      </c>
    </row>
    <row r="235" spans="3:48" x14ac:dyDescent="0.25">
      <c r="C235" s="31">
        <v>1.5907E-13</v>
      </c>
      <c r="D235" s="5">
        <v>1.2120500000000001E-12</v>
      </c>
      <c r="E235" s="3">
        <v>1.2533499999999999E-12</v>
      </c>
      <c r="F235" s="30">
        <v>1.2531E-12</v>
      </c>
      <c r="H235" s="2"/>
      <c r="I235" s="3">
        <v>4.7159600000000001E-14</v>
      </c>
      <c r="J235" s="3">
        <v>4.3242100000000001E-13</v>
      </c>
      <c r="K235" s="3">
        <v>4.56999E-13</v>
      </c>
      <c r="L235" s="30">
        <v>4.23813E-13</v>
      </c>
      <c r="N235" s="6"/>
      <c r="O235" s="3">
        <v>4.4539700000000002E-14</v>
      </c>
      <c r="P235" s="3">
        <v>4.1907199999999999E-13</v>
      </c>
      <c r="Q235" s="3">
        <v>4.4976300000000001E-13</v>
      </c>
      <c r="R235" s="30">
        <v>4.5363099999999998E-13</v>
      </c>
      <c r="T235" s="6"/>
      <c r="U235" s="3">
        <v>4.3541599999999999E-14</v>
      </c>
      <c r="V235" s="3">
        <v>3.9673999999999998E-13</v>
      </c>
      <c r="W235" s="3">
        <v>4.3504199999999998E-13</v>
      </c>
      <c r="X235" s="35">
        <v>4.0647100000000001E-13</v>
      </c>
      <c r="Z235" s="6"/>
      <c r="AA235" s="3">
        <v>3.3560699999999998E-14</v>
      </c>
      <c r="AB235" s="3">
        <v>4.0796900000000001E-13</v>
      </c>
      <c r="AC235" s="3">
        <v>4.1221099999999999E-13</v>
      </c>
      <c r="AD235" s="30">
        <v>3.7964800000000001E-13</v>
      </c>
      <c r="AF235" s="6"/>
      <c r="AG235" s="3">
        <v>6.6123200000000001E-15</v>
      </c>
      <c r="AH235" s="3">
        <v>1.2887800000000001E-13</v>
      </c>
      <c r="AI235" s="3">
        <v>1.4671900000000001E-13</v>
      </c>
      <c r="AJ235" s="30">
        <v>1.3623900000000001E-13</v>
      </c>
      <c r="AL235" s="6"/>
      <c r="AM235" s="3">
        <v>8.7331700000000001E-16</v>
      </c>
      <c r="AN235" s="3">
        <v>4.6161000000000002E-15</v>
      </c>
      <c r="AO235" s="3">
        <v>3.4932700000000001E-15</v>
      </c>
      <c r="AP235" s="30">
        <v>5.1151399999999997E-15</v>
      </c>
      <c r="AR235" s="6"/>
      <c r="AS235" s="3">
        <v>8.8580299999999993E-15</v>
      </c>
      <c r="AT235" s="3">
        <v>1.33494E-14</v>
      </c>
      <c r="AU235" s="30">
        <v>8.7332699999999998E-16</v>
      </c>
      <c r="AV235" s="3">
        <v>7.11138E-15</v>
      </c>
    </row>
    <row r="236" spans="3:48" x14ac:dyDescent="0.25">
      <c r="C236" s="31">
        <v>1.5894600000000001E-13</v>
      </c>
      <c r="D236" s="5">
        <v>1.2022000000000001E-12</v>
      </c>
      <c r="E236" s="3">
        <v>1.2487300000000001E-12</v>
      </c>
      <c r="F236" s="30">
        <v>1.2486100000000001E-12</v>
      </c>
      <c r="H236" s="2"/>
      <c r="I236" s="3">
        <v>4.6785399999999997E-14</v>
      </c>
      <c r="J236" s="3">
        <v>4.2792999999999997E-13</v>
      </c>
      <c r="K236" s="3">
        <v>4.5450400000000002E-13</v>
      </c>
      <c r="L236" s="30">
        <v>4.2331399999999998E-13</v>
      </c>
      <c r="N236" s="6"/>
      <c r="O236" s="3">
        <v>4.4414899999999998E-14</v>
      </c>
      <c r="P236" s="3">
        <v>4.1607799999999999E-13</v>
      </c>
      <c r="Q236" s="3">
        <v>4.4938899999999999E-13</v>
      </c>
      <c r="R236" s="30">
        <v>4.4664399999999999E-13</v>
      </c>
      <c r="T236" s="6"/>
      <c r="U236" s="3">
        <v>4.3541599999999999E-14</v>
      </c>
      <c r="V236" s="3">
        <v>3.9536800000000002E-13</v>
      </c>
      <c r="W236" s="3">
        <v>4.3366899999999999E-13</v>
      </c>
      <c r="X236" s="35">
        <v>4.06222E-13</v>
      </c>
      <c r="Z236" s="6"/>
      <c r="AA236" s="3">
        <v>3.3436000000000001E-14</v>
      </c>
      <c r="AB236" s="3">
        <v>4.0198000000000002E-13</v>
      </c>
      <c r="AC236" s="3">
        <v>4.0909200000000002E-13</v>
      </c>
      <c r="AD236" s="30">
        <v>3.7939900000000001E-13</v>
      </c>
      <c r="AF236" s="6"/>
      <c r="AG236" s="3">
        <v>6.4875600000000001E-15</v>
      </c>
      <c r="AH236" s="3">
        <v>1.25884E-13</v>
      </c>
      <c r="AI236" s="3">
        <v>1.4484699999999999E-13</v>
      </c>
      <c r="AJ236" s="30">
        <v>1.35865E-13</v>
      </c>
      <c r="AL236" s="6"/>
      <c r="AM236" s="3">
        <v>8.7331700000000001E-16</v>
      </c>
      <c r="AN236" s="3">
        <v>4.6161000000000002E-15</v>
      </c>
      <c r="AO236" s="3">
        <v>3.36851E-15</v>
      </c>
      <c r="AP236" s="30">
        <v>4.9903799999999997E-15</v>
      </c>
      <c r="AR236" s="6"/>
      <c r="AS236" s="3">
        <v>8.7332699999999992E-15</v>
      </c>
      <c r="AT236" s="3">
        <v>1.3224700000000001E-14</v>
      </c>
      <c r="AU236" s="30">
        <v>3.7428299999999999E-16</v>
      </c>
      <c r="AV236" s="3">
        <v>6.7370999999999998E-15</v>
      </c>
    </row>
    <row r="237" spans="3:48" x14ac:dyDescent="0.25">
      <c r="C237" s="31">
        <v>1.58571E-13</v>
      </c>
      <c r="D237" s="5">
        <v>1.1986999999999999E-12</v>
      </c>
      <c r="E237" s="3">
        <v>1.2365099999999999E-12</v>
      </c>
      <c r="F237" s="30">
        <v>1.2402500000000001E-12</v>
      </c>
      <c r="H237" s="2"/>
      <c r="I237" s="3">
        <v>4.6785399999999997E-14</v>
      </c>
      <c r="J237" s="3">
        <v>4.2481100000000001E-13</v>
      </c>
      <c r="K237" s="3">
        <v>4.53381E-13</v>
      </c>
      <c r="L237" s="30">
        <v>4.20819E-13</v>
      </c>
      <c r="N237" s="6"/>
      <c r="O237" s="3">
        <v>4.4414899999999998E-14</v>
      </c>
      <c r="P237" s="3">
        <v>4.1570400000000002E-13</v>
      </c>
      <c r="Q237" s="3">
        <v>4.4926399999999998E-13</v>
      </c>
      <c r="R237" s="30">
        <v>4.4564599999999999E-13</v>
      </c>
      <c r="T237" s="6"/>
      <c r="U237" s="3">
        <v>4.3541599999999999E-14</v>
      </c>
      <c r="V237" s="3">
        <v>3.9436899999999999E-13</v>
      </c>
      <c r="W237" s="3">
        <v>4.2680700000000001E-13</v>
      </c>
      <c r="X237" s="35">
        <v>4.0310299999999998E-13</v>
      </c>
      <c r="Z237" s="6"/>
      <c r="AA237" s="3">
        <v>3.1938800000000002E-14</v>
      </c>
      <c r="AB237" s="3">
        <v>3.9574199999999998E-13</v>
      </c>
      <c r="AC237" s="3">
        <v>4.0360200000000001E-13</v>
      </c>
      <c r="AD237" s="30">
        <v>3.7640399999999998E-13</v>
      </c>
      <c r="AF237" s="6"/>
      <c r="AG237" s="3">
        <v>6.2380399999999999E-15</v>
      </c>
      <c r="AH237" s="3">
        <v>1.2575899999999999E-13</v>
      </c>
      <c r="AI237" s="3">
        <v>1.4185300000000001E-13</v>
      </c>
      <c r="AJ237" s="30">
        <v>1.3012600000000001E-13</v>
      </c>
      <c r="AL237" s="6"/>
      <c r="AM237" s="3">
        <v>8.7331700000000001E-16</v>
      </c>
      <c r="AN237" s="3">
        <v>3.9923100000000004E-15</v>
      </c>
      <c r="AO237" s="3">
        <v>3.2437499999999999E-15</v>
      </c>
      <c r="AP237" s="30">
        <v>3.8675500000000003E-15</v>
      </c>
      <c r="AR237" s="6"/>
      <c r="AS237" s="3">
        <v>8.7332699999999992E-15</v>
      </c>
      <c r="AT237" s="3">
        <v>1.27256E-14</v>
      </c>
      <c r="AU237" s="30">
        <v>6.7121399999999996E-14</v>
      </c>
      <c r="AV237" s="3">
        <v>6.6123299999999999E-15</v>
      </c>
    </row>
    <row r="238" spans="3:48" x14ac:dyDescent="0.25">
      <c r="C238" s="31">
        <v>1.57199E-13</v>
      </c>
      <c r="D238" s="5">
        <v>1.1883500000000001E-12</v>
      </c>
      <c r="E238" s="3">
        <v>1.2348800000000001E-12</v>
      </c>
      <c r="F238" s="30">
        <v>1.24012E-12</v>
      </c>
      <c r="H238" s="2"/>
      <c r="I238" s="3">
        <v>4.6660599999999999E-14</v>
      </c>
      <c r="J238" s="3">
        <v>4.2431199999999998E-13</v>
      </c>
      <c r="K238" s="3">
        <v>4.5163500000000002E-13</v>
      </c>
      <c r="L238" s="30">
        <v>4.1807399999999999E-13</v>
      </c>
      <c r="N238" s="6"/>
      <c r="O238" s="3">
        <v>4.3042500000000003E-14</v>
      </c>
      <c r="P238" s="3">
        <v>4.1308399999999998E-13</v>
      </c>
      <c r="Q238" s="3">
        <v>4.4327600000000002E-13</v>
      </c>
      <c r="R238" s="30">
        <v>4.4202799999999999E-13</v>
      </c>
      <c r="T238" s="6"/>
      <c r="U238" s="3">
        <v>4.3292099999999998E-14</v>
      </c>
      <c r="V238" s="3">
        <v>3.9162500000000001E-13</v>
      </c>
      <c r="W238" s="3">
        <v>4.2506099999999998E-13</v>
      </c>
      <c r="X238" s="35">
        <v>4.0110699999999998E-13</v>
      </c>
      <c r="Z238" s="6"/>
      <c r="AA238" s="3">
        <v>3.1814099999999999E-14</v>
      </c>
      <c r="AB238" s="3">
        <v>3.9474399999999998E-13</v>
      </c>
      <c r="AC238" s="3">
        <v>3.9961E-13</v>
      </c>
      <c r="AD238" s="30">
        <v>3.7153899999999998E-13</v>
      </c>
      <c r="AF238" s="6"/>
      <c r="AG238" s="3">
        <v>6.2380399999999999E-15</v>
      </c>
      <c r="AH238" s="3">
        <v>1.2326400000000001E-13</v>
      </c>
      <c r="AI238" s="3">
        <v>1.3985700000000001E-13</v>
      </c>
      <c r="AJ238" s="30">
        <v>1.29252E-13</v>
      </c>
      <c r="AL238" s="6"/>
      <c r="AM238" s="3">
        <v>8.7331700000000001E-16</v>
      </c>
      <c r="AN238" s="3">
        <v>3.8675500000000003E-15</v>
      </c>
      <c r="AO238" s="3">
        <v>3.1189899999999998E-15</v>
      </c>
      <c r="AP238" s="30">
        <v>3.6180300000000001E-15</v>
      </c>
      <c r="AR238" s="6"/>
      <c r="AS238" s="3">
        <v>8.4837500000000006E-15</v>
      </c>
      <c r="AT238" s="3">
        <v>1.26009E-14</v>
      </c>
      <c r="AU238" s="30">
        <v>1.02304E-14</v>
      </c>
      <c r="AV238" s="3">
        <v>6.6123299999999999E-15</v>
      </c>
    </row>
    <row r="239" spans="3:48" x14ac:dyDescent="0.25">
      <c r="C239" s="31">
        <v>1.54704E-13</v>
      </c>
      <c r="D239" s="5">
        <v>1.1848600000000001E-12</v>
      </c>
      <c r="E239" s="3">
        <v>1.2200399999999999E-12</v>
      </c>
      <c r="F239" s="30">
        <v>1.23513E-12</v>
      </c>
      <c r="H239" s="2"/>
      <c r="I239" s="3">
        <v>4.6660599999999999E-14</v>
      </c>
      <c r="J239" s="3">
        <v>4.2231599999999997E-13</v>
      </c>
      <c r="K239" s="3">
        <v>4.4926399999999998E-13</v>
      </c>
      <c r="L239" s="30">
        <v>4.1532899999999999E-13</v>
      </c>
      <c r="N239" s="6"/>
      <c r="O239" s="3">
        <v>4.3042500000000003E-14</v>
      </c>
      <c r="P239" s="3">
        <v>4.1133699999999998E-13</v>
      </c>
      <c r="Q239" s="3">
        <v>4.3878400000000001E-13</v>
      </c>
      <c r="R239" s="30">
        <v>4.3816099999999999E-13</v>
      </c>
      <c r="T239" s="6"/>
      <c r="U239" s="3">
        <v>4.29178E-14</v>
      </c>
      <c r="V239" s="3">
        <v>3.915E-13</v>
      </c>
      <c r="W239" s="3">
        <v>4.2294000000000001E-13</v>
      </c>
      <c r="X239" s="35">
        <v>3.9798800000000001E-13</v>
      </c>
      <c r="Z239" s="6"/>
      <c r="AA239" s="3">
        <v>3.1564599999999999E-14</v>
      </c>
      <c r="AB239" s="3">
        <v>3.9474399999999998E-13</v>
      </c>
      <c r="AC239" s="3">
        <v>3.9461900000000002E-13</v>
      </c>
      <c r="AD239" s="30">
        <v>3.7041600000000001E-13</v>
      </c>
      <c r="AF239" s="6"/>
      <c r="AG239" s="3">
        <v>5.7390000000000004E-15</v>
      </c>
      <c r="AH239" s="3">
        <v>1.2014499999999999E-13</v>
      </c>
      <c r="AI239" s="3">
        <v>1.3973199999999999E-13</v>
      </c>
      <c r="AJ239" s="30">
        <v>1.23388E-13</v>
      </c>
      <c r="AL239" s="6"/>
      <c r="AM239" s="3">
        <v>7.4855700000000003E-16</v>
      </c>
      <c r="AN239" s="3">
        <v>3.6180300000000001E-15</v>
      </c>
      <c r="AO239" s="3">
        <v>2.8694700000000001E-15</v>
      </c>
      <c r="AP239" s="30">
        <v>3.4932700000000001E-15</v>
      </c>
      <c r="AR239" s="6"/>
      <c r="AS239" s="3">
        <v>8.3589900000000006E-15</v>
      </c>
      <c r="AT239" s="3">
        <v>1.23513E-14</v>
      </c>
      <c r="AU239" s="30">
        <v>2.49584E-12</v>
      </c>
      <c r="AV239" s="3">
        <v>6.6123299999999999E-15</v>
      </c>
    </row>
    <row r="240" spans="3:48" x14ac:dyDescent="0.25">
      <c r="C240" s="31">
        <v>1.5333100000000001E-13</v>
      </c>
      <c r="D240" s="5">
        <v>1.17088E-12</v>
      </c>
      <c r="E240" s="3">
        <v>1.21817E-12</v>
      </c>
      <c r="F240" s="30">
        <v>1.2291500000000001E-12</v>
      </c>
      <c r="H240" s="2"/>
      <c r="I240" s="3">
        <v>4.6660599999999999E-14</v>
      </c>
      <c r="J240" s="3">
        <v>4.1769999999999998E-13</v>
      </c>
      <c r="K240" s="3">
        <v>4.4876500000000001E-13</v>
      </c>
      <c r="L240" s="30">
        <v>4.1270899999999999E-13</v>
      </c>
      <c r="N240" s="6"/>
      <c r="O240" s="3">
        <v>4.1670200000000003E-14</v>
      </c>
      <c r="P240" s="3">
        <v>4.0921600000000001E-13</v>
      </c>
      <c r="Q240" s="3">
        <v>4.3217200000000001E-13</v>
      </c>
      <c r="R240" s="30">
        <v>4.2967699999999998E-13</v>
      </c>
      <c r="T240" s="6"/>
      <c r="U240" s="3">
        <v>4.26683E-14</v>
      </c>
      <c r="V240" s="3">
        <v>3.86884E-13</v>
      </c>
      <c r="W240" s="3">
        <v>4.2256499999999998E-13</v>
      </c>
      <c r="X240" s="35">
        <v>3.9162500000000001E-13</v>
      </c>
      <c r="Z240" s="6"/>
      <c r="AA240" s="3">
        <v>3.1314999999999997E-14</v>
      </c>
      <c r="AB240" s="3">
        <v>3.9411999999999999E-13</v>
      </c>
      <c r="AC240" s="3">
        <v>3.9187499999999998E-13</v>
      </c>
      <c r="AD240" s="30">
        <v>3.68544E-13</v>
      </c>
      <c r="AF240" s="6"/>
      <c r="AG240" s="3">
        <v>5.7390000000000004E-15</v>
      </c>
      <c r="AH240" s="3">
        <v>1.1515400000000001E-13</v>
      </c>
      <c r="AI240" s="3">
        <v>1.37112E-13</v>
      </c>
      <c r="AJ240" s="30">
        <v>1.21268E-13</v>
      </c>
      <c r="AL240" s="6"/>
      <c r="AM240" s="3">
        <v>7.4855700000000003E-16</v>
      </c>
      <c r="AN240" s="3">
        <v>3.36851E-15</v>
      </c>
      <c r="AO240" s="3">
        <v>2.2456700000000001E-15</v>
      </c>
      <c r="AP240" s="30">
        <v>3.4932700000000001E-15</v>
      </c>
      <c r="AR240" s="6"/>
      <c r="AS240" s="3">
        <v>8.2342300000000005E-15</v>
      </c>
      <c r="AT240" s="3">
        <v>1.19771E-14</v>
      </c>
      <c r="AU240" s="30">
        <v>4.9904399999999999E-16</v>
      </c>
      <c r="AV240" s="3">
        <v>6.6123299999999999E-15</v>
      </c>
    </row>
    <row r="241" spans="3:48" x14ac:dyDescent="0.25">
      <c r="C241" s="31">
        <v>1.53207E-13</v>
      </c>
      <c r="D241" s="5">
        <v>1.15404E-12</v>
      </c>
      <c r="E241" s="3">
        <v>1.2175400000000001E-12</v>
      </c>
      <c r="F241" s="30">
        <v>1.2262799999999999E-12</v>
      </c>
      <c r="H241" s="2"/>
      <c r="I241" s="3">
        <v>4.6660599999999999E-14</v>
      </c>
      <c r="J241" s="3">
        <v>4.1383200000000001E-13</v>
      </c>
      <c r="K241" s="3">
        <v>4.4602E-13</v>
      </c>
      <c r="L241" s="30">
        <v>4.05473E-13</v>
      </c>
      <c r="N241" s="6"/>
      <c r="O241" s="3">
        <v>4.11711E-14</v>
      </c>
      <c r="P241" s="3">
        <v>4.0896700000000001E-13</v>
      </c>
      <c r="Q241" s="3">
        <v>4.3217200000000001E-13</v>
      </c>
      <c r="R241" s="30">
        <v>4.2967699999999998E-13</v>
      </c>
      <c r="T241" s="6"/>
      <c r="U241" s="3">
        <v>4.26683E-14</v>
      </c>
      <c r="V241" s="3">
        <v>3.8650999999999999E-13</v>
      </c>
      <c r="W241" s="3">
        <v>4.2056900000000002E-13</v>
      </c>
      <c r="X241" s="35">
        <v>3.8201799999999998E-13</v>
      </c>
      <c r="Z241" s="6"/>
      <c r="AA241" s="3">
        <v>2.9942700000000003E-14</v>
      </c>
      <c r="AB241" s="3">
        <v>3.84888E-13</v>
      </c>
      <c r="AC241" s="3">
        <v>3.8800700000000001E-13</v>
      </c>
      <c r="AD241" s="30">
        <v>3.6804500000000002E-13</v>
      </c>
      <c r="AF241" s="6"/>
      <c r="AG241" s="3">
        <v>5.6142400000000003E-15</v>
      </c>
      <c r="AH241" s="3">
        <v>1.09041E-13</v>
      </c>
      <c r="AI241" s="3">
        <v>1.30001E-13</v>
      </c>
      <c r="AJ241" s="30">
        <v>1.1789900000000001E-13</v>
      </c>
      <c r="AL241" s="6"/>
      <c r="AM241" s="3">
        <v>7.4855700000000003E-16</v>
      </c>
      <c r="AN241" s="3">
        <v>3.36851E-15</v>
      </c>
      <c r="AO241" s="3">
        <v>2.2456700000000001E-15</v>
      </c>
      <c r="AP241" s="30">
        <v>3.4932700000000001E-15</v>
      </c>
      <c r="AR241" s="6"/>
      <c r="AS241" s="3">
        <v>8.1094700000000004E-15</v>
      </c>
      <c r="AT241" s="3">
        <v>1.1852300000000001E-14</v>
      </c>
      <c r="AU241" s="30">
        <v>8.7332699999999998E-16</v>
      </c>
      <c r="AV241" s="3">
        <v>6.6123299999999999E-15</v>
      </c>
    </row>
    <row r="242" spans="3:48" x14ac:dyDescent="0.25">
      <c r="C242" s="31">
        <v>1.5308200000000001E-13</v>
      </c>
      <c r="D242" s="5">
        <v>1.14506E-12</v>
      </c>
      <c r="E242" s="3">
        <v>1.20532E-12</v>
      </c>
      <c r="F242" s="30">
        <v>1.2140500000000001E-12</v>
      </c>
      <c r="H242" s="2"/>
      <c r="I242" s="3">
        <v>4.6161599999999998E-14</v>
      </c>
      <c r="J242" s="3">
        <v>4.1258399999999998E-13</v>
      </c>
      <c r="K242" s="3">
        <v>4.4364999999999998E-13</v>
      </c>
      <c r="L242" s="30">
        <v>4.0534799999999999E-13</v>
      </c>
      <c r="N242" s="6"/>
      <c r="O242" s="3">
        <v>4.11711E-14</v>
      </c>
      <c r="P242" s="3">
        <v>4.0597199999999998E-13</v>
      </c>
      <c r="Q242" s="3">
        <v>4.29427E-13</v>
      </c>
      <c r="R242" s="30">
        <v>4.2768100000000002E-13</v>
      </c>
      <c r="T242" s="6"/>
      <c r="U242" s="3">
        <v>4.1919700000000003E-14</v>
      </c>
      <c r="V242" s="3">
        <v>3.8626000000000001E-13</v>
      </c>
      <c r="W242" s="3">
        <v>4.0821800000000001E-13</v>
      </c>
      <c r="X242" s="35">
        <v>3.7478199999999999E-13</v>
      </c>
      <c r="Z242" s="6"/>
      <c r="AA242" s="3">
        <v>2.9693100000000001E-14</v>
      </c>
      <c r="AB242" s="3">
        <v>3.8264200000000002E-13</v>
      </c>
      <c r="AC242" s="3">
        <v>3.8738299999999998E-13</v>
      </c>
      <c r="AD242" s="30">
        <v>3.6293E-13</v>
      </c>
      <c r="AF242" s="6"/>
      <c r="AG242" s="3">
        <v>5.3647200000000001E-15</v>
      </c>
      <c r="AH242" s="3">
        <v>1.07793E-13</v>
      </c>
      <c r="AI242" s="3">
        <v>1.25634E-13</v>
      </c>
      <c r="AJ242" s="30">
        <v>1.16277E-13</v>
      </c>
      <c r="AL242" s="6"/>
      <c r="AM242" s="3">
        <v>7.4855700000000003E-16</v>
      </c>
      <c r="AN242" s="3">
        <v>3.2437499999999999E-15</v>
      </c>
      <c r="AO242" s="3">
        <v>1.9961499999999999E-15</v>
      </c>
      <c r="AP242" s="30">
        <v>3.2437499999999999E-15</v>
      </c>
      <c r="AR242" s="6"/>
      <c r="AS242" s="3">
        <v>8.1094700000000004E-15</v>
      </c>
      <c r="AT242" s="3">
        <v>1.17275E-14</v>
      </c>
      <c r="AU242" s="30">
        <v>1.24761E-16</v>
      </c>
      <c r="AV242" s="3">
        <v>6.6123299999999999E-15</v>
      </c>
    </row>
    <row r="243" spans="3:48" x14ac:dyDescent="0.25">
      <c r="C243" s="31">
        <v>1.5283200000000001E-13</v>
      </c>
      <c r="D243" s="5">
        <v>1.14356E-12</v>
      </c>
      <c r="E243" s="3">
        <v>1.19583E-12</v>
      </c>
      <c r="F243" s="30">
        <v>1.21018E-12</v>
      </c>
      <c r="H243" s="2"/>
      <c r="I243" s="3">
        <v>4.57873E-14</v>
      </c>
      <c r="J243" s="3">
        <v>4.0996500000000001E-13</v>
      </c>
      <c r="K243" s="3">
        <v>4.4315100000000001E-13</v>
      </c>
      <c r="L243" s="30">
        <v>4.0497399999999998E-13</v>
      </c>
      <c r="N243" s="6"/>
      <c r="O243" s="3">
        <v>4.0547300000000002E-14</v>
      </c>
      <c r="P243" s="3">
        <v>3.9673999999999998E-13</v>
      </c>
      <c r="Q243" s="3">
        <v>4.2755600000000001E-13</v>
      </c>
      <c r="R243" s="30">
        <v>4.2768100000000002E-13</v>
      </c>
      <c r="T243" s="6"/>
      <c r="U243" s="3">
        <v>4.1670200000000003E-14</v>
      </c>
      <c r="V243" s="3">
        <v>3.8551100000000001E-13</v>
      </c>
      <c r="W243" s="3">
        <v>4.0173E-13</v>
      </c>
      <c r="X243" s="35">
        <v>3.7428300000000001E-13</v>
      </c>
      <c r="Z243" s="6"/>
      <c r="AA243" s="3">
        <v>2.9693100000000001E-14</v>
      </c>
      <c r="AB243" s="3">
        <v>3.82268E-13</v>
      </c>
      <c r="AC243" s="3">
        <v>3.8451399999999998E-13</v>
      </c>
      <c r="AD243" s="30">
        <v>3.6218200000000002E-13</v>
      </c>
      <c r="AF243" s="6"/>
      <c r="AG243" s="3">
        <v>5.3647200000000001E-15</v>
      </c>
      <c r="AH243" s="3">
        <v>1.05298E-13</v>
      </c>
      <c r="AI243" s="3">
        <v>1.23888E-13</v>
      </c>
      <c r="AJ243" s="30">
        <v>1.14655E-13</v>
      </c>
      <c r="AL243" s="6"/>
      <c r="AM243" s="3">
        <v>7.4855700000000003E-16</v>
      </c>
      <c r="AN243" s="3">
        <v>3.2437499999999999E-15</v>
      </c>
      <c r="AO243" s="3">
        <v>1.9961499999999999E-15</v>
      </c>
      <c r="AP243" s="30">
        <v>3.2437499999999999E-15</v>
      </c>
      <c r="AR243" s="6"/>
      <c r="AS243" s="3">
        <v>8.1094700000000004E-15</v>
      </c>
      <c r="AT243" s="3">
        <v>1.08542E-14</v>
      </c>
      <c r="AU243" s="30">
        <v>5.4894900000000001E-14</v>
      </c>
      <c r="AV243" s="3">
        <v>6.3628099999999997E-15</v>
      </c>
    </row>
    <row r="244" spans="3:48" x14ac:dyDescent="0.25">
      <c r="C244" s="31">
        <v>1.5258300000000001E-13</v>
      </c>
      <c r="D244" s="5">
        <v>1.1224800000000001E-12</v>
      </c>
      <c r="E244" s="3">
        <v>1.18773E-12</v>
      </c>
      <c r="F244" s="30">
        <v>1.2061899999999999E-12</v>
      </c>
      <c r="H244" s="2"/>
      <c r="I244" s="3">
        <v>4.57873E-14</v>
      </c>
      <c r="J244" s="3">
        <v>4.0434999999999999E-13</v>
      </c>
      <c r="K244" s="3">
        <v>4.4028099999999999E-13</v>
      </c>
      <c r="L244" s="30">
        <v>4.0460000000000001E-13</v>
      </c>
      <c r="N244" s="6"/>
      <c r="O244" s="3">
        <v>4.0297800000000001E-14</v>
      </c>
      <c r="P244" s="3">
        <v>3.9661500000000002E-13</v>
      </c>
      <c r="Q244" s="3">
        <v>4.2668300000000002E-13</v>
      </c>
      <c r="R244" s="30">
        <v>4.2618399999999999E-13</v>
      </c>
      <c r="T244" s="6"/>
      <c r="U244" s="3">
        <v>4.1295899999999998E-14</v>
      </c>
      <c r="V244" s="3">
        <v>3.8351500000000001E-13</v>
      </c>
      <c r="W244" s="3">
        <v>4.0110699999999998E-13</v>
      </c>
      <c r="X244" s="35">
        <v>3.7316E-13</v>
      </c>
      <c r="Z244" s="6"/>
      <c r="AA244" s="3">
        <v>2.9318899999999998E-14</v>
      </c>
      <c r="AB244" s="3">
        <v>3.7677900000000001E-13</v>
      </c>
      <c r="AC244" s="3">
        <v>3.83017E-13</v>
      </c>
      <c r="AD244" s="30">
        <v>3.5868800000000002E-13</v>
      </c>
      <c r="AF244" s="6"/>
      <c r="AG244" s="3">
        <v>5.2399500000000003E-15</v>
      </c>
      <c r="AH244" s="3">
        <v>1.0454999999999999E-13</v>
      </c>
      <c r="AI244" s="3">
        <v>1.2039399999999999E-13</v>
      </c>
      <c r="AJ244" s="30">
        <v>1.1241E-13</v>
      </c>
      <c r="AL244" s="6"/>
      <c r="AM244" s="3">
        <v>7.4855700000000003E-16</v>
      </c>
      <c r="AN244" s="3">
        <v>2.6199499999999999E-15</v>
      </c>
      <c r="AO244" s="3">
        <v>1.8713899999999998E-15</v>
      </c>
      <c r="AP244" s="30">
        <v>3.1189899999999998E-15</v>
      </c>
      <c r="AR244" s="6"/>
      <c r="AS244" s="3">
        <v>8.1094700000000004E-15</v>
      </c>
      <c r="AT244" s="3">
        <v>1.07294E-14</v>
      </c>
      <c r="AU244" s="30">
        <v>1.24761E-16</v>
      </c>
      <c r="AV244" s="3">
        <v>6.3628099999999997E-15</v>
      </c>
    </row>
    <row r="245" spans="3:48" x14ac:dyDescent="0.25">
      <c r="C245" s="31">
        <v>1.52458E-13</v>
      </c>
      <c r="D245" s="5">
        <v>1.11948E-12</v>
      </c>
      <c r="E245" s="3">
        <v>1.18535E-12</v>
      </c>
      <c r="F245" s="30">
        <v>1.1891000000000001E-12</v>
      </c>
      <c r="H245" s="2"/>
      <c r="I245" s="3">
        <v>4.5413000000000002E-14</v>
      </c>
      <c r="J245" s="3">
        <v>4.0148099999999999E-13</v>
      </c>
      <c r="K245" s="3">
        <v>4.3866000000000002E-13</v>
      </c>
      <c r="L245" s="30">
        <v>4.0310299999999998E-13</v>
      </c>
      <c r="N245" s="6"/>
      <c r="O245" s="3">
        <v>4.0172999999999997E-14</v>
      </c>
      <c r="P245" s="3">
        <v>3.9599099999999998E-13</v>
      </c>
      <c r="Q245" s="3">
        <v>4.2580900000000001E-13</v>
      </c>
      <c r="R245" s="30">
        <v>4.2418700000000002E-13</v>
      </c>
      <c r="T245" s="6"/>
      <c r="U245" s="3">
        <v>4.1295899999999998E-14</v>
      </c>
      <c r="V245" s="3">
        <v>3.8339100000000002E-13</v>
      </c>
      <c r="W245" s="3">
        <v>4.0110699999999998E-13</v>
      </c>
      <c r="X245" s="35">
        <v>3.7266100000000002E-13</v>
      </c>
      <c r="Z245" s="6"/>
      <c r="AA245" s="3">
        <v>2.8944599999999999E-14</v>
      </c>
      <c r="AB245" s="3">
        <v>3.7652899999999999E-13</v>
      </c>
      <c r="AC245" s="3">
        <v>3.7740199999999998E-13</v>
      </c>
      <c r="AD245" s="30">
        <v>3.5744100000000001E-13</v>
      </c>
      <c r="AF245" s="6"/>
      <c r="AG245" s="3">
        <v>5.2399500000000003E-15</v>
      </c>
      <c r="AH245" s="3">
        <v>1.0442499999999999E-13</v>
      </c>
      <c r="AI245" s="3">
        <v>1.2014499999999999E-13</v>
      </c>
      <c r="AJ245" s="30">
        <v>1.07544E-13</v>
      </c>
      <c r="AL245" s="6"/>
      <c r="AM245" s="3">
        <v>6.2379799999999997E-16</v>
      </c>
      <c r="AN245" s="3">
        <v>2.4951899999999998E-15</v>
      </c>
      <c r="AO245" s="3">
        <v>1.8713899999999998E-15</v>
      </c>
      <c r="AP245" s="30">
        <v>2.8694700000000001E-15</v>
      </c>
      <c r="AR245" s="6"/>
      <c r="AS245" s="3">
        <v>7.9847100000000003E-15</v>
      </c>
      <c r="AT245" s="3">
        <v>1.0479900000000001E-14</v>
      </c>
      <c r="AU245" s="30">
        <v>2.3704599999999999E-15</v>
      </c>
      <c r="AV245" s="3">
        <v>6.3628099999999997E-15</v>
      </c>
    </row>
    <row r="246" spans="3:48" x14ac:dyDescent="0.25">
      <c r="C246" s="31">
        <v>1.5183400000000001E-13</v>
      </c>
      <c r="D246" s="5">
        <v>1.11387E-12</v>
      </c>
      <c r="E246" s="3">
        <v>1.1833599999999999E-12</v>
      </c>
      <c r="F246" s="30">
        <v>1.1792399999999999E-12</v>
      </c>
      <c r="H246" s="2"/>
      <c r="I246" s="3">
        <v>4.5163500000000001E-14</v>
      </c>
      <c r="J246" s="3">
        <v>3.95367E-13</v>
      </c>
      <c r="K246" s="3">
        <v>4.32047E-13</v>
      </c>
      <c r="L246" s="30">
        <v>4.0297800000000002E-13</v>
      </c>
      <c r="N246" s="6"/>
      <c r="O246" s="3">
        <v>4.00483E-14</v>
      </c>
      <c r="P246" s="3">
        <v>3.9486899999999999E-13</v>
      </c>
      <c r="Q246" s="3">
        <v>4.1857300000000002E-13</v>
      </c>
      <c r="R246" s="30">
        <v>4.2306499999999997E-13</v>
      </c>
      <c r="T246" s="6"/>
      <c r="U246" s="3">
        <v>4.0796800000000002E-14</v>
      </c>
      <c r="V246" s="3">
        <v>3.8176899999999998E-13</v>
      </c>
      <c r="W246" s="3">
        <v>3.98861E-13</v>
      </c>
      <c r="X246" s="35">
        <v>3.7004099999999998E-13</v>
      </c>
      <c r="Z246" s="6"/>
      <c r="AA246" s="3">
        <v>2.8445499999999997E-14</v>
      </c>
      <c r="AB246" s="3">
        <v>3.7141400000000002E-13</v>
      </c>
      <c r="AC246" s="3">
        <v>3.7540599999999998E-13</v>
      </c>
      <c r="AD246" s="30">
        <v>3.5619299999999998E-13</v>
      </c>
      <c r="AF246" s="6"/>
      <c r="AG246" s="3">
        <v>4.6161499999999999E-15</v>
      </c>
      <c r="AH246" s="3">
        <v>1.0392600000000001E-13</v>
      </c>
      <c r="AI246" s="3">
        <v>1.12784E-13</v>
      </c>
      <c r="AJ246" s="30">
        <v>1.0355099999999999E-13</v>
      </c>
      <c r="AL246" s="6"/>
      <c r="AM246" s="3">
        <v>6.2379799999999997E-16</v>
      </c>
      <c r="AN246" s="3">
        <v>2.12091E-15</v>
      </c>
      <c r="AO246" s="3">
        <v>1.7466299999999999E-15</v>
      </c>
      <c r="AP246" s="30">
        <v>2.8694700000000001E-15</v>
      </c>
      <c r="AR246" s="6"/>
      <c r="AS246" s="3">
        <v>7.6104200000000003E-15</v>
      </c>
      <c r="AT246" s="3">
        <v>9.8561199999999997E-15</v>
      </c>
      <c r="AU246" s="30">
        <v>1.24761E-16</v>
      </c>
      <c r="AV246" s="3">
        <v>6.2380499999999997E-15</v>
      </c>
    </row>
    <row r="247" spans="3:48" x14ac:dyDescent="0.25">
      <c r="C247" s="31">
        <v>1.51709E-13</v>
      </c>
      <c r="D247" s="5">
        <v>1.10813E-12</v>
      </c>
      <c r="E247" s="3">
        <v>1.18099E-12</v>
      </c>
      <c r="F247" s="30">
        <v>1.17687E-12</v>
      </c>
      <c r="H247" s="2"/>
      <c r="I247" s="3">
        <v>4.49139E-14</v>
      </c>
      <c r="J247" s="3">
        <v>3.915E-13</v>
      </c>
      <c r="K247" s="3">
        <v>4.26433E-13</v>
      </c>
      <c r="L247" s="30">
        <v>4.0085700000000001E-13</v>
      </c>
      <c r="N247" s="6"/>
      <c r="O247" s="3">
        <v>3.9923500000000003E-14</v>
      </c>
      <c r="P247" s="3">
        <v>3.9237299999999999E-13</v>
      </c>
      <c r="Q247" s="3">
        <v>4.1595300000000003E-13</v>
      </c>
      <c r="R247" s="30">
        <v>4.1882299999999999E-13</v>
      </c>
      <c r="T247" s="6"/>
      <c r="U247" s="3">
        <v>4.0297800000000001E-14</v>
      </c>
      <c r="V247" s="3">
        <v>3.79772E-13</v>
      </c>
      <c r="W247" s="3">
        <v>3.9798800000000001E-13</v>
      </c>
      <c r="X247" s="35">
        <v>3.6979199999999998E-13</v>
      </c>
      <c r="Z247" s="6"/>
      <c r="AA247" s="3">
        <v>2.80713E-14</v>
      </c>
      <c r="AB247" s="3">
        <v>3.6991699999999999E-13</v>
      </c>
      <c r="AC247" s="3">
        <v>3.6842000000000001E-13</v>
      </c>
      <c r="AD247" s="30">
        <v>3.5382300000000002E-13</v>
      </c>
      <c r="AF247" s="6"/>
      <c r="AG247" s="3">
        <v>4.4913899999999998E-15</v>
      </c>
      <c r="AH247" s="3">
        <v>1.00682E-13</v>
      </c>
      <c r="AI247" s="3">
        <v>1.1241E-13</v>
      </c>
      <c r="AJ247" s="30">
        <v>9.9559100000000005E-14</v>
      </c>
      <c r="AL247" s="6"/>
      <c r="AM247" s="3">
        <v>6.2379799999999997E-16</v>
      </c>
      <c r="AN247" s="3">
        <v>1.9961499999999999E-15</v>
      </c>
      <c r="AO247" s="3">
        <v>1.7466299999999999E-15</v>
      </c>
      <c r="AP247" s="30">
        <v>2.8694700000000001E-15</v>
      </c>
      <c r="AR247" s="6"/>
      <c r="AS247" s="3">
        <v>7.6104200000000003E-15</v>
      </c>
      <c r="AT247" s="3">
        <v>9.8561199999999997E-15</v>
      </c>
      <c r="AU247" s="30">
        <v>1.34742E-14</v>
      </c>
      <c r="AV247" s="3">
        <v>6.2380499999999997E-15</v>
      </c>
    </row>
    <row r="248" spans="3:48" x14ac:dyDescent="0.25">
      <c r="C248" s="31">
        <v>1.5145999999999999E-13</v>
      </c>
      <c r="D248" s="5">
        <v>1.10276E-12</v>
      </c>
      <c r="E248" s="3">
        <v>1.1688900000000001E-12</v>
      </c>
      <c r="F248" s="30">
        <v>1.1745000000000001E-12</v>
      </c>
      <c r="H248" s="2"/>
      <c r="I248" s="3">
        <v>4.4664399999999999E-14</v>
      </c>
      <c r="J248" s="3">
        <v>3.915E-13</v>
      </c>
      <c r="K248" s="3">
        <v>4.21817E-13</v>
      </c>
      <c r="L248" s="30">
        <v>3.9823700000000001E-13</v>
      </c>
      <c r="N248" s="6"/>
      <c r="O248" s="3">
        <v>3.9549199999999998E-14</v>
      </c>
      <c r="P248" s="3">
        <v>3.91251E-13</v>
      </c>
      <c r="Q248" s="3">
        <v>4.1582800000000001E-13</v>
      </c>
      <c r="R248" s="30">
        <v>4.1582800000000001E-13</v>
      </c>
      <c r="T248" s="6"/>
      <c r="U248" s="3">
        <v>3.97988E-14</v>
      </c>
      <c r="V248" s="3">
        <v>3.7914899999999998E-13</v>
      </c>
      <c r="W248" s="3">
        <v>3.9549200000000001E-13</v>
      </c>
      <c r="X248" s="35">
        <v>3.6816999999999999E-13</v>
      </c>
      <c r="Z248" s="6"/>
      <c r="AA248" s="3">
        <v>2.7821699999999998E-14</v>
      </c>
      <c r="AB248" s="3">
        <v>3.6979199999999998E-13</v>
      </c>
      <c r="AC248" s="3">
        <v>3.6804500000000002E-13</v>
      </c>
      <c r="AD248" s="30">
        <v>3.51951E-13</v>
      </c>
      <c r="AF248" s="6"/>
      <c r="AG248" s="3">
        <v>4.2418699999999996E-15</v>
      </c>
      <c r="AH248" s="3">
        <v>9.98087E-14</v>
      </c>
      <c r="AI248" s="3">
        <v>1.07045E-13</v>
      </c>
      <c r="AJ248" s="30">
        <v>9.8561100000000002E-14</v>
      </c>
      <c r="AL248" s="6"/>
      <c r="AM248" s="3">
        <v>6.2379799999999997E-16</v>
      </c>
      <c r="AN248" s="3">
        <v>1.8713899999999998E-15</v>
      </c>
      <c r="AO248" s="3">
        <v>1.49711E-15</v>
      </c>
      <c r="AP248" s="30">
        <v>2.4951899999999998E-15</v>
      </c>
      <c r="AR248" s="6"/>
      <c r="AS248" s="3">
        <v>7.4856600000000002E-15</v>
      </c>
      <c r="AT248" s="3">
        <v>9.6065999999999996E-15</v>
      </c>
      <c r="AU248" s="30">
        <v>8.7332699999999998E-16</v>
      </c>
      <c r="AV248" s="3">
        <v>5.8637700000000002E-15</v>
      </c>
    </row>
    <row r="249" spans="3:48" x14ac:dyDescent="0.25">
      <c r="C249" s="31">
        <v>1.51086E-13</v>
      </c>
      <c r="D249" s="5">
        <v>1.08966E-12</v>
      </c>
      <c r="E249" s="3">
        <v>1.15317E-12</v>
      </c>
      <c r="F249" s="30">
        <v>1.17225E-12</v>
      </c>
      <c r="H249" s="2"/>
      <c r="I249" s="3">
        <v>4.4539700000000002E-14</v>
      </c>
      <c r="J249" s="3">
        <v>3.8925400000000002E-13</v>
      </c>
      <c r="K249" s="3">
        <v>4.14705E-13</v>
      </c>
      <c r="L249" s="30">
        <v>3.9798699999999999E-13</v>
      </c>
      <c r="N249" s="6"/>
      <c r="O249" s="3">
        <v>3.8426399999999998E-14</v>
      </c>
      <c r="P249" s="3">
        <v>3.8912999999999998E-13</v>
      </c>
      <c r="Q249" s="3">
        <v>4.1358300000000001E-13</v>
      </c>
      <c r="R249" s="30">
        <v>4.1345799999999999E-13</v>
      </c>
      <c r="T249" s="6"/>
      <c r="U249" s="3">
        <v>3.8925399999999999E-14</v>
      </c>
      <c r="V249" s="3">
        <v>3.7353400000000001E-13</v>
      </c>
      <c r="W249" s="3">
        <v>3.92498E-13</v>
      </c>
      <c r="X249" s="35">
        <v>3.6792000000000001E-13</v>
      </c>
      <c r="Z249" s="6"/>
      <c r="AA249" s="3">
        <v>2.6449400000000001E-14</v>
      </c>
      <c r="AB249" s="3">
        <v>3.6692200000000001E-13</v>
      </c>
      <c r="AC249" s="3">
        <v>3.6355399999999999E-13</v>
      </c>
      <c r="AD249" s="30">
        <v>3.4858299999999998E-13</v>
      </c>
      <c r="AF249" s="6"/>
      <c r="AG249" s="3">
        <v>4.2418699999999996E-15</v>
      </c>
      <c r="AH249" s="3">
        <v>9.7313399999999998E-14</v>
      </c>
      <c r="AI249" s="3">
        <v>1.0442499999999999E-13</v>
      </c>
      <c r="AJ249" s="30">
        <v>9.7313399999999998E-14</v>
      </c>
      <c r="AL249" s="6"/>
      <c r="AM249" s="3">
        <v>6.2379799999999997E-16</v>
      </c>
      <c r="AN249" s="3">
        <v>1.7466299999999999E-15</v>
      </c>
      <c r="AO249" s="3">
        <v>1.49711E-15</v>
      </c>
      <c r="AP249" s="30">
        <v>1.7466299999999999E-15</v>
      </c>
      <c r="AR249" s="6"/>
      <c r="AS249" s="3">
        <v>7.4856600000000002E-15</v>
      </c>
      <c r="AT249" s="3">
        <v>9.3570799999999994E-15</v>
      </c>
      <c r="AU249" s="30">
        <v>1.24761E-16</v>
      </c>
      <c r="AV249" s="3">
        <v>5.7390100000000001E-15</v>
      </c>
    </row>
    <row r="250" spans="3:48" x14ac:dyDescent="0.25">
      <c r="C250" s="31">
        <v>1.4996299999999999E-13</v>
      </c>
      <c r="D250" s="5">
        <v>1.08268E-12</v>
      </c>
      <c r="E250" s="3">
        <v>1.1530399999999999E-12</v>
      </c>
      <c r="F250" s="30">
        <v>1.16252E-12</v>
      </c>
      <c r="H250" s="2"/>
      <c r="I250" s="3">
        <v>4.4539700000000002E-14</v>
      </c>
      <c r="J250" s="3">
        <v>3.88131E-13</v>
      </c>
      <c r="K250" s="3">
        <v>4.0722000000000001E-13</v>
      </c>
      <c r="L250" s="30">
        <v>3.9299699999999998E-13</v>
      </c>
      <c r="N250" s="6"/>
      <c r="O250" s="3">
        <v>3.7927300000000002E-14</v>
      </c>
      <c r="P250" s="3">
        <v>3.8638500000000002E-13</v>
      </c>
      <c r="Q250" s="3">
        <v>4.1208599999999998E-13</v>
      </c>
      <c r="R250" s="30">
        <v>4.1320800000000002E-13</v>
      </c>
      <c r="T250" s="6"/>
      <c r="U250" s="3">
        <v>3.8551100000000001E-14</v>
      </c>
      <c r="V250" s="3">
        <v>3.7004099999999998E-13</v>
      </c>
      <c r="W250" s="3">
        <v>3.9199900000000002E-13</v>
      </c>
      <c r="X250" s="35">
        <v>3.6579899999999999E-13</v>
      </c>
      <c r="Z250" s="6"/>
      <c r="AA250" s="3">
        <v>2.60751E-14</v>
      </c>
      <c r="AB250" s="3">
        <v>3.6280499999999999E-13</v>
      </c>
      <c r="AC250" s="3">
        <v>3.6255599999999999E-13</v>
      </c>
      <c r="AD250" s="30">
        <v>3.4309300000000002E-13</v>
      </c>
      <c r="AF250" s="6"/>
      <c r="AG250" s="3">
        <v>3.8675900000000002E-15</v>
      </c>
      <c r="AH250" s="3">
        <v>9.3944900000000003E-14</v>
      </c>
      <c r="AI250" s="3">
        <v>1.04175E-13</v>
      </c>
      <c r="AJ250" s="30">
        <v>9.5816299999999999E-14</v>
      </c>
      <c r="AL250" s="6"/>
      <c r="AM250" s="3">
        <v>6.2379799999999997E-16</v>
      </c>
      <c r="AN250" s="3">
        <v>1.3723600000000001E-15</v>
      </c>
      <c r="AO250" s="3">
        <v>1.49711E-15</v>
      </c>
      <c r="AP250" s="30">
        <v>1.7466299999999999E-15</v>
      </c>
      <c r="AR250" s="6"/>
      <c r="AS250" s="3">
        <v>7.3609000000000002E-15</v>
      </c>
      <c r="AT250" s="3">
        <v>9.1075499999999995E-15</v>
      </c>
      <c r="AU250" s="30">
        <v>1.3386899999999999E-13</v>
      </c>
      <c r="AV250" s="3">
        <v>5.7390100000000001E-15</v>
      </c>
    </row>
    <row r="251" spans="3:48" x14ac:dyDescent="0.25">
      <c r="C251" s="31">
        <v>1.4547100000000001E-13</v>
      </c>
      <c r="D251" s="5">
        <v>1.0800599999999999E-12</v>
      </c>
      <c r="E251" s="3">
        <v>1.1501699999999999E-12</v>
      </c>
      <c r="F251" s="30">
        <v>1.1542899999999999E-12</v>
      </c>
      <c r="H251" s="2"/>
      <c r="I251" s="3">
        <v>4.4414899999999998E-14</v>
      </c>
      <c r="J251" s="3">
        <v>3.8800700000000001E-13</v>
      </c>
      <c r="K251" s="3">
        <v>4.0684500000000002E-13</v>
      </c>
      <c r="L251" s="30">
        <v>3.9025200000000002E-13</v>
      </c>
      <c r="N251" s="6"/>
      <c r="O251" s="3">
        <v>3.7428300000000001E-14</v>
      </c>
      <c r="P251" s="3">
        <v>3.7715299999999998E-13</v>
      </c>
      <c r="Q251" s="3">
        <v>4.1108800000000003E-13</v>
      </c>
      <c r="R251" s="30">
        <v>4.1108800000000003E-13</v>
      </c>
      <c r="T251" s="6"/>
      <c r="U251" s="3">
        <v>3.69293E-14</v>
      </c>
      <c r="V251" s="3">
        <v>3.69293E-13</v>
      </c>
      <c r="W251" s="3">
        <v>3.8962900000000001E-13</v>
      </c>
      <c r="X251" s="35">
        <v>3.6530000000000002E-13</v>
      </c>
      <c r="Z251" s="6"/>
      <c r="AA251" s="3">
        <v>2.60751E-14</v>
      </c>
      <c r="AB251" s="3">
        <v>3.62681E-13</v>
      </c>
      <c r="AC251" s="3">
        <v>3.58314E-13</v>
      </c>
      <c r="AD251" s="30">
        <v>3.3673000000000002E-13</v>
      </c>
      <c r="AF251" s="6"/>
      <c r="AG251" s="3">
        <v>3.8675900000000002E-15</v>
      </c>
      <c r="AH251" s="3">
        <v>9.1574500000000005E-14</v>
      </c>
      <c r="AI251" s="3">
        <v>1.0405100000000001E-13</v>
      </c>
      <c r="AJ251" s="30">
        <v>9.3570600000000005E-14</v>
      </c>
      <c r="AL251" s="6"/>
      <c r="AM251" s="3">
        <v>4.9903799999999998E-16</v>
      </c>
      <c r="AN251" s="3">
        <v>1.2476E-15</v>
      </c>
      <c r="AO251" s="3">
        <v>1.3723600000000001E-15</v>
      </c>
      <c r="AP251" s="30">
        <v>1.6218700000000001E-15</v>
      </c>
      <c r="AR251" s="6"/>
      <c r="AS251" s="3">
        <v>7.2361400000000001E-15</v>
      </c>
      <c r="AT251" s="3">
        <v>9.1075499999999995E-15</v>
      </c>
      <c r="AU251" s="30">
        <v>1.24761E-16</v>
      </c>
      <c r="AV251" s="3">
        <v>5.6142500000000001E-15</v>
      </c>
    </row>
    <row r="252" spans="3:48" x14ac:dyDescent="0.25">
      <c r="C252" s="31">
        <v>1.45222E-13</v>
      </c>
      <c r="D252" s="5">
        <v>1.0699500000000001E-12</v>
      </c>
      <c r="E252" s="3">
        <v>1.13183E-12</v>
      </c>
      <c r="F252" s="30">
        <v>1.1446799999999999E-12</v>
      </c>
      <c r="H252" s="2"/>
      <c r="I252" s="3">
        <v>4.37911E-14</v>
      </c>
      <c r="J252" s="3">
        <v>3.8675899999999999E-13</v>
      </c>
      <c r="K252" s="3">
        <v>4.0672099999999998E-13</v>
      </c>
      <c r="L252" s="30">
        <v>3.8825600000000002E-13</v>
      </c>
      <c r="N252" s="6"/>
      <c r="O252" s="3">
        <v>3.69293E-14</v>
      </c>
      <c r="P252" s="3">
        <v>3.7540599999999998E-13</v>
      </c>
      <c r="Q252" s="3">
        <v>4.1058799999999998E-13</v>
      </c>
      <c r="R252" s="30">
        <v>4.06222E-13</v>
      </c>
      <c r="T252" s="6"/>
      <c r="U252" s="3">
        <v>3.6679699999999998E-14</v>
      </c>
      <c r="V252" s="3">
        <v>3.6904299999999998E-13</v>
      </c>
      <c r="W252" s="3">
        <v>3.85886E-13</v>
      </c>
      <c r="X252" s="35">
        <v>3.6330400000000001E-13</v>
      </c>
      <c r="Z252" s="6"/>
      <c r="AA252" s="3">
        <v>2.5076999999999999E-14</v>
      </c>
      <c r="AB252" s="3">
        <v>3.60061E-13</v>
      </c>
      <c r="AC252" s="3">
        <v>3.5781499999999998E-13</v>
      </c>
      <c r="AD252" s="30">
        <v>3.3598199999999999E-13</v>
      </c>
      <c r="AF252" s="6"/>
      <c r="AG252" s="3">
        <v>3.7428200000000003E-15</v>
      </c>
      <c r="AH252" s="3">
        <v>9.1574500000000005E-14</v>
      </c>
      <c r="AI252" s="3">
        <v>1.02803E-13</v>
      </c>
      <c r="AJ252" s="30">
        <v>9.2572499999999995E-14</v>
      </c>
      <c r="AL252" s="6"/>
      <c r="AM252" s="3">
        <v>4.9903799999999998E-16</v>
      </c>
      <c r="AN252" s="3">
        <v>1.2476E-15</v>
      </c>
      <c r="AO252" s="3">
        <v>1.2476E-15</v>
      </c>
      <c r="AP252" s="30">
        <v>1.49711E-15</v>
      </c>
      <c r="AR252" s="6"/>
      <c r="AS252" s="3">
        <v>7.2361400000000001E-15</v>
      </c>
      <c r="AT252" s="3">
        <v>8.9827899999999994E-15</v>
      </c>
      <c r="AU252" s="30">
        <v>1.99618E-15</v>
      </c>
      <c r="AV252" s="3">
        <v>5.6142500000000001E-15</v>
      </c>
    </row>
    <row r="253" spans="3:48" x14ac:dyDescent="0.25">
      <c r="C253" s="31">
        <v>1.4409899999999999E-13</v>
      </c>
      <c r="D253" s="5">
        <v>1.06671E-12</v>
      </c>
      <c r="E253" s="3">
        <v>1.11486E-12</v>
      </c>
      <c r="F253" s="30">
        <v>1.1420600000000001E-12</v>
      </c>
      <c r="H253" s="2"/>
      <c r="I253" s="3">
        <v>4.3541599999999999E-14</v>
      </c>
      <c r="J253" s="3">
        <v>3.8650900000000001E-13</v>
      </c>
      <c r="K253" s="3">
        <v>4.05473E-13</v>
      </c>
      <c r="L253" s="30">
        <v>3.8014699999999999E-13</v>
      </c>
      <c r="N253" s="6"/>
      <c r="O253" s="3">
        <v>3.6679699999999998E-14</v>
      </c>
      <c r="P253" s="3">
        <v>3.74907E-13</v>
      </c>
      <c r="Q253" s="3">
        <v>4.0896700000000001E-13</v>
      </c>
      <c r="R253" s="30">
        <v>4.0597199999999998E-13</v>
      </c>
      <c r="T253" s="6"/>
      <c r="U253" s="3">
        <v>3.63054E-14</v>
      </c>
      <c r="V253" s="3">
        <v>3.6891800000000001E-13</v>
      </c>
      <c r="W253" s="3">
        <v>3.8388999999999999E-13</v>
      </c>
      <c r="X253" s="35">
        <v>3.6180699999999998E-13</v>
      </c>
      <c r="Z253" s="6"/>
      <c r="AA253" s="3">
        <v>2.45779E-14</v>
      </c>
      <c r="AB253" s="3">
        <v>3.5806399999999998E-13</v>
      </c>
      <c r="AC253" s="3">
        <v>3.57316E-13</v>
      </c>
      <c r="AD253" s="30">
        <v>3.3560700000000001E-13</v>
      </c>
      <c r="AF253" s="6"/>
      <c r="AG253" s="3">
        <v>3.6180600000000003E-15</v>
      </c>
      <c r="AH253" s="3">
        <v>8.7706900000000002E-14</v>
      </c>
      <c r="AI253" s="3">
        <v>1.02054E-13</v>
      </c>
      <c r="AJ253" s="30">
        <v>9.2572499999999995E-14</v>
      </c>
      <c r="AL253" s="6"/>
      <c r="AM253" s="3">
        <v>4.9903799999999998E-16</v>
      </c>
      <c r="AN253" s="3">
        <v>1.1228399999999999E-15</v>
      </c>
      <c r="AO253" s="3">
        <v>1.2476E-15</v>
      </c>
      <c r="AP253" s="30">
        <v>1.49711E-15</v>
      </c>
      <c r="AR253" s="6"/>
      <c r="AS253" s="3">
        <v>7.2361400000000001E-15</v>
      </c>
      <c r="AT253" s="3">
        <v>8.8580299999999993E-15</v>
      </c>
      <c r="AU253" s="30">
        <v>1.8040400000000001E-13</v>
      </c>
      <c r="AV253" s="3">
        <v>5.6142500000000001E-15</v>
      </c>
    </row>
    <row r="254" spans="3:48" x14ac:dyDescent="0.25">
      <c r="C254" s="31">
        <v>1.4334999999999999E-13</v>
      </c>
      <c r="D254" s="5">
        <v>1.0658299999999999E-12</v>
      </c>
      <c r="E254" s="3">
        <v>1.10676E-12</v>
      </c>
      <c r="F254" s="30">
        <v>1.13957E-12</v>
      </c>
      <c r="H254" s="2"/>
      <c r="I254" s="3">
        <v>4.3541599999999999E-14</v>
      </c>
      <c r="J254" s="3">
        <v>3.8538700000000002E-13</v>
      </c>
      <c r="K254" s="3">
        <v>4.0397600000000002E-13</v>
      </c>
      <c r="L254" s="30">
        <v>3.7777599999999999E-13</v>
      </c>
      <c r="N254" s="6"/>
      <c r="O254" s="3">
        <v>3.6679699999999998E-14</v>
      </c>
      <c r="P254" s="3">
        <v>3.6966700000000001E-13</v>
      </c>
      <c r="Q254" s="3">
        <v>4.0734500000000002E-13</v>
      </c>
      <c r="R254" s="30">
        <v>4.0210499999999998E-13</v>
      </c>
      <c r="T254" s="6"/>
      <c r="U254" s="3">
        <v>3.60559E-14</v>
      </c>
      <c r="V254" s="3">
        <v>3.64926E-13</v>
      </c>
      <c r="W254" s="3">
        <v>3.8339100000000002E-13</v>
      </c>
      <c r="X254" s="35">
        <v>3.61183E-13</v>
      </c>
      <c r="Z254" s="6"/>
      <c r="AA254" s="3">
        <v>2.4453200000000001E-14</v>
      </c>
      <c r="AB254" s="3">
        <v>3.5706599999999998E-13</v>
      </c>
      <c r="AC254" s="3">
        <v>3.5045400000000002E-13</v>
      </c>
      <c r="AD254" s="30">
        <v>3.3386100000000003E-13</v>
      </c>
      <c r="AF254" s="6"/>
      <c r="AG254" s="3">
        <v>3.6180600000000003E-15</v>
      </c>
      <c r="AH254" s="3">
        <v>8.7706900000000002E-14</v>
      </c>
      <c r="AI254" s="3">
        <v>1.00308E-13</v>
      </c>
      <c r="AJ254" s="30">
        <v>8.9453500000000001E-14</v>
      </c>
      <c r="AL254" s="6"/>
      <c r="AM254" s="3">
        <v>4.9903799999999998E-16</v>
      </c>
      <c r="AN254" s="3">
        <v>8.7331700000000001E-16</v>
      </c>
      <c r="AO254" s="3">
        <v>1.1228399999999999E-15</v>
      </c>
      <c r="AP254" s="30">
        <v>1.3723600000000001E-15</v>
      </c>
      <c r="AR254" s="6"/>
      <c r="AS254" s="3">
        <v>7.11138E-15</v>
      </c>
      <c r="AT254" s="3">
        <v>8.8580299999999993E-15</v>
      </c>
      <c r="AU254" s="30">
        <v>2.4952199999999999E-16</v>
      </c>
      <c r="AV254" s="3">
        <v>5.48949E-15</v>
      </c>
    </row>
    <row r="255" spans="3:48" x14ac:dyDescent="0.25">
      <c r="C255" s="31">
        <v>1.42976E-13</v>
      </c>
      <c r="D255" s="5">
        <v>1.0597200000000001E-12</v>
      </c>
      <c r="E255" s="3">
        <v>1.09116E-12</v>
      </c>
      <c r="F255" s="30">
        <v>1.13932E-12</v>
      </c>
      <c r="H255" s="2"/>
      <c r="I255" s="3">
        <v>4.3541599999999999E-14</v>
      </c>
      <c r="J255" s="3">
        <v>3.8463800000000002E-13</v>
      </c>
      <c r="K255" s="3">
        <v>4.0385100000000001E-13</v>
      </c>
      <c r="L255" s="30">
        <v>3.7478199999999999E-13</v>
      </c>
      <c r="N255" s="6"/>
      <c r="O255" s="3">
        <v>3.6180699999999997E-14</v>
      </c>
      <c r="P255" s="3">
        <v>3.63928E-13</v>
      </c>
      <c r="Q255" s="3">
        <v>4.03477E-13</v>
      </c>
      <c r="R255" s="30">
        <v>4.0123100000000002E-13</v>
      </c>
      <c r="T255" s="6"/>
      <c r="U255" s="3">
        <v>3.60559E-14</v>
      </c>
      <c r="V255" s="3">
        <v>3.6480099999999999E-13</v>
      </c>
      <c r="W255" s="3">
        <v>3.8077100000000002E-13</v>
      </c>
      <c r="X255" s="35">
        <v>3.55818E-13</v>
      </c>
      <c r="Z255" s="6"/>
      <c r="AA255" s="3">
        <v>2.4453200000000001E-14</v>
      </c>
      <c r="AB255" s="3">
        <v>3.5494500000000001E-13</v>
      </c>
      <c r="AC255" s="3">
        <v>3.4746000000000002E-13</v>
      </c>
      <c r="AD255" s="30">
        <v>3.3136599999999999E-13</v>
      </c>
      <c r="AF255" s="6"/>
      <c r="AG255" s="3">
        <v>3.6180600000000003E-15</v>
      </c>
      <c r="AH255" s="3">
        <v>8.7332600000000004E-14</v>
      </c>
      <c r="AI255" s="3">
        <v>9.5442000000000001E-14</v>
      </c>
      <c r="AJ255" s="30">
        <v>8.7956400000000003E-14</v>
      </c>
      <c r="AL255" s="6"/>
      <c r="AM255" s="3">
        <v>4.9903799999999998E-16</v>
      </c>
      <c r="AN255" s="3">
        <v>8.7331700000000001E-16</v>
      </c>
      <c r="AO255" s="3">
        <v>1.1228399999999999E-15</v>
      </c>
      <c r="AP255" s="30">
        <v>1.2476E-15</v>
      </c>
      <c r="AR255" s="6"/>
      <c r="AS255" s="3">
        <v>7.11138E-15</v>
      </c>
      <c r="AT255" s="3">
        <v>8.7332699999999992E-15</v>
      </c>
      <c r="AU255" s="30">
        <v>3.23381E-13</v>
      </c>
      <c r="AV255" s="3">
        <v>5.48949E-15</v>
      </c>
    </row>
    <row r="256" spans="3:48" x14ac:dyDescent="0.25">
      <c r="C256" s="31">
        <v>1.41978E-13</v>
      </c>
      <c r="D256" s="5">
        <v>1.0532299999999999E-12</v>
      </c>
      <c r="E256" s="3">
        <v>1.0886599999999999E-12</v>
      </c>
      <c r="F256" s="30">
        <v>1.12073E-12</v>
      </c>
      <c r="H256" s="2"/>
      <c r="I256" s="3">
        <v>4.3416800000000001E-14</v>
      </c>
      <c r="J256" s="3">
        <v>3.8376499999999998E-13</v>
      </c>
      <c r="K256" s="3">
        <v>4.0198000000000002E-13</v>
      </c>
      <c r="L256" s="30">
        <v>3.7453200000000001E-13</v>
      </c>
      <c r="N256" s="6"/>
      <c r="O256" s="3">
        <v>3.60559E-14</v>
      </c>
      <c r="P256" s="3">
        <v>3.6367799999999998E-13</v>
      </c>
      <c r="Q256" s="3">
        <v>4.0110699999999998E-13</v>
      </c>
      <c r="R256" s="30">
        <v>4.0010899999999998E-13</v>
      </c>
      <c r="T256" s="6"/>
      <c r="U256" s="3">
        <v>3.60559E-14</v>
      </c>
      <c r="V256" s="3">
        <v>3.6342899999999998E-13</v>
      </c>
      <c r="W256" s="3">
        <v>3.79523E-13</v>
      </c>
      <c r="X256" s="35">
        <v>3.50204E-13</v>
      </c>
      <c r="Z256" s="6"/>
      <c r="AA256" s="3">
        <v>2.3579900000000001E-14</v>
      </c>
      <c r="AB256" s="3">
        <v>3.5344799999999998E-13</v>
      </c>
      <c r="AC256" s="3">
        <v>3.4621199999999999E-13</v>
      </c>
      <c r="AD256" s="30">
        <v>3.2812200000000001E-13</v>
      </c>
      <c r="AF256" s="6"/>
      <c r="AG256" s="3">
        <v>3.4933000000000002E-15</v>
      </c>
      <c r="AH256" s="3">
        <v>8.6583999999999995E-14</v>
      </c>
      <c r="AI256" s="3">
        <v>9.3321100000000004E-14</v>
      </c>
      <c r="AJ256" s="30">
        <v>7.7601200000000004E-14</v>
      </c>
      <c r="AL256" s="6"/>
      <c r="AM256" s="3">
        <v>4.9903799999999998E-16</v>
      </c>
      <c r="AN256" s="3">
        <v>7.4855700000000003E-16</v>
      </c>
      <c r="AO256" s="3">
        <v>1.1228399999999999E-15</v>
      </c>
      <c r="AP256" s="30">
        <v>1.2476E-15</v>
      </c>
      <c r="AR256" s="6"/>
      <c r="AS256" s="3">
        <v>6.9866199999999999E-15</v>
      </c>
      <c r="AT256" s="3">
        <v>8.6085100000000007E-15</v>
      </c>
      <c r="AU256" s="30">
        <v>3.8351500000000001E-13</v>
      </c>
      <c r="AV256" s="3">
        <v>5.48949E-15</v>
      </c>
    </row>
    <row r="257" spans="3:48" x14ac:dyDescent="0.25">
      <c r="C257" s="31">
        <v>1.4135400000000001E-13</v>
      </c>
      <c r="D257" s="5">
        <v>1.0518599999999999E-12</v>
      </c>
      <c r="E257" s="3">
        <v>1.0829299999999999E-12</v>
      </c>
      <c r="F257" s="30">
        <v>1.1129900000000001E-12</v>
      </c>
      <c r="H257" s="2"/>
      <c r="I257" s="3">
        <v>4.3292099999999998E-14</v>
      </c>
      <c r="J257" s="3">
        <v>3.8351500000000001E-13</v>
      </c>
      <c r="K257" s="3">
        <v>3.9973399999999999E-13</v>
      </c>
      <c r="L257" s="30">
        <v>3.7004099999999998E-13</v>
      </c>
      <c r="N257" s="6"/>
      <c r="O257" s="3">
        <v>3.5931200000000003E-14</v>
      </c>
      <c r="P257" s="3">
        <v>3.6355399999999999E-13</v>
      </c>
      <c r="Q257" s="3">
        <v>3.9861099999999998E-13</v>
      </c>
      <c r="R257" s="30">
        <v>3.9973399999999999E-13</v>
      </c>
      <c r="T257" s="6"/>
      <c r="U257" s="3">
        <v>3.5931200000000003E-14</v>
      </c>
      <c r="V257" s="3">
        <v>3.6305399999999999E-13</v>
      </c>
      <c r="W257" s="3">
        <v>3.7914899999999998E-13</v>
      </c>
      <c r="X257" s="35">
        <v>3.4982999999999998E-13</v>
      </c>
      <c r="Z257" s="6"/>
      <c r="AA257" s="3">
        <v>2.3080799999999999E-14</v>
      </c>
      <c r="AB257" s="3">
        <v>3.4708499999999998E-13</v>
      </c>
      <c r="AC257" s="3">
        <v>3.4334299999999999E-13</v>
      </c>
      <c r="AD257" s="30">
        <v>3.2250800000000001E-13</v>
      </c>
      <c r="AF257" s="6"/>
      <c r="AG257" s="3">
        <v>3.3685400000000001E-15</v>
      </c>
      <c r="AH257" s="3">
        <v>8.3340200000000003E-14</v>
      </c>
      <c r="AI257" s="3">
        <v>9.1948699999999996E-14</v>
      </c>
      <c r="AJ257" s="30">
        <v>7.7351700000000003E-14</v>
      </c>
      <c r="AL257" s="6"/>
      <c r="AM257" s="3">
        <v>4.9903799999999998E-16</v>
      </c>
      <c r="AN257" s="3">
        <v>7.4855700000000003E-16</v>
      </c>
      <c r="AO257" s="3">
        <v>9.9807599999999997E-16</v>
      </c>
      <c r="AP257" s="30">
        <v>1.1228399999999999E-15</v>
      </c>
      <c r="AR257" s="6"/>
      <c r="AS257" s="3">
        <v>6.8618599999999998E-15</v>
      </c>
      <c r="AT257" s="3">
        <v>8.4837500000000006E-15</v>
      </c>
      <c r="AU257" s="30">
        <v>4.1794899999999999E-14</v>
      </c>
      <c r="AV257" s="3">
        <v>5.48949E-15</v>
      </c>
    </row>
    <row r="258" spans="3:48" x14ac:dyDescent="0.25">
      <c r="C258" s="31">
        <v>1.4035600000000001E-13</v>
      </c>
      <c r="D258" s="5">
        <v>1.04749E-12</v>
      </c>
      <c r="E258" s="3">
        <v>1.0789299999999999E-12</v>
      </c>
      <c r="F258" s="30">
        <v>1.10888E-12</v>
      </c>
      <c r="H258" s="2"/>
      <c r="I258" s="3">
        <v>4.3292099999999998E-14</v>
      </c>
      <c r="J258" s="3">
        <v>3.79523E-13</v>
      </c>
      <c r="K258" s="3">
        <v>3.9873599999999999E-13</v>
      </c>
      <c r="L258" s="30">
        <v>3.6642299999999998E-13</v>
      </c>
      <c r="N258" s="6"/>
      <c r="O258" s="3">
        <v>3.5307399999999998E-14</v>
      </c>
      <c r="P258" s="3">
        <v>3.6230600000000001E-13</v>
      </c>
      <c r="Q258" s="3">
        <v>3.9012799999999998E-13</v>
      </c>
      <c r="R258" s="30">
        <v>3.9973399999999999E-13</v>
      </c>
      <c r="T258" s="6"/>
      <c r="U258" s="3">
        <v>3.5681600000000001E-14</v>
      </c>
      <c r="V258" s="3">
        <v>3.62181E-13</v>
      </c>
      <c r="W258" s="3">
        <v>3.7902400000000002E-13</v>
      </c>
      <c r="X258" s="35">
        <v>3.4708499999999998E-13</v>
      </c>
      <c r="Z258" s="6"/>
      <c r="AA258" s="3">
        <v>2.2457E-14</v>
      </c>
      <c r="AB258" s="3">
        <v>3.4671100000000002E-13</v>
      </c>
      <c r="AC258" s="3">
        <v>3.4209500000000002E-13</v>
      </c>
      <c r="AD258" s="30">
        <v>3.2101000000000001E-13</v>
      </c>
      <c r="AF258" s="6"/>
      <c r="AG258" s="3">
        <v>3.3685400000000001E-15</v>
      </c>
      <c r="AH258" s="3">
        <v>8.1967900000000003E-14</v>
      </c>
      <c r="AI258" s="3">
        <v>8.9578299999999999E-14</v>
      </c>
      <c r="AJ258" s="30">
        <v>7.6228900000000003E-14</v>
      </c>
      <c r="AL258" s="6"/>
      <c r="AM258" s="3">
        <v>4.9903799999999998E-16</v>
      </c>
      <c r="AN258" s="3">
        <v>7.4855700000000003E-16</v>
      </c>
      <c r="AO258" s="3">
        <v>9.9807599999999997E-16</v>
      </c>
      <c r="AP258" s="30">
        <v>1.1228399999999999E-15</v>
      </c>
      <c r="AR258" s="6"/>
      <c r="AS258" s="3">
        <v>6.8618599999999998E-15</v>
      </c>
      <c r="AT258" s="3">
        <v>8.4837500000000006E-15</v>
      </c>
      <c r="AU258" s="30">
        <v>1.70586E-12</v>
      </c>
      <c r="AV258" s="3">
        <v>5.48949E-15</v>
      </c>
    </row>
    <row r="259" spans="3:48" x14ac:dyDescent="0.25">
      <c r="C259" s="31">
        <v>1.3973199999999999E-13</v>
      </c>
      <c r="D259" s="5">
        <v>1.04699E-12</v>
      </c>
      <c r="E259" s="3">
        <v>1.07719E-12</v>
      </c>
      <c r="F259" s="30">
        <v>1.1058799999999999E-12</v>
      </c>
      <c r="H259" s="2"/>
      <c r="I259" s="3">
        <v>4.2793000000000003E-14</v>
      </c>
      <c r="J259" s="3">
        <v>3.7528100000000001E-13</v>
      </c>
      <c r="K259" s="3">
        <v>3.9649000000000001E-13</v>
      </c>
      <c r="L259" s="30">
        <v>3.6330400000000001E-13</v>
      </c>
      <c r="N259" s="6"/>
      <c r="O259" s="3">
        <v>3.51826E-14</v>
      </c>
      <c r="P259" s="3">
        <v>3.6043500000000002E-13</v>
      </c>
      <c r="Q259" s="3">
        <v>3.8850599999999999E-13</v>
      </c>
      <c r="R259" s="30">
        <v>3.9599099999999998E-13</v>
      </c>
      <c r="T259" s="6"/>
      <c r="U259" s="3">
        <v>3.5556899999999998E-14</v>
      </c>
      <c r="V259" s="3">
        <v>3.6018499999999999E-13</v>
      </c>
      <c r="W259" s="3">
        <v>3.7889900000000001E-13</v>
      </c>
      <c r="X259" s="35">
        <v>3.45837E-13</v>
      </c>
      <c r="Z259" s="6"/>
      <c r="AA259" s="3">
        <v>2.0835100000000001E-14</v>
      </c>
      <c r="AB259" s="3">
        <v>3.4259399999999999E-13</v>
      </c>
      <c r="AC259" s="3">
        <v>3.4209500000000002E-13</v>
      </c>
      <c r="AD259" s="30">
        <v>3.1988800000000002E-13</v>
      </c>
      <c r="AF259" s="6"/>
      <c r="AG259" s="3">
        <v>3.1190199999999999E-15</v>
      </c>
      <c r="AH259" s="3">
        <v>7.9472699999999995E-14</v>
      </c>
      <c r="AI259" s="3">
        <v>8.9328799999999998E-14</v>
      </c>
      <c r="AJ259" s="30">
        <v>7.4357499999999994E-14</v>
      </c>
      <c r="AL259" s="6"/>
      <c r="AM259" s="3">
        <v>4.9903799999999998E-16</v>
      </c>
      <c r="AN259" s="3">
        <v>7.4855700000000003E-16</v>
      </c>
      <c r="AO259" s="3">
        <v>9.9807599999999997E-16</v>
      </c>
      <c r="AP259" s="30">
        <v>8.7331700000000001E-16</v>
      </c>
      <c r="AR259" s="6"/>
      <c r="AS259" s="3">
        <v>6.7370999999999998E-15</v>
      </c>
      <c r="AT259" s="3">
        <v>8.1094700000000004E-15</v>
      </c>
      <c r="AU259" s="30">
        <v>1.24761E-16</v>
      </c>
      <c r="AV259" s="3">
        <v>5.3647200000000001E-15</v>
      </c>
    </row>
    <row r="260" spans="3:48" x14ac:dyDescent="0.25">
      <c r="C260" s="31">
        <v>1.3898399999999999E-13</v>
      </c>
      <c r="D260" s="5">
        <v>1.0417500000000001E-12</v>
      </c>
      <c r="E260" s="3">
        <v>1.07606E-12</v>
      </c>
      <c r="F260" s="30">
        <v>1.09378E-12</v>
      </c>
      <c r="H260" s="2"/>
      <c r="I260" s="3">
        <v>4.2668199999999999E-14</v>
      </c>
      <c r="J260" s="3">
        <v>3.7353400000000001E-13</v>
      </c>
      <c r="K260" s="3">
        <v>3.93247E-13</v>
      </c>
      <c r="L260" s="30">
        <v>3.6093300000000002E-13</v>
      </c>
      <c r="N260" s="6"/>
      <c r="O260" s="3">
        <v>3.51826E-14</v>
      </c>
      <c r="P260" s="3">
        <v>3.5943599999999999E-13</v>
      </c>
      <c r="Q260" s="3">
        <v>3.8601100000000001E-13</v>
      </c>
      <c r="R260" s="30">
        <v>3.9187400000000001E-13</v>
      </c>
      <c r="T260" s="6"/>
      <c r="U260" s="3">
        <v>3.5057800000000003E-14</v>
      </c>
      <c r="V260" s="3">
        <v>3.6018499999999999E-13</v>
      </c>
      <c r="W260" s="3">
        <v>3.7378399999999999E-13</v>
      </c>
      <c r="X260" s="35">
        <v>3.4296800000000001E-13</v>
      </c>
      <c r="Z260" s="6"/>
      <c r="AA260" s="3">
        <v>2.07103E-14</v>
      </c>
      <c r="AB260" s="3">
        <v>3.4134600000000002E-13</v>
      </c>
      <c r="AC260" s="3">
        <v>3.3959999999999999E-13</v>
      </c>
      <c r="AD260" s="30">
        <v>3.1951299999999998E-13</v>
      </c>
      <c r="AF260" s="6"/>
      <c r="AG260" s="3">
        <v>3.1190199999999999E-15</v>
      </c>
      <c r="AH260" s="3">
        <v>7.8474599999999998E-14</v>
      </c>
      <c r="AI260" s="3">
        <v>8.7207799999999994E-14</v>
      </c>
      <c r="AJ260" s="30">
        <v>7.3983199999999996E-14</v>
      </c>
      <c r="AL260" s="6"/>
      <c r="AM260" s="3">
        <v>3.7427900000000002E-16</v>
      </c>
      <c r="AN260" s="3">
        <v>6.2379799999999997E-16</v>
      </c>
      <c r="AO260" s="3">
        <v>8.7331700000000001E-16</v>
      </c>
      <c r="AP260" s="30">
        <v>8.7331700000000001E-16</v>
      </c>
      <c r="AR260" s="6"/>
      <c r="AS260" s="3">
        <v>6.7370999999999998E-15</v>
      </c>
      <c r="AT260" s="3">
        <v>8.1094700000000004E-15</v>
      </c>
      <c r="AU260" s="30">
        <v>7.4856599999999998E-16</v>
      </c>
      <c r="AV260" s="3">
        <v>5.3647200000000001E-15</v>
      </c>
    </row>
    <row r="261" spans="3:48" x14ac:dyDescent="0.25">
      <c r="C261" s="31">
        <v>1.35116E-13</v>
      </c>
      <c r="D261" s="5">
        <v>1.0415100000000001E-12</v>
      </c>
      <c r="E261" s="3">
        <v>1.0708200000000001E-12</v>
      </c>
      <c r="F261" s="30">
        <v>1.08629E-12</v>
      </c>
      <c r="H261" s="2"/>
      <c r="I261" s="3">
        <v>4.2543500000000002E-14</v>
      </c>
      <c r="J261" s="3">
        <v>3.7066500000000002E-13</v>
      </c>
      <c r="K261" s="3">
        <v>3.90502E-13</v>
      </c>
      <c r="L261" s="30">
        <v>3.5793900000000002E-13</v>
      </c>
      <c r="N261" s="6"/>
      <c r="O261" s="3">
        <v>3.4309300000000001E-14</v>
      </c>
      <c r="P261" s="3">
        <v>3.5843799999999999E-13</v>
      </c>
      <c r="Q261" s="3">
        <v>3.84139E-13</v>
      </c>
      <c r="R261" s="30">
        <v>3.9162500000000001E-13</v>
      </c>
      <c r="T261" s="6"/>
      <c r="U261" s="3">
        <v>3.4683599999999999E-14</v>
      </c>
      <c r="V261" s="3">
        <v>3.5743999999999999E-13</v>
      </c>
      <c r="W261" s="3">
        <v>3.7203699999999998E-13</v>
      </c>
      <c r="X261" s="35">
        <v>3.4271799999999998E-13</v>
      </c>
      <c r="Z261" s="6"/>
      <c r="AA261" s="3">
        <v>2.0585600000000001E-14</v>
      </c>
      <c r="AB261" s="3">
        <v>3.3935000000000001E-13</v>
      </c>
      <c r="AC261" s="3">
        <v>3.3872600000000003E-13</v>
      </c>
      <c r="AD261" s="30">
        <v>3.1552100000000002E-13</v>
      </c>
      <c r="AF261" s="6"/>
      <c r="AG261" s="3">
        <v>3.1190199999999999E-15</v>
      </c>
      <c r="AH261" s="3">
        <v>7.8225000000000002E-14</v>
      </c>
      <c r="AI261" s="3">
        <v>8.6583999999999995E-14</v>
      </c>
      <c r="AJ261" s="30">
        <v>7.3733699999999995E-14</v>
      </c>
      <c r="AL261" s="6"/>
      <c r="AM261" s="3">
        <v>3.7427900000000002E-16</v>
      </c>
      <c r="AN261" s="3">
        <v>6.2379799999999997E-16</v>
      </c>
      <c r="AO261" s="3">
        <v>8.7331700000000001E-16</v>
      </c>
      <c r="AP261" s="30">
        <v>7.4855700000000003E-16</v>
      </c>
      <c r="AR261" s="6"/>
      <c r="AS261" s="3">
        <v>6.6123299999999999E-15</v>
      </c>
      <c r="AT261" s="3">
        <v>8.1094700000000004E-15</v>
      </c>
      <c r="AU261" s="30">
        <v>7.4856599999999998E-16</v>
      </c>
      <c r="AV261" s="3">
        <v>5.3647200000000001E-15</v>
      </c>
    </row>
    <row r="262" spans="3:48" x14ac:dyDescent="0.25">
      <c r="C262" s="31">
        <v>1.3386899999999999E-13</v>
      </c>
      <c r="D262" s="5">
        <v>1.0361400000000001E-12</v>
      </c>
      <c r="E262" s="3">
        <v>1.06009E-12</v>
      </c>
      <c r="F262" s="30">
        <v>1.06845E-12</v>
      </c>
      <c r="H262" s="2"/>
      <c r="I262" s="3">
        <v>4.2418699999999998E-14</v>
      </c>
      <c r="J262" s="3">
        <v>3.6480099999999999E-13</v>
      </c>
      <c r="K262" s="3">
        <v>3.8925400000000002E-13</v>
      </c>
      <c r="L262" s="30">
        <v>3.55818E-13</v>
      </c>
      <c r="N262" s="6"/>
      <c r="O262" s="3">
        <v>3.3935000000000003E-14</v>
      </c>
      <c r="P262" s="3">
        <v>3.5706599999999998E-13</v>
      </c>
      <c r="Q262" s="3">
        <v>3.8339100000000002E-13</v>
      </c>
      <c r="R262" s="30">
        <v>3.88631E-13</v>
      </c>
      <c r="T262" s="6"/>
      <c r="U262" s="3">
        <v>3.4558800000000001E-14</v>
      </c>
      <c r="V262" s="3">
        <v>3.5719099999999999E-13</v>
      </c>
      <c r="W262" s="3">
        <v>3.7141299999999999E-13</v>
      </c>
      <c r="X262" s="35">
        <v>3.3885099999999999E-13</v>
      </c>
      <c r="Z262" s="6"/>
      <c r="AA262" s="3">
        <v>2.0585600000000001E-14</v>
      </c>
      <c r="AB262" s="3">
        <v>3.3248799999999999E-13</v>
      </c>
      <c r="AC262" s="3">
        <v>3.3348599999999999E-13</v>
      </c>
      <c r="AD262" s="30">
        <v>3.1314999999999998E-13</v>
      </c>
      <c r="AF262" s="6"/>
      <c r="AG262" s="3">
        <v>2.8695000000000002E-15</v>
      </c>
      <c r="AH262" s="3">
        <v>7.8100299999999999E-14</v>
      </c>
      <c r="AI262" s="3">
        <v>7.9223099999999999E-14</v>
      </c>
      <c r="AJ262" s="30">
        <v>7.2111799999999999E-14</v>
      </c>
      <c r="AL262" s="6"/>
      <c r="AM262" s="3">
        <v>3.7427900000000002E-16</v>
      </c>
      <c r="AN262" s="3">
        <v>6.2379799999999997E-16</v>
      </c>
      <c r="AO262" s="3">
        <v>8.7331700000000001E-16</v>
      </c>
      <c r="AP262" s="30">
        <v>6.2379799999999997E-16</v>
      </c>
      <c r="AR262" s="6"/>
      <c r="AS262" s="3">
        <v>6.6123299999999999E-15</v>
      </c>
      <c r="AT262" s="3">
        <v>7.8599400000000005E-15</v>
      </c>
      <c r="AU262" s="30">
        <v>2.2457000000000002E-15</v>
      </c>
      <c r="AV262" s="3">
        <v>5.2399600000000001E-15</v>
      </c>
    </row>
    <row r="263" spans="3:48" x14ac:dyDescent="0.25">
      <c r="C263" s="31">
        <v>1.3361899999999999E-13</v>
      </c>
      <c r="D263" s="5">
        <v>1.0352700000000001E-12</v>
      </c>
      <c r="E263" s="3">
        <v>1.05573E-12</v>
      </c>
      <c r="F263" s="30">
        <v>1.06546E-12</v>
      </c>
      <c r="H263" s="2"/>
      <c r="I263" s="3">
        <v>4.2294000000000001E-14</v>
      </c>
      <c r="J263" s="3">
        <v>3.6405199999999999E-13</v>
      </c>
      <c r="K263" s="3">
        <v>3.8626000000000001E-13</v>
      </c>
      <c r="L263" s="30">
        <v>3.5544399999999998E-13</v>
      </c>
      <c r="N263" s="6"/>
      <c r="O263" s="3">
        <v>3.3436000000000001E-14</v>
      </c>
      <c r="P263" s="3">
        <v>3.5494500000000001E-13</v>
      </c>
      <c r="Q263" s="3">
        <v>3.80521E-13</v>
      </c>
      <c r="R263" s="30">
        <v>3.78774E-13</v>
      </c>
      <c r="T263" s="6"/>
      <c r="U263" s="3">
        <v>3.4184499999999997E-14</v>
      </c>
      <c r="V263" s="3">
        <v>3.5606800000000002E-13</v>
      </c>
      <c r="W263" s="3">
        <v>3.68544E-13</v>
      </c>
      <c r="X263" s="35">
        <v>3.3473400000000002E-13</v>
      </c>
      <c r="Z263" s="6"/>
      <c r="AA263" s="3">
        <v>2.0585600000000001E-14</v>
      </c>
      <c r="AB263" s="3">
        <v>3.3174000000000001E-13</v>
      </c>
      <c r="AC263" s="3">
        <v>3.2886999999999999E-13</v>
      </c>
      <c r="AD263" s="30">
        <v>3.1290099999999998E-13</v>
      </c>
      <c r="AF263" s="6"/>
      <c r="AG263" s="3">
        <v>2.8695000000000002E-15</v>
      </c>
      <c r="AH263" s="3">
        <v>7.7850799999999999E-14</v>
      </c>
      <c r="AI263" s="3">
        <v>7.83498E-14</v>
      </c>
      <c r="AJ263" s="30">
        <v>7.1862200000000004E-14</v>
      </c>
      <c r="AL263" s="6"/>
      <c r="AM263" s="3">
        <v>3.7427900000000002E-16</v>
      </c>
      <c r="AN263" s="3">
        <v>6.2379799999999997E-16</v>
      </c>
      <c r="AO263" s="3">
        <v>8.7331700000000001E-16</v>
      </c>
      <c r="AP263" s="30">
        <v>6.2379799999999997E-16</v>
      </c>
      <c r="AR263" s="6"/>
      <c r="AS263" s="3">
        <v>6.6123299999999999E-15</v>
      </c>
      <c r="AT263" s="3">
        <v>7.7351800000000004E-15</v>
      </c>
      <c r="AU263" s="30">
        <v>3.7428299999999999E-16</v>
      </c>
      <c r="AV263" s="3">
        <v>5.2399600000000001E-15</v>
      </c>
    </row>
    <row r="264" spans="3:48" x14ac:dyDescent="0.25">
      <c r="C264" s="31">
        <v>1.3311999999999999E-13</v>
      </c>
      <c r="D264" s="5">
        <v>1.02516E-12</v>
      </c>
      <c r="E264" s="3">
        <v>1.0534800000000001E-12</v>
      </c>
      <c r="F264" s="30">
        <v>1.05161E-12</v>
      </c>
      <c r="H264" s="2"/>
      <c r="I264" s="3">
        <v>4.11711E-14</v>
      </c>
      <c r="J264" s="3">
        <v>3.63928E-13</v>
      </c>
      <c r="K264" s="3">
        <v>3.85886E-13</v>
      </c>
      <c r="L264" s="30">
        <v>3.51951E-13</v>
      </c>
      <c r="N264" s="6"/>
      <c r="O264" s="3">
        <v>3.3436000000000001E-14</v>
      </c>
      <c r="P264" s="3">
        <v>3.4646099999999999E-13</v>
      </c>
      <c r="Q264" s="3">
        <v>3.7939799999999999E-13</v>
      </c>
      <c r="R264" s="30">
        <v>3.7752699999999999E-13</v>
      </c>
      <c r="T264" s="6"/>
      <c r="U264" s="3">
        <v>3.3685500000000002E-14</v>
      </c>
      <c r="V264" s="3">
        <v>3.55818E-13</v>
      </c>
      <c r="W264" s="3">
        <v>3.6816999999999999E-13</v>
      </c>
      <c r="X264" s="35">
        <v>3.33611E-13</v>
      </c>
      <c r="Z264" s="6"/>
      <c r="AA264" s="3">
        <v>1.9712300000000001E-14</v>
      </c>
      <c r="AB264" s="3">
        <v>3.27997E-13</v>
      </c>
      <c r="AC264" s="3">
        <v>3.2462800000000001E-13</v>
      </c>
      <c r="AD264" s="30">
        <v>3.1102900000000002E-13</v>
      </c>
      <c r="AF264" s="6"/>
      <c r="AG264" s="3">
        <v>2.7447400000000001E-15</v>
      </c>
      <c r="AH264" s="3">
        <v>7.0864200000000002E-14</v>
      </c>
      <c r="AI264" s="3">
        <v>7.6353600000000006E-14</v>
      </c>
      <c r="AJ264" s="30">
        <v>6.8867999999999995E-14</v>
      </c>
      <c r="AL264" s="6"/>
      <c r="AM264" s="3">
        <v>3.7427900000000002E-16</v>
      </c>
      <c r="AN264" s="3">
        <v>6.2379799999999997E-16</v>
      </c>
      <c r="AO264" s="3">
        <v>8.7331700000000001E-16</v>
      </c>
      <c r="AP264" s="30">
        <v>6.2379799999999997E-16</v>
      </c>
      <c r="AR264" s="6"/>
      <c r="AS264" s="3">
        <v>6.6123299999999999E-15</v>
      </c>
      <c r="AT264" s="3">
        <v>7.6104200000000003E-15</v>
      </c>
      <c r="AU264" s="30">
        <v>3.7428299999999999E-16</v>
      </c>
      <c r="AV264" s="3">
        <v>5.1152E-15</v>
      </c>
    </row>
    <row r="265" spans="3:48" x14ac:dyDescent="0.25">
      <c r="C265" s="31">
        <v>1.3237099999999999E-13</v>
      </c>
      <c r="D265" s="5">
        <v>1.02204E-12</v>
      </c>
      <c r="E265" s="3">
        <v>1.0501100000000001E-12</v>
      </c>
      <c r="F265" s="30">
        <v>1.0476199999999999E-12</v>
      </c>
      <c r="H265" s="2"/>
      <c r="I265" s="3">
        <v>4.0297800000000001E-14</v>
      </c>
      <c r="J265" s="3">
        <v>3.6305399999999999E-13</v>
      </c>
      <c r="K265" s="3">
        <v>3.8314099999999999E-13</v>
      </c>
      <c r="L265" s="30">
        <v>3.4982999999999998E-13</v>
      </c>
      <c r="N265" s="6"/>
      <c r="O265" s="3">
        <v>3.31864E-14</v>
      </c>
      <c r="P265" s="3">
        <v>3.4234400000000002E-13</v>
      </c>
      <c r="Q265" s="3">
        <v>3.75156E-13</v>
      </c>
      <c r="R265" s="30">
        <v>3.7727700000000002E-13</v>
      </c>
      <c r="T265" s="6"/>
      <c r="U265" s="3">
        <v>3.3685500000000002E-14</v>
      </c>
      <c r="V265" s="3">
        <v>3.5182599999999999E-13</v>
      </c>
      <c r="W265" s="3">
        <v>3.6342899999999998E-13</v>
      </c>
      <c r="X265" s="35">
        <v>3.3348599999999999E-13</v>
      </c>
      <c r="Z265" s="6"/>
      <c r="AA265" s="3">
        <v>1.95875E-14</v>
      </c>
      <c r="AB265" s="3">
        <v>3.2475300000000002E-13</v>
      </c>
      <c r="AC265" s="3">
        <v>3.2450400000000002E-13</v>
      </c>
      <c r="AD265" s="30">
        <v>3.1102900000000002E-13</v>
      </c>
      <c r="AF265" s="6"/>
      <c r="AG265" s="3">
        <v>2.7447400000000001E-15</v>
      </c>
      <c r="AH265" s="3">
        <v>7.0614599999999994E-14</v>
      </c>
      <c r="AI265" s="3">
        <v>7.6228900000000003E-14</v>
      </c>
      <c r="AJ265" s="30">
        <v>6.6871800000000001E-14</v>
      </c>
      <c r="AL265" s="6"/>
      <c r="AM265" s="3">
        <v>3.7427900000000002E-16</v>
      </c>
      <c r="AN265" s="3">
        <v>6.2379799999999997E-16</v>
      </c>
      <c r="AO265" s="3">
        <v>7.4855700000000003E-16</v>
      </c>
      <c r="AP265" s="30">
        <v>6.2379799999999997E-16</v>
      </c>
      <c r="AR265" s="6"/>
      <c r="AS265" s="3">
        <v>6.4875699999999998E-15</v>
      </c>
      <c r="AT265" s="3">
        <v>7.6104200000000003E-15</v>
      </c>
      <c r="AU265" s="30">
        <v>2.9942599999999999E-15</v>
      </c>
      <c r="AV265" s="3">
        <v>5.1152E-15</v>
      </c>
    </row>
    <row r="266" spans="3:48" x14ac:dyDescent="0.25">
      <c r="C266" s="31">
        <v>1.3137299999999999E-13</v>
      </c>
      <c r="D266" s="5">
        <v>1.0134300000000001E-12</v>
      </c>
      <c r="E266" s="3">
        <v>1.04612E-12</v>
      </c>
      <c r="F266" s="30">
        <v>1.03776E-12</v>
      </c>
      <c r="H266" s="2"/>
      <c r="I266" s="3">
        <v>4.00483E-14</v>
      </c>
      <c r="J266" s="3">
        <v>3.6055900000000001E-13</v>
      </c>
      <c r="K266" s="3">
        <v>3.79523E-13</v>
      </c>
      <c r="L266" s="30">
        <v>3.4958000000000001E-13</v>
      </c>
      <c r="N266" s="6"/>
      <c r="O266" s="3">
        <v>3.2812100000000002E-14</v>
      </c>
      <c r="P266" s="3">
        <v>3.40972E-13</v>
      </c>
      <c r="Q266" s="3">
        <v>3.7103899999999998E-13</v>
      </c>
      <c r="R266" s="30">
        <v>3.6991600000000002E-13</v>
      </c>
      <c r="T266" s="6"/>
      <c r="U266" s="3">
        <v>3.3560699999999998E-14</v>
      </c>
      <c r="V266" s="3">
        <v>3.4982999999999998E-13</v>
      </c>
      <c r="W266" s="3">
        <v>3.6055900000000001E-13</v>
      </c>
      <c r="X266" s="35">
        <v>3.3124000000000001E-13</v>
      </c>
      <c r="Z266" s="6"/>
      <c r="AA266" s="3">
        <v>1.94627E-14</v>
      </c>
      <c r="AB266" s="3">
        <v>3.2101000000000001E-13</v>
      </c>
      <c r="AC266" s="3">
        <v>3.2350600000000002E-13</v>
      </c>
      <c r="AD266" s="30">
        <v>3.1052999999999999E-13</v>
      </c>
      <c r="AF266" s="6"/>
      <c r="AG266" s="3">
        <v>2.61998E-15</v>
      </c>
      <c r="AH266" s="3">
        <v>6.8867999999999995E-14</v>
      </c>
      <c r="AI266" s="3">
        <v>7.6228900000000003E-14</v>
      </c>
      <c r="AJ266" s="30">
        <v>6.3877499999999997E-14</v>
      </c>
      <c r="AL266" s="6"/>
      <c r="AM266" s="3">
        <v>3.7427900000000002E-16</v>
      </c>
      <c r="AN266" s="3">
        <v>4.9903799999999998E-16</v>
      </c>
      <c r="AO266" s="3">
        <v>7.4855700000000003E-16</v>
      </c>
      <c r="AP266" s="30">
        <v>6.2379799999999997E-16</v>
      </c>
      <c r="AR266" s="6"/>
      <c r="AS266" s="3">
        <v>6.4875699999999998E-15</v>
      </c>
      <c r="AT266" s="3">
        <v>7.4856600000000002E-15</v>
      </c>
      <c r="AU266" s="30">
        <v>1.24761E-16</v>
      </c>
      <c r="AV266" s="3">
        <v>5.1152E-15</v>
      </c>
    </row>
    <row r="267" spans="3:48" x14ac:dyDescent="0.25">
      <c r="C267" s="31">
        <v>1.3137299999999999E-13</v>
      </c>
      <c r="D267" s="5">
        <v>1.01206E-12</v>
      </c>
      <c r="E267" s="3">
        <v>1.04537E-12</v>
      </c>
      <c r="F267" s="30">
        <v>1.0305300000000001E-12</v>
      </c>
      <c r="H267" s="2"/>
      <c r="I267" s="3">
        <v>3.9923500000000003E-14</v>
      </c>
      <c r="J267" s="3">
        <v>3.5906199999999998E-13</v>
      </c>
      <c r="K267" s="3">
        <v>3.7889900000000001E-13</v>
      </c>
      <c r="L267" s="30">
        <v>3.4883199999999998E-13</v>
      </c>
      <c r="N267" s="6"/>
      <c r="O267" s="3">
        <v>3.2812100000000002E-14</v>
      </c>
      <c r="P267" s="3">
        <v>3.38976E-13</v>
      </c>
      <c r="Q267" s="3">
        <v>3.6255599999999999E-13</v>
      </c>
      <c r="R267" s="30">
        <v>3.6966700000000001E-13</v>
      </c>
      <c r="T267" s="6"/>
      <c r="U267" s="3">
        <v>3.3311199999999997E-14</v>
      </c>
      <c r="V267" s="3">
        <v>3.4434000000000003E-13</v>
      </c>
      <c r="W267" s="3">
        <v>3.6031000000000001E-13</v>
      </c>
      <c r="X267" s="35">
        <v>3.2961899999999999E-13</v>
      </c>
      <c r="Z267" s="6"/>
      <c r="AA267" s="3">
        <v>1.9213199999999999E-14</v>
      </c>
      <c r="AB267" s="3">
        <v>3.2088600000000002E-13</v>
      </c>
      <c r="AC267" s="3">
        <v>3.2188400000000002E-13</v>
      </c>
      <c r="AD267" s="30">
        <v>3.10406E-13</v>
      </c>
      <c r="AF267" s="6"/>
      <c r="AG267" s="3">
        <v>2.4952199999999999E-15</v>
      </c>
      <c r="AH267" s="3">
        <v>6.6996599999999998E-14</v>
      </c>
      <c r="AI267" s="3">
        <v>7.6228900000000003E-14</v>
      </c>
      <c r="AJ267" s="30">
        <v>6.2505199999999997E-14</v>
      </c>
      <c r="AL267" s="6"/>
      <c r="AM267" s="3">
        <v>3.7427900000000002E-16</v>
      </c>
      <c r="AN267" s="3">
        <v>4.9903799999999998E-16</v>
      </c>
      <c r="AO267" s="3">
        <v>7.4855700000000003E-16</v>
      </c>
      <c r="AP267" s="30">
        <v>6.2379799999999997E-16</v>
      </c>
      <c r="AR267" s="6"/>
      <c r="AS267" s="3">
        <v>6.4875699999999998E-15</v>
      </c>
      <c r="AT267" s="3">
        <v>7.3609000000000002E-15</v>
      </c>
      <c r="AU267" s="30">
        <v>3.7815099999999998E-13</v>
      </c>
      <c r="AV267" s="3">
        <v>5.1152E-15</v>
      </c>
    </row>
    <row r="268" spans="3:48" x14ac:dyDescent="0.25">
      <c r="C268" s="31">
        <v>1.305E-13</v>
      </c>
      <c r="D268" s="5">
        <v>1.0084400000000001E-12</v>
      </c>
      <c r="E268" s="3">
        <v>1.0336499999999999E-12</v>
      </c>
      <c r="F268" s="30">
        <v>1.02579E-12</v>
      </c>
      <c r="H268" s="2"/>
      <c r="I268" s="3">
        <v>3.9923500000000003E-14</v>
      </c>
      <c r="J268" s="3">
        <v>3.5818899999999999E-13</v>
      </c>
      <c r="K268" s="3">
        <v>3.7291099999999999E-13</v>
      </c>
      <c r="L268" s="30">
        <v>3.4795800000000002E-13</v>
      </c>
      <c r="N268" s="6"/>
      <c r="O268" s="3">
        <v>3.23131E-14</v>
      </c>
      <c r="P268" s="3">
        <v>3.3847700000000002E-13</v>
      </c>
      <c r="Q268" s="3">
        <v>3.6205599999999999E-13</v>
      </c>
      <c r="R268" s="30">
        <v>3.6692200000000001E-13</v>
      </c>
      <c r="T268" s="6"/>
      <c r="U268" s="3">
        <v>3.2812100000000002E-14</v>
      </c>
      <c r="V268" s="3">
        <v>3.4296800000000001E-13</v>
      </c>
      <c r="W268" s="3">
        <v>3.59312E-13</v>
      </c>
      <c r="X268" s="35">
        <v>3.2812099999999999E-13</v>
      </c>
      <c r="Z268" s="6"/>
      <c r="AA268" s="3">
        <v>1.7716100000000001E-14</v>
      </c>
      <c r="AB268" s="3">
        <v>3.2026199999999998E-13</v>
      </c>
      <c r="AC268" s="3">
        <v>3.1252700000000002E-13</v>
      </c>
      <c r="AD268" s="30">
        <v>3.0853399999999999E-13</v>
      </c>
      <c r="AF268" s="6"/>
      <c r="AG268" s="3">
        <v>2.24569E-15</v>
      </c>
      <c r="AH268" s="3">
        <v>6.66223E-14</v>
      </c>
      <c r="AI268" s="3">
        <v>7.4981300000000005E-14</v>
      </c>
      <c r="AJ268" s="30">
        <v>6.2255699999999996E-14</v>
      </c>
      <c r="AL268" s="6"/>
      <c r="AM268" s="3">
        <v>3.7427900000000002E-16</v>
      </c>
      <c r="AN268" s="3">
        <v>4.9903799999999998E-16</v>
      </c>
      <c r="AO268" s="3">
        <v>6.2379799999999997E-16</v>
      </c>
      <c r="AP268" s="30">
        <v>6.2379799999999997E-16</v>
      </c>
      <c r="AR268" s="6"/>
      <c r="AS268" s="3">
        <v>6.3628099999999997E-15</v>
      </c>
      <c r="AT268" s="3">
        <v>7.3609000000000002E-15</v>
      </c>
      <c r="AU268" s="30">
        <v>8.7332699999999998E-16</v>
      </c>
      <c r="AV268" s="3">
        <v>5.1152E-15</v>
      </c>
    </row>
    <row r="269" spans="3:48" x14ac:dyDescent="0.25">
      <c r="C269" s="31">
        <v>1.305E-13</v>
      </c>
      <c r="D269" s="5">
        <v>1.00096E-12</v>
      </c>
      <c r="E269" s="3">
        <v>1.0303999999999999E-12</v>
      </c>
      <c r="F269" s="30">
        <v>1.02516E-12</v>
      </c>
      <c r="H269" s="2"/>
      <c r="I269" s="3">
        <v>3.9424500000000002E-14</v>
      </c>
      <c r="J269" s="3">
        <v>3.5743999999999999E-13</v>
      </c>
      <c r="K269" s="3">
        <v>3.72411E-13</v>
      </c>
      <c r="L269" s="30">
        <v>3.4745899999999999E-13</v>
      </c>
      <c r="N269" s="6"/>
      <c r="O269" s="3">
        <v>3.23131E-14</v>
      </c>
      <c r="P269" s="3">
        <v>3.3448399999999999E-13</v>
      </c>
      <c r="Q269" s="3">
        <v>3.6143300000000002E-13</v>
      </c>
      <c r="R269" s="30">
        <v>3.6692200000000001E-13</v>
      </c>
      <c r="T269" s="6"/>
      <c r="U269" s="3">
        <v>3.2687399999999999E-14</v>
      </c>
      <c r="V269" s="3">
        <v>3.4084699999999999E-13</v>
      </c>
      <c r="W269" s="3">
        <v>3.58314E-13</v>
      </c>
      <c r="X269" s="35">
        <v>3.2749800000000002E-13</v>
      </c>
      <c r="Z269" s="6"/>
      <c r="AA269" s="3">
        <v>1.7716100000000001E-14</v>
      </c>
      <c r="AB269" s="3">
        <v>3.1739200000000002E-13</v>
      </c>
      <c r="AC269" s="3">
        <v>3.11404E-13</v>
      </c>
      <c r="AD269" s="30">
        <v>3.0703700000000001E-13</v>
      </c>
      <c r="AF269" s="6"/>
      <c r="AG269" s="3">
        <v>2.1209299999999999E-15</v>
      </c>
      <c r="AH269" s="3">
        <v>6.5749000000000001E-14</v>
      </c>
      <c r="AI269" s="3">
        <v>7.4731699999999998E-14</v>
      </c>
      <c r="AJ269" s="30">
        <v>6.17566E-14</v>
      </c>
      <c r="AL269" s="6"/>
      <c r="AM269" s="3">
        <v>3.7427900000000002E-16</v>
      </c>
      <c r="AN269" s="3">
        <v>4.9903799999999998E-16</v>
      </c>
      <c r="AO269" s="3">
        <v>6.2379799999999997E-16</v>
      </c>
      <c r="AP269" s="30">
        <v>6.2379799999999997E-16</v>
      </c>
      <c r="AR269" s="6"/>
      <c r="AS269" s="3">
        <v>6.2380499999999997E-15</v>
      </c>
      <c r="AT269" s="3">
        <v>7.3609000000000002E-15</v>
      </c>
      <c r="AU269" s="30">
        <v>1.1228500000000001E-15</v>
      </c>
      <c r="AV269" s="3">
        <v>4.9904399999999999E-15</v>
      </c>
    </row>
    <row r="270" spans="3:48" x14ac:dyDescent="0.25">
      <c r="C270" s="31">
        <v>1.305E-13</v>
      </c>
      <c r="D270" s="5">
        <v>9.9097699999999997E-13</v>
      </c>
      <c r="E270" s="3">
        <v>1.03003E-12</v>
      </c>
      <c r="F270" s="30">
        <v>1.02179E-12</v>
      </c>
      <c r="H270" s="2"/>
      <c r="I270" s="3">
        <v>3.9299699999999998E-14</v>
      </c>
      <c r="J270" s="3">
        <v>3.5719099999999999E-13</v>
      </c>
      <c r="K270" s="3">
        <v>3.7203699999999998E-13</v>
      </c>
      <c r="L270" s="30">
        <v>3.4708499999999998E-13</v>
      </c>
      <c r="N270" s="6"/>
      <c r="O270" s="3">
        <v>3.2188300000000003E-14</v>
      </c>
      <c r="P270" s="3">
        <v>3.3423499999999999E-13</v>
      </c>
      <c r="Q270" s="3">
        <v>3.52949E-13</v>
      </c>
      <c r="R270" s="30">
        <v>3.6480099999999999E-13</v>
      </c>
      <c r="T270" s="6"/>
      <c r="U270" s="3">
        <v>3.2562600000000001E-14</v>
      </c>
      <c r="V270" s="3">
        <v>3.4072199999999998E-13</v>
      </c>
      <c r="W270" s="3">
        <v>3.5519499999999998E-13</v>
      </c>
      <c r="X270" s="35">
        <v>3.2737300000000001E-13</v>
      </c>
      <c r="Z270" s="6"/>
      <c r="AA270" s="3">
        <v>1.74666E-14</v>
      </c>
      <c r="AB270" s="3">
        <v>3.1364900000000001E-13</v>
      </c>
      <c r="AC270" s="3">
        <v>3.11404E-13</v>
      </c>
      <c r="AD270" s="30">
        <v>3.0678800000000001E-13</v>
      </c>
      <c r="AF270" s="6"/>
      <c r="AG270" s="3">
        <v>2.1209299999999999E-15</v>
      </c>
      <c r="AH270" s="3">
        <v>6.5624200000000003E-14</v>
      </c>
      <c r="AI270" s="3">
        <v>7.4107899999999999E-14</v>
      </c>
      <c r="AJ270" s="30">
        <v>6.17566E-14</v>
      </c>
      <c r="AL270" s="6"/>
      <c r="AM270" s="3">
        <v>3.7427900000000002E-16</v>
      </c>
      <c r="AN270" s="3">
        <v>4.9903799999999998E-16</v>
      </c>
      <c r="AO270" s="3">
        <v>6.2379799999999997E-16</v>
      </c>
      <c r="AP270" s="30">
        <v>4.9903799999999998E-16</v>
      </c>
      <c r="AR270" s="6"/>
      <c r="AS270" s="3">
        <v>6.1132900000000004E-15</v>
      </c>
      <c r="AT270" s="3">
        <v>7.2361400000000001E-15</v>
      </c>
      <c r="AU270" s="30">
        <v>3.7428299999999999E-16</v>
      </c>
      <c r="AV270" s="3">
        <v>4.9904399999999999E-15</v>
      </c>
    </row>
    <row r="271" spans="3:48" x14ac:dyDescent="0.25">
      <c r="C271" s="31">
        <v>1.3037500000000001E-13</v>
      </c>
      <c r="D271" s="5">
        <v>9.8386600000000004E-13</v>
      </c>
      <c r="E271" s="3">
        <v>1.0291499999999999E-12</v>
      </c>
      <c r="F271" s="30">
        <v>1.0214199999999999E-12</v>
      </c>
      <c r="H271" s="2"/>
      <c r="I271" s="3">
        <v>3.8925399999999999E-14</v>
      </c>
      <c r="J271" s="3">
        <v>3.55818E-13</v>
      </c>
      <c r="K271" s="3">
        <v>3.6816999999999999E-13</v>
      </c>
      <c r="L271" s="30">
        <v>3.4496400000000001E-13</v>
      </c>
      <c r="N271" s="6"/>
      <c r="O271" s="3">
        <v>3.2188300000000003E-14</v>
      </c>
      <c r="P271" s="3">
        <v>3.32613E-13</v>
      </c>
      <c r="Q271" s="3">
        <v>3.4621199999999999E-13</v>
      </c>
      <c r="R271" s="30">
        <v>3.6430200000000002E-13</v>
      </c>
      <c r="T271" s="6"/>
      <c r="U271" s="3">
        <v>3.23131E-14</v>
      </c>
      <c r="V271" s="3">
        <v>3.39225E-13</v>
      </c>
      <c r="W271" s="3">
        <v>3.5419600000000001E-13</v>
      </c>
      <c r="X271" s="35">
        <v>3.24503E-13</v>
      </c>
      <c r="Z271" s="6"/>
      <c r="AA271" s="3">
        <v>1.7341799999999999E-14</v>
      </c>
      <c r="AB271" s="3">
        <v>3.1015599999999998E-13</v>
      </c>
      <c r="AC271" s="3">
        <v>3.0878400000000001E-13</v>
      </c>
      <c r="AD271" s="30">
        <v>3.0466699999999999E-13</v>
      </c>
      <c r="AF271" s="6"/>
      <c r="AG271" s="3">
        <v>2.1209299999999999E-15</v>
      </c>
      <c r="AH271" s="3">
        <v>6.2879499999999995E-14</v>
      </c>
      <c r="AI271" s="3">
        <v>7.2735599999999998E-14</v>
      </c>
      <c r="AJ271" s="30">
        <v>5.9760400000000006E-14</v>
      </c>
      <c r="AL271" s="6"/>
      <c r="AM271" s="3">
        <v>3.7427900000000002E-16</v>
      </c>
      <c r="AN271" s="3">
        <v>4.9903799999999998E-16</v>
      </c>
      <c r="AO271" s="3">
        <v>6.2379799999999997E-16</v>
      </c>
      <c r="AP271" s="30">
        <v>4.9903799999999998E-16</v>
      </c>
      <c r="AR271" s="6"/>
      <c r="AS271" s="3">
        <v>5.8637700000000002E-15</v>
      </c>
      <c r="AT271" s="3">
        <v>7.11138E-15</v>
      </c>
      <c r="AU271" s="30">
        <v>1.35603E-12</v>
      </c>
      <c r="AV271" s="3">
        <v>4.9904399999999999E-15</v>
      </c>
    </row>
    <row r="272" spans="3:48" x14ac:dyDescent="0.25">
      <c r="C272" s="31">
        <v>1.3037500000000001E-13</v>
      </c>
      <c r="D272" s="5">
        <v>9.8261799999999996E-13</v>
      </c>
      <c r="E272" s="3">
        <v>1.0290299999999999E-12</v>
      </c>
      <c r="F272" s="30">
        <v>1.0210400000000001E-12</v>
      </c>
      <c r="H272" s="2"/>
      <c r="I272" s="3">
        <v>3.8675899999999999E-14</v>
      </c>
      <c r="J272" s="3">
        <v>3.5407200000000002E-13</v>
      </c>
      <c r="K272" s="3">
        <v>3.6617300000000001E-13</v>
      </c>
      <c r="L272" s="30">
        <v>3.4409100000000002E-13</v>
      </c>
      <c r="N272" s="6"/>
      <c r="O272" s="3">
        <v>3.2188300000000003E-14</v>
      </c>
      <c r="P272" s="3">
        <v>3.3248799999999999E-13</v>
      </c>
      <c r="Q272" s="3">
        <v>3.4583799999999997E-13</v>
      </c>
      <c r="R272" s="30">
        <v>3.58314E-13</v>
      </c>
      <c r="T272" s="6"/>
      <c r="U272" s="3">
        <v>3.1689300000000002E-14</v>
      </c>
      <c r="V272" s="3">
        <v>3.2350499999999999E-13</v>
      </c>
      <c r="W272" s="3">
        <v>3.49955E-13</v>
      </c>
      <c r="X272" s="35">
        <v>3.1938800000000002E-13</v>
      </c>
      <c r="Z272" s="6"/>
      <c r="AA272" s="3">
        <v>1.7341799999999999E-14</v>
      </c>
      <c r="AB272" s="3">
        <v>3.0853399999999999E-13</v>
      </c>
      <c r="AC272" s="3">
        <v>3.0317000000000001E-13</v>
      </c>
      <c r="AD272" s="30">
        <v>2.9730599999999999E-13</v>
      </c>
      <c r="AF272" s="6"/>
      <c r="AG272" s="3">
        <v>1.8714100000000002E-15</v>
      </c>
      <c r="AH272" s="3">
        <v>6.1382300000000002E-14</v>
      </c>
      <c r="AI272" s="3">
        <v>7.0240299999999996E-14</v>
      </c>
      <c r="AJ272" s="30">
        <v>5.9386200000000002E-14</v>
      </c>
      <c r="AL272" s="6"/>
      <c r="AM272" s="3">
        <v>3.7427900000000002E-16</v>
      </c>
      <c r="AN272" s="3">
        <v>3.7427900000000002E-16</v>
      </c>
      <c r="AO272" s="3">
        <v>6.2379799999999997E-16</v>
      </c>
      <c r="AP272" s="30">
        <v>4.9903799999999998E-16</v>
      </c>
      <c r="AR272" s="6"/>
      <c r="AS272" s="3">
        <v>5.6142500000000001E-15</v>
      </c>
      <c r="AT272" s="3">
        <v>6.8618599999999998E-15</v>
      </c>
      <c r="AU272" s="30">
        <v>1.85894E-14</v>
      </c>
      <c r="AV272" s="3">
        <v>4.9904399999999999E-15</v>
      </c>
    </row>
    <row r="273" spans="3:48" x14ac:dyDescent="0.25">
      <c r="C273" s="31">
        <v>1.29003E-13</v>
      </c>
      <c r="D273" s="5">
        <v>9.7887499999999991E-13</v>
      </c>
      <c r="E273" s="3">
        <v>1.02516E-12</v>
      </c>
      <c r="F273" s="30">
        <v>1.01905E-12</v>
      </c>
      <c r="H273" s="2"/>
      <c r="I273" s="3">
        <v>3.8551100000000001E-14</v>
      </c>
      <c r="J273" s="3">
        <v>3.4596200000000002E-13</v>
      </c>
      <c r="K273" s="3">
        <v>3.6505100000000002E-13</v>
      </c>
      <c r="L273" s="30">
        <v>3.4309300000000002E-13</v>
      </c>
      <c r="N273" s="6"/>
      <c r="O273" s="3">
        <v>3.1689300000000002E-14</v>
      </c>
      <c r="P273" s="3">
        <v>3.2874499999999998E-13</v>
      </c>
      <c r="Q273" s="3">
        <v>3.4583799999999997E-13</v>
      </c>
      <c r="R273" s="30">
        <v>3.5706599999999998E-13</v>
      </c>
      <c r="T273" s="6"/>
      <c r="U273" s="3">
        <v>3.1314999999999997E-14</v>
      </c>
      <c r="V273" s="3">
        <v>3.2275700000000002E-13</v>
      </c>
      <c r="W273" s="3">
        <v>3.4134600000000002E-13</v>
      </c>
      <c r="X273" s="35">
        <v>3.1052999999999999E-13</v>
      </c>
      <c r="Z273" s="6"/>
      <c r="AA273" s="3">
        <v>1.6842800000000001E-14</v>
      </c>
      <c r="AB273" s="3">
        <v>2.9880300000000001E-13</v>
      </c>
      <c r="AC273" s="3">
        <v>3.0142300000000001E-13</v>
      </c>
      <c r="AD273" s="30">
        <v>2.9493499999999999E-13</v>
      </c>
      <c r="AF273" s="6"/>
      <c r="AG273" s="3">
        <v>1.7466500000000001E-15</v>
      </c>
      <c r="AH273" s="3">
        <v>6.1132800000000001E-14</v>
      </c>
      <c r="AI273" s="3">
        <v>6.7620399999999997E-14</v>
      </c>
      <c r="AJ273" s="30">
        <v>5.9261400000000005E-14</v>
      </c>
      <c r="AL273" s="6"/>
      <c r="AM273" s="3">
        <v>3.7427900000000002E-16</v>
      </c>
      <c r="AN273" s="3">
        <v>3.7427900000000002E-16</v>
      </c>
      <c r="AO273" s="3">
        <v>6.2379799999999997E-16</v>
      </c>
      <c r="AP273" s="30">
        <v>4.9903799999999998E-16</v>
      </c>
      <c r="AR273" s="6"/>
      <c r="AS273" s="3">
        <v>5.48949E-15</v>
      </c>
      <c r="AT273" s="3">
        <v>6.8618599999999998E-15</v>
      </c>
      <c r="AU273" s="30">
        <v>7.4290200000000002E-12</v>
      </c>
      <c r="AV273" s="3">
        <v>4.8656799999999998E-15</v>
      </c>
    </row>
    <row r="274" spans="3:48" x14ac:dyDescent="0.25">
      <c r="C274" s="31">
        <v>1.27631E-13</v>
      </c>
      <c r="D274" s="5">
        <v>9.76879E-13</v>
      </c>
      <c r="E274" s="3">
        <v>1.0221700000000001E-12</v>
      </c>
      <c r="F274" s="30">
        <v>1.01618E-12</v>
      </c>
      <c r="H274" s="2"/>
      <c r="I274" s="3">
        <v>3.8551100000000001E-14</v>
      </c>
      <c r="J274" s="3">
        <v>3.4434000000000003E-13</v>
      </c>
      <c r="K274" s="3">
        <v>3.61432E-13</v>
      </c>
      <c r="L274" s="30">
        <v>3.4296800000000001E-13</v>
      </c>
      <c r="N274" s="6"/>
      <c r="O274" s="3">
        <v>3.1689300000000002E-14</v>
      </c>
      <c r="P274" s="3">
        <v>3.2101000000000001E-13</v>
      </c>
      <c r="Q274" s="3">
        <v>3.45588E-13</v>
      </c>
      <c r="R274" s="30">
        <v>3.5207600000000001E-13</v>
      </c>
      <c r="T274" s="6"/>
      <c r="U274" s="3">
        <v>3.1190199999999999E-14</v>
      </c>
      <c r="V274" s="3">
        <v>3.2150899999999999E-13</v>
      </c>
      <c r="W274" s="3">
        <v>3.39974E-13</v>
      </c>
      <c r="X274" s="35">
        <v>3.08659E-13</v>
      </c>
      <c r="Z274" s="6"/>
      <c r="AA274" s="3">
        <v>1.5345599999999999E-14</v>
      </c>
      <c r="AB274" s="3">
        <v>2.93064E-13</v>
      </c>
      <c r="AC274" s="3">
        <v>2.9817899999999998E-13</v>
      </c>
      <c r="AD274" s="30">
        <v>2.9069300000000001E-13</v>
      </c>
      <c r="AF274" s="6"/>
      <c r="AG274" s="3">
        <v>1.7466500000000001E-15</v>
      </c>
      <c r="AH274" s="3">
        <v>6.0384200000000005E-14</v>
      </c>
      <c r="AI274" s="3">
        <v>6.6747000000000003E-14</v>
      </c>
      <c r="AJ274" s="30">
        <v>5.8263299999999995E-14</v>
      </c>
      <c r="AL274" s="6"/>
      <c r="AM274" s="3">
        <v>3.7427900000000002E-16</v>
      </c>
      <c r="AN274" s="3">
        <v>3.7427900000000002E-16</v>
      </c>
      <c r="AO274" s="3">
        <v>6.2379799999999997E-16</v>
      </c>
      <c r="AP274" s="30">
        <v>4.9903799999999998E-16</v>
      </c>
      <c r="AR274" s="6"/>
      <c r="AS274" s="3">
        <v>5.48949E-15</v>
      </c>
      <c r="AT274" s="3">
        <v>6.7370999999999998E-15</v>
      </c>
      <c r="AU274" s="30">
        <v>3.9299699999999998E-13</v>
      </c>
      <c r="AV274" s="3">
        <v>4.8656799999999998E-15</v>
      </c>
    </row>
    <row r="275" spans="3:48" x14ac:dyDescent="0.25">
      <c r="C275" s="31">
        <v>1.2476100000000001E-13</v>
      </c>
      <c r="D275" s="5">
        <v>9.6689799999999991E-13</v>
      </c>
      <c r="E275" s="3">
        <v>1.0165499999999999E-12</v>
      </c>
      <c r="F275" s="30">
        <v>1.0139299999999999E-12</v>
      </c>
      <c r="H275" s="2"/>
      <c r="I275" s="3">
        <v>3.8426399999999998E-14</v>
      </c>
      <c r="J275" s="3">
        <v>3.4396600000000001E-13</v>
      </c>
      <c r="K275" s="3">
        <v>3.6031000000000001E-13</v>
      </c>
      <c r="L275" s="30">
        <v>3.4271799999999998E-13</v>
      </c>
      <c r="N275" s="6"/>
      <c r="O275" s="3">
        <v>3.11903E-14</v>
      </c>
      <c r="P275" s="3">
        <v>3.17018E-13</v>
      </c>
      <c r="Q275" s="3">
        <v>3.45588E-13</v>
      </c>
      <c r="R275" s="30">
        <v>3.5145199999999998E-13</v>
      </c>
      <c r="T275" s="6"/>
      <c r="U275" s="3">
        <v>3.1065500000000003E-14</v>
      </c>
      <c r="V275" s="3">
        <v>3.1851499999999998E-13</v>
      </c>
      <c r="W275" s="3">
        <v>3.3835200000000001E-13</v>
      </c>
      <c r="X275" s="35">
        <v>3.0853399999999999E-13</v>
      </c>
      <c r="Z275" s="6"/>
      <c r="AA275" s="3">
        <v>1.5220899999999999E-14</v>
      </c>
      <c r="AB275" s="3">
        <v>2.9181599999999998E-13</v>
      </c>
      <c r="AC275" s="3">
        <v>2.9431199999999998E-13</v>
      </c>
      <c r="AD275" s="30">
        <v>2.8682600000000001E-13</v>
      </c>
      <c r="AF275" s="6"/>
      <c r="AG275" s="3">
        <v>1.7466500000000001E-15</v>
      </c>
      <c r="AH275" s="3">
        <v>5.9011900000000004E-14</v>
      </c>
      <c r="AI275" s="3">
        <v>6.5249900000000005E-14</v>
      </c>
      <c r="AJ275" s="30">
        <v>5.7514699999999999E-14</v>
      </c>
      <c r="AL275" s="6"/>
      <c r="AM275" s="3">
        <v>3.7427900000000002E-16</v>
      </c>
      <c r="AN275" s="3">
        <v>3.7427900000000002E-16</v>
      </c>
      <c r="AO275" s="3">
        <v>6.2379799999999997E-16</v>
      </c>
      <c r="AP275" s="30">
        <v>4.9903799999999998E-16</v>
      </c>
      <c r="AR275" s="6"/>
      <c r="AS275" s="3">
        <v>5.3647200000000001E-15</v>
      </c>
      <c r="AT275" s="3">
        <v>6.7370999999999998E-15</v>
      </c>
      <c r="AU275" s="30">
        <v>2.1409E-13</v>
      </c>
      <c r="AV275" s="3">
        <v>4.8656799999999998E-15</v>
      </c>
    </row>
    <row r="276" spans="3:48" x14ac:dyDescent="0.25">
      <c r="C276" s="31">
        <v>1.24387E-13</v>
      </c>
      <c r="D276" s="5">
        <v>9.6165800000000002E-13</v>
      </c>
      <c r="E276" s="3">
        <v>1.0090700000000001E-12</v>
      </c>
      <c r="F276" s="30">
        <v>1.01281E-12</v>
      </c>
      <c r="H276" s="2"/>
      <c r="I276" s="3">
        <v>3.8426399999999998E-14</v>
      </c>
      <c r="J276" s="3">
        <v>3.2911899999999999E-13</v>
      </c>
      <c r="K276" s="3">
        <v>3.5868800000000002E-13</v>
      </c>
      <c r="L276" s="30">
        <v>3.4047299999999998E-13</v>
      </c>
      <c r="N276" s="6"/>
      <c r="O276" s="3">
        <v>3.0940699999999999E-14</v>
      </c>
      <c r="P276" s="3">
        <v>3.1477200000000002E-13</v>
      </c>
      <c r="Q276" s="3">
        <v>3.4446499999999999E-13</v>
      </c>
      <c r="R276" s="30">
        <v>3.4970500000000002E-13</v>
      </c>
      <c r="T276" s="6"/>
      <c r="U276" s="3">
        <v>3.1065500000000003E-14</v>
      </c>
      <c r="V276" s="3">
        <v>3.1539600000000001E-13</v>
      </c>
      <c r="W276" s="3">
        <v>3.3311200000000002E-13</v>
      </c>
      <c r="X276" s="35">
        <v>3.0653799999999998E-13</v>
      </c>
      <c r="Z276" s="6"/>
      <c r="AA276" s="3">
        <v>1.2476099999999999E-14</v>
      </c>
      <c r="AB276" s="3">
        <v>2.8894699999999998E-13</v>
      </c>
      <c r="AC276" s="3">
        <v>2.90319E-13</v>
      </c>
      <c r="AD276" s="30">
        <v>2.81336E-13</v>
      </c>
      <c r="AF276" s="6"/>
      <c r="AG276" s="3">
        <v>1.62189E-15</v>
      </c>
      <c r="AH276" s="3">
        <v>5.4894800000000001E-14</v>
      </c>
      <c r="AI276" s="3">
        <v>6.4376600000000006E-14</v>
      </c>
      <c r="AJ276" s="30">
        <v>5.6391899999999999E-14</v>
      </c>
      <c r="AL276" s="6"/>
      <c r="AM276" s="3">
        <v>2.4951899999999999E-16</v>
      </c>
      <c r="AN276" s="3">
        <v>3.7427900000000002E-16</v>
      </c>
      <c r="AO276" s="3">
        <v>4.9903799999999998E-16</v>
      </c>
      <c r="AP276" s="30">
        <v>3.7427900000000002E-16</v>
      </c>
      <c r="AR276" s="6"/>
      <c r="AS276" s="3">
        <v>5.3647200000000001E-15</v>
      </c>
      <c r="AT276" s="3">
        <v>6.7370999999999998E-15</v>
      </c>
      <c r="AU276" s="30">
        <v>1.24761E-16</v>
      </c>
      <c r="AV276" s="3">
        <v>4.7409199999999997E-15</v>
      </c>
    </row>
    <row r="277" spans="3:48" x14ac:dyDescent="0.25">
      <c r="C277" s="31">
        <v>1.2401200000000001E-13</v>
      </c>
      <c r="D277" s="5">
        <v>9.6128400000000001E-13</v>
      </c>
      <c r="E277" s="3">
        <v>1.0033299999999999E-12</v>
      </c>
      <c r="F277" s="30">
        <v>1.01206E-12</v>
      </c>
      <c r="H277" s="2"/>
      <c r="I277" s="3">
        <v>3.8301600000000001E-14</v>
      </c>
      <c r="J277" s="3">
        <v>3.27997E-13</v>
      </c>
      <c r="K277" s="3">
        <v>3.58563E-13</v>
      </c>
      <c r="L277" s="30">
        <v>3.3548199999999999E-13</v>
      </c>
      <c r="N277" s="6"/>
      <c r="O277" s="3">
        <v>3.0940699999999999E-14</v>
      </c>
      <c r="P277" s="3">
        <v>3.1439800000000001E-13</v>
      </c>
      <c r="Q277" s="3">
        <v>3.4421599999999998E-13</v>
      </c>
      <c r="R277" s="30">
        <v>3.4758400000000001E-13</v>
      </c>
      <c r="T277" s="6"/>
      <c r="U277" s="3">
        <v>3.0940699999999999E-14</v>
      </c>
      <c r="V277" s="3">
        <v>3.1489699999999999E-13</v>
      </c>
      <c r="W277" s="3">
        <v>3.3111600000000002E-13</v>
      </c>
      <c r="X277" s="35">
        <v>3.0316899999999999E-13</v>
      </c>
      <c r="Z277" s="6"/>
      <c r="AA277" s="3">
        <v>1.2476099999999999E-14</v>
      </c>
      <c r="AB277" s="3">
        <v>2.8483000000000001E-13</v>
      </c>
      <c r="AC277" s="3">
        <v>2.8969500000000001E-13</v>
      </c>
      <c r="AD277" s="30">
        <v>2.7959000000000002E-13</v>
      </c>
      <c r="AF277" s="6"/>
      <c r="AG277" s="3">
        <v>1.62189E-15</v>
      </c>
      <c r="AH277" s="3">
        <v>5.4894800000000001E-14</v>
      </c>
      <c r="AI277" s="3">
        <v>6.26299E-14</v>
      </c>
      <c r="AJ277" s="30">
        <v>5.6017600000000001E-14</v>
      </c>
      <c r="AL277" s="6"/>
      <c r="AM277" s="3">
        <v>2.4951899999999999E-16</v>
      </c>
      <c r="AN277" s="3">
        <v>3.7427900000000002E-16</v>
      </c>
      <c r="AO277" s="3">
        <v>4.9903799999999998E-16</v>
      </c>
      <c r="AP277" s="30">
        <v>3.7427900000000002E-16</v>
      </c>
      <c r="AR277" s="6"/>
      <c r="AS277" s="3">
        <v>5.2399600000000001E-15</v>
      </c>
      <c r="AT277" s="3">
        <v>6.7370999999999998E-15</v>
      </c>
      <c r="AU277" s="30">
        <v>2.4952199999999999E-16</v>
      </c>
      <c r="AV277" s="3">
        <v>4.7409199999999997E-15</v>
      </c>
    </row>
    <row r="278" spans="3:48" x14ac:dyDescent="0.25">
      <c r="C278" s="31">
        <v>1.2326400000000001E-13</v>
      </c>
      <c r="D278" s="5">
        <v>9.5354899999999994E-13</v>
      </c>
      <c r="E278" s="3">
        <v>1.0015800000000001E-12</v>
      </c>
      <c r="F278" s="30">
        <v>1.0084400000000001E-12</v>
      </c>
      <c r="H278" s="2"/>
      <c r="I278" s="3">
        <v>3.80521E-14</v>
      </c>
      <c r="J278" s="3">
        <v>3.2487799999999998E-13</v>
      </c>
      <c r="K278" s="3">
        <v>3.5519400000000001E-13</v>
      </c>
      <c r="L278" s="30">
        <v>3.3548199999999999E-13</v>
      </c>
      <c r="N278" s="6"/>
      <c r="O278" s="3">
        <v>3.0566400000000001E-14</v>
      </c>
      <c r="P278" s="3">
        <v>3.1240200000000001E-13</v>
      </c>
      <c r="Q278" s="3">
        <v>3.4409100000000002E-13</v>
      </c>
      <c r="R278" s="30">
        <v>3.46337E-13</v>
      </c>
      <c r="T278" s="6"/>
      <c r="U278" s="3">
        <v>3.0816000000000002E-14</v>
      </c>
      <c r="V278" s="3">
        <v>3.10655E-13</v>
      </c>
      <c r="W278" s="3">
        <v>3.3074099999999998E-13</v>
      </c>
      <c r="X278" s="35">
        <v>2.9842799999999998E-13</v>
      </c>
      <c r="Z278" s="6"/>
      <c r="AA278" s="3">
        <v>1.2476099999999999E-14</v>
      </c>
      <c r="AB278" s="3">
        <v>2.8358199999999998E-13</v>
      </c>
      <c r="AC278" s="3">
        <v>2.8757399999999999E-13</v>
      </c>
      <c r="AD278" s="30">
        <v>2.7896599999999998E-13</v>
      </c>
      <c r="AF278" s="6"/>
      <c r="AG278" s="3">
        <v>1.62189E-15</v>
      </c>
      <c r="AH278" s="3">
        <v>5.3647200000000003E-14</v>
      </c>
      <c r="AI278" s="3">
        <v>6.17566E-14</v>
      </c>
      <c r="AJ278" s="30">
        <v>5.4645199999999999E-14</v>
      </c>
      <c r="AL278" s="6"/>
      <c r="AM278" s="3">
        <v>2.4951899999999999E-16</v>
      </c>
      <c r="AN278" s="3">
        <v>2.4951899999999999E-16</v>
      </c>
      <c r="AO278" s="3">
        <v>4.9903799999999998E-16</v>
      </c>
      <c r="AP278" s="30">
        <v>3.7427900000000002E-16</v>
      </c>
      <c r="AR278" s="6"/>
      <c r="AS278" s="3">
        <v>5.2399600000000001E-15</v>
      </c>
      <c r="AT278" s="3">
        <v>6.6123299999999999E-15</v>
      </c>
      <c r="AU278" s="30">
        <v>2.1209400000000001E-15</v>
      </c>
      <c r="AV278" s="3">
        <v>4.7409199999999997E-15</v>
      </c>
    </row>
    <row r="279" spans="3:48" x14ac:dyDescent="0.25">
      <c r="C279" s="31">
        <v>1.2288999999999999E-13</v>
      </c>
      <c r="D279" s="5">
        <v>9.5329900000000002E-13</v>
      </c>
      <c r="E279" s="3">
        <v>9.9746399999999996E-13</v>
      </c>
      <c r="F279" s="30">
        <v>1.00245E-12</v>
      </c>
      <c r="H279" s="2"/>
      <c r="I279" s="3">
        <v>3.7552999999999998E-14</v>
      </c>
      <c r="J279" s="3">
        <v>3.2425399999999999E-13</v>
      </c>
      <c r="K279" s="3">
        <v>3.5269899999999998E-13</v>
      </c>
      <c r="L279" s="30">
        <v>3.3473400000000002E-13</v>
      </c>
      <c r="N279" s="6"/>
      <c r="O279" s="3">
        <v>3.0441699999999998E-14</v>
      </c>
      <c r="P279" s="3">
        <v>3.1190299999999998E-13</v>
      </c>
      <c r="Q279" s="3">
        <v>3.4296800000000001E-13</v>
      </c>
      <c r="R279" s="30">
        <v>3.4508899999999997E-13</v>
      </c>
      <c r="T279" s="6"/>
      <c r="U279" s="3">
        <v>3.0816000000000002E-14</v>
      </c>
      <c r="V279" s="3">
        <v>3.0978200000000001E-13</v>
      </c>
      <c r="W279" s="3">
        <v>3.2412899999999998E-13</v>
      </c>
      <c r="X279" s="35">
        <v>2.9730500000000001E-13</v>
      </c>
      <c r="Z279" s="6"/>
      <c r="AA279" s="3">
        <v>1.2476099999999999E-14</v>
      </c>
      <c r="AB279" s="3">
        <v>2.8283299999999998E-13</v>
      </c>
      <c r="AC279" s="3">
        <v>2.83956E-13</v>
      </c>
      <c r="AD279" s="30">
        <v>2.7884100000000002E-13</v>
      </c>
      <c r="AF279" s="6"/>
      <c r="AG279" s="3">
        <v>1.62189E-15</v>
      </c>
      <c r="AH279" s="3">
        <v>4.8906199999999999E-14</v>
      </c>
      <c r="AI279" s="3">
        <v>6.17566E-14</v>
      </c>
      <c r="AJ279" s="30">
        <v>5.3647200000000003E-14</v>
      </c>
      <c r="AL279" s="6"/>
      <c r="AM279" s="3">
        <v>2.4951899999999999E-16</v>
      </c>
      <c r="AN279" s="3">
        <v>2.4951899999999999E-16</v>
      </c>
      <c r="AO279" s="3">
        <v>4.9903799999999998E-16</v>
      </c>
      <c r="AP279" s="30">
        <v>3.7427900000000002E-16</v>
      </c>
      <c r="AR279" s="6"/>
      <c r="AS279" s="3">
        <v>5.1152E-15</v>
      </c>
      <c r="AT279" s="3">
        <v>6.6123299999999999E-15</v>
      </c>
      <c r="AU279" s="30">
        <v>6.2380499999999999E-16</v>
      </c>
      <c r="AV279" s="3">
        <v>4.6161599999999997E-15</v>
      </c>
    </row>
    <row r="280" spans="3:48" x14ac:dyDescent="0.25">
      <c r="C280" s="31">
        <v>1.2288999999999999E-13</v>
      </c>
      <c r="D280" s="5">
        <v>9.5255099999999999E-13</v>
      </c>
      <c r="E280" s="3">
        <v>9.9259900000000006E-13</v>
      </c>
      <c r="F280" s="30">
        <v>9.9970999999999999E-13</v>
      </c>
      <c r="H280" s="2"/>
      <c r="I280" s="3">
        <v>3.7303499999999997E-14</v>
      </c>
      <c r="J280" s="3">
        <v>3.1863900000000002E-13</v>
      </c>
      <c r="K280" s="3">
        <v>3.5057800000000001E-13</v>
      </c>
      <c r="L280" s="30">
        <v>3.3148999999999998E-13</v>
      </c>
      <c r="N280" s="6"/>
      <c r="O280" s="3">
        <v>3.0067399999999999E-14</v>
      </c>
      <c r="P280" s="3">
        <v>3.0953199999999999E-13</v>
      </c>
      <c r="Q280" s="3">
        <v>3.4171999999999998E-13</v>
      </c>
      <c r="R280" s="30">
        <v>3.4371700000000001E-13</v>
      </c>
      <c r="T280" s="6"/>
      <c r="U280" s="3">
        <v>3.0816000000000002E-14</v>
      </c>
      <c r="V280" s="3">
        <v>3.09657E-13</v>
      </c>
      <c r="W280" s="3">
        <v>3.2412899999999998E-13</v>
      </c>
      <c r="X280" s="35">
        <v>2.91317E-13</v>
      </c>
      <c r="Z280" s="6"/>
      <c r="AA280" s="3">
        <v>1.22266E-14</v>
      </c>
      <c r="AB280" s="3">
        <v>2.8270899999999999E-13</v>
      </c>
      <c r="AC280" s="3">
        <v>2.8283299999999998E-13</v>
      </c>
      <c r="AD280" s="30">
        <v>2.7734399999999999E-13</v>
      </c>
      <c r="AF280" s="6"/>
      <c r="AG280" s="3">
        <v>1.62189E-15</v>
      </c>
      <c r="AH280" s="3">
        <v>4.8282400000000001E-14</v>
      </c>
      <c r="AI280" s="3">
        <v>6.0758500000000003E-14</v>
      </c>
      <c r="AJ280" s="30">
        <v>5.3522399999999999E-14</v>
      </c>
      <c r="AL280" s="6"/>
      <c r="AM280" s="3">
        <v>2.4951899999999999E-16</v>
      </c>
      <c r="AN280" s="3">
        <v>2.4951899999999999E-16</v>
      </c>
      <c r="AO280" s="3">
        <v>4.9903799999999998E-16</v>
      </c>
      <c r="AP280" s="30">
        <v>3.7427900000000002E-16</v>
      </c>
      <c r="AR280" s="6"/>
      <c r="AS280" s="3">
        <v>5.1152E-15</v>
      </c>
      <c r="AT280" s="3">
        <v>6.6123299999999999E-15</v>
      </c>
      <c r="AU280" s="30">
        <v>1.24761E-15</v>
      </c>
      <c r="AV280" s="3">
        <v>4.6161599999999997E-15</v>
      </c>
    </row>
    <row r="281" spans="3:48" x14ac:dyDescent="0.25">
      <c r="C281" s="31">
        <v>1.2226600000000001E-13</v>
      </c>
      <c r="D281" s="5">
        <v>9.5043000000000002E-13</v>
      </c>
      <c r="E281" s="3">
        <v>9.7912500000000003E-13</v>
      </c>
      <c r="F281" s="30">
        <v>9.9734000000000007E-13</v>
      </c>
      <c r="H281" s="2"/>
      <c r="I281" s="3">
        <v>3.7178800000000001E-14</v>
      </c>
      <c r="J281" s="3">
        <v>3.1851499999999998E-13</v>
      </c>
      <c r="K281" s="3">
        <v>3.4883199999999998E-13</v>
      </c>
      <c r="L281" s="30">
        <v>3.3074099999999998E-13</v>
      </c>
      <c r="N281" s="6"/>
      <c r="O281" s="3">
        <v>2.9443600000000001E-14</v>
      </c>
      <c r="P281" s="3">
        <v>3.0953199999999999E-13</v>
      </c>
      <c r="Q281" s="3">
        <v>3.3885099999999999E-13</v>
      </c>
      <c r="R281" s="30">
        <v>3.4259399999999999E-13</v>
      </c>
      <c r="T281" s="6"/>
      <c r="U281" s="3">
        <v>3.0691199999999998E-14</v>
      </c>
      <c r="V281" s="3">
        <v>3.0728600000000001E-13</v>
      </c>
      <c r="W281" s="3">
        <v>3.2363000000000001E-13</v>
      </c>
      <c r="X281" s="35">
        <v>2.9119199999999999E-13</v>
      </c>
      <c r="Z281" s="6"/>
      <c r="AA281" s="3">
        <v>1.16028E-14</v>
      </c>
      <c r="AB281" s="3">
        <v>2.7959000000000002E-13</v>
      </c>
      <c r="AC281" s="3">
        <v>2.7609600000000002E-13</v>
      </c>
      <c r="AD281" s="30">
        <v>2.7422499999999998E-13</v>
      </c>
      <c r="AF281" s="6"/>
      <c r="AG281" s="3">
        <v>1.4971299999999999E-15</v>
      </c>
      <c r="AH281" s="3">
        <v>4.7409100000000001E-14</v>
      </c>
      <c r="AI281" s="3">
        <v>6.06338E-14</v>
      </c>
      <c r="AJ281" s="30">
        <v>5.2399499999999998E-14</v>
      </c>
      <c r="AL281" s="6"/>
      <c r="AM281" s="3">
        <v>2.4951899999999999E-16</v>
      </c>
      <c r="AN281" s="3">
        <v>2.4951899999999999E-16</v>
      </c>
      <c r="AO281" s="3">
        <v>4.9903799999999998E-16</v>
      </c>
      <c r="AP281" s="30">
        <v>3.7427900000000002E-16</v>
      </c>
      <c r="AR281" s="6"/>
      <c r="AS281" s="3">
        <v>5.1152E-15</v>
      </c>
      <c r="AT281" s="3">
        <v>6.4875699999999998E-15</v>
      </c>
      <c r="AU281" s="30">
        <v>2.4952199999999999E-16</v>
      </c>
      <c r="AV281" s="3">
        <v>4.4914000000000004E-15</v>
      </c>
    </row>
    <row r="282" spans="3:48" x14ac:dyDescent="0.25">
      <c r="C282" s="31">
        <v>1.2201600000000001E-13</v>
      </c>
      <c r="D282" s="5">
        <v>9.4518999999999993E-13</v>
      </c>
      <c r="E282" s="3">
        <v>9.7899999999999997E-13</v>
      </c>
      <c r="F282" s="30">
        <v>9.9671599999999993E-13</v>
      </c>
      <c r="H282" s="2"/>
      <c r="I282" s="3">
        <v>3.7054000000000003E-14</v>
      </c>
      <c r="J282" s="3">
        <v>3.1552E-13</v>
      </c>
      <c r="K282" s="3">
        <v>3.4633599999999998E-13</v>
      </c>
      <c r="L282" s="30">
        <v>3.2625E-13</v>
      </c>
      <c r="N282" s="6"/>
      <c r="O282" s="3">
        <v>2.9443600000000001E-14</v>
      </c>
      <c r="P282" s="3">
        <v>3.0716200000000002E-13</v>
      </c>
      <c r="Q282" s="3">
        <v>3.3810199999999999E-13</v>
      </c>
      <c r="R282" s="30">
        <v>3.4171999999999998E-13</v>
      </c>
      <c r="T282" s="6"/>
      <c r="U282" s="3">
        <v>3.0566400000000001E-14</v>
      </c>
      <c r="V282" s="3">
        <v>3.0242100000000001E-13</v>
      </c>
      <c r="W282" s="3">
        <v>3.2138399999999998E-13</v>
      </c>
      <c r="X282" s="35">
        <v>2.8744899999999998E-13</v>
      </c>
      <c r="Z282" s="6"/>
      <c r="AA282" s="3">
        <v>1.1478000000000001E-14</v>
      </c>
      <c r="AB282" s="3">
        <v>2.7884100000000002E-13</v>
      </c>
      <c r="AC282" s="3">
        <v>2.7497399999999998E-13</v>
      </c>
      <c r="AD282" s="30">
        <v>2.7060699999999998E-13</v>
      </c>
      <c r="AF282" s="6"/>
      <c r="AG282" s="3">
        <v>1.4971299999999999E-15</v>
      </c>
      <c r="AH282" s="3">
        <v>4.5412900000000001E-14</v>
      </c>
      <c r="AI282" s="3">
        <v>6.06338E-14</v>
      </c>
      <c r="AJ282" s="30">
        <v>5.1526199999999999E-14</v>
      </c>
      <c r="AL282" s="6"/>
      <c r="AM282" s="3">
        <v>2.4951899999999999E-16</v>
      </c>
      <c r="AN282" s="3">
        <v>2.4951899999999999E-16</v>
      </c>
      <c r="AO282" s="3">
        <v>4.9903799999999998E-16</v>
      </c>
      <c r="AP282" s="30">
        <v>3.7427900000000002E-16</v>
      </c>
      <c r="AR282" s="6"/>
      <c r="AS282" s="3">
        <v>4.9904399999999999E-15</v>
      </c>
      <c r="AT282" s="3">
        <v>6.3628099999999997E-15</v>
      </c>
      <c r="AU282" s="30">
        <v>6.2380499999999999E-16</v>
      </c>
      <c r="AV282" s="3">
        <v>4.4914000000000004E-15</v>
      </c>
    </row>
    <row r="283" spans="3:48" x14ac:dyDescent="0.25">
      <c r="C283" s="31">
        <v>1.2201600000000001E-13</v>
      </c>
      <c r="D283" s="5">
        <v>9.3633200000000005E-13</v>
      </c>
      <c r="E283" s="3">
        <v>9.7825099999999997E-13</v>
      </c>
      <c r="F283" s="30">
        <v>9.9222500000000005E-13</v>
      </c>
      <c r="H283" s="2"/>
      <c r="I283" s="3">
        <v>3.6430199999999998E-14</v>
      </c>
      <c r="J283" s="3">
        <v>3.1539600000000001E-13</v>
      </c>
      <c r="K283" s="3">
        <v>3.4633599999999998E-13</v>
      </c>
      <c r="L283" s="30">
        <v>3.0953199999999999E-13</v>
      </c>
      <c r="N283" s="6"/>
      <c r="O283" s="3">
        <v>2.9318800000000003E-14</v>
      </c>
      <c r="P283" s="3">
        <v>3.04292E-13</v>
      </c>
      <c r="Q283" s="3">
        <v>3.32613E-13</v>
      </c>
      <c r="R283" s="30">
        <v>3.37978E-13</v>
      </c>
      <c r="T283" s="6"/>
      <c r="U283" s="3">
        <v>3.0192199999999997E-14</v>
      </c>
      <c r="V283" s="3">
        <v>3.0104800000000002E-13</v>
      </c>
      <c r="W283" s="3">
        <v>3.1951299999999998E-13</v>
      </c>
      <c r="X283" s="35">
        <v>2.86701E-13</v>
      </c>
      <c r="Z283" s="6"/>
      <c r="AA283" s="3">
        <v>1.1353299999999999E-14</v>
      </c>
      <c r="AB283" s="3">
        <v>2.78342E-13</v>
      </c>
      <c r="AC283" s="3">
        <v>2.7484900000000001E-13</v>
      </c>
      <c r="AD283" s="30">
        <v>2.6898499999999999E-13</v>
      </c>
      <c r="AF283" s="6"/>
      <c r="AG283" s="3">
        <v>1.3723700000000001E-15</v>
      </c>
      <c r="AH283" s="3">
        <v>4.49139E-14</v>
      </c>
      <c r="AI283" s="3">
        <v>5.8762400000000004E-14</v>
      </c>
      <c r="AJ283" s="30">
        <v>5.1276699999999998E-14</v>
      </c>
      <c r="AL283" s="6"/>
      <c r="AM283" s="3">
        <v>2.4951899999999999E-16</v>
      </c>
      <c r="AN283" s="3">
        <v>2.4951899999999999E-16</v>
      </c>
      <c r="AO283" s="3">
        <v>4.9903799999999998E-16</v>
      </c>
      <c r="AP283" s="30">
        <v>3.7427900000000002E-16</v>
      </c>
      <c r="AR283" s="6"/>
      <c r="AS283" s="3">
        <v>4.9904399999999999E-15</v>
      </c>
      <c r="AT283" s="3">
        <v>6.1132900000000004E-15</v>
      </c>
      <c r="AU283" s="30">
        <v>2.4952199999999999E-16</v>
      </c>
      <c r="AV283" s="3">
        <v>4.4914000000000004E-15</v>
      </c>
    </row>
    <row r="284" spans="3:48" x14ac:dyDescent="0.25">
      <c r="C284" s="31">
        <v>1.2151700000000001E-13</v>
      </c>
      <c r="D284" s="5">
        <v>9.3508399999999998E-13</v>
      </c>
      <c r="E284" s="3">
        <v>9.7800200000000002E-13</v>
      </c>
      <c r="F284" s="30">
        <v>9.9209999999999998E-13</v>
      </c>
      <c r="H284" s="2"/>
      <c r="I284" s="3">
        <v>3.6430199999999998E-14</v>
      </c>
      <c r="J284" s="3">
        <v>3.1489699999999999E-13</v>
      </c>
      <c r="K284" s="3">
        <v>3.4346699999999998E-13</v>
      </c>
      <c r="L284" s="30">
        <v>3.0915800000000002E-13</v>
      </c>
      <c r="N284" s="6"/>
      <c r="O284" s="3">
        <v>2.91941E-14</v>
      </c>
      <c r="P284" s="3">
        <v>3.0391799999999999E-13</v>
      </c>
      <c r="Q284" s="3">
        <v>3.3198900000000001E-13</v>
      </c>
      <c r="R284" s="30">
        <v>3.37978E-13</v>
      </c>
      <c r="T284" s="6"/>
      <c r="U284" s="3">
        <v>2.9942600000000002E-14</v>
      </c>
      <c r="V284" s="3">
        <v>2.9955099999999999E-13</v>
      </c>
      <c r="W284" s="3">
        <v>3.1614399999999999E-13</v>
      </c>
      <c r="X284" s="35">
        <v>2.8183499999999998E-13</v>
      </c>
      <c r="Z284" s="6"/>
      <c r="AA284" s="3">
        <v>1.12285E-14</v>
      </c>
      <c r="AB284" s="3">
        <v>2.7809299999999999E-13</v>
      </c>
      <c r="AC284" s="3">
        <v>2.72728E-13</v>
      </c>
      <c r="AD284" s="30">
        <v>2.6798699999999999E-13</v>
      </c>
      <c r="AF284" s="6"/>
      <c r="AG284" s="3">
        <v>1.3723700000000001E-15</v>
      </c>
      <c r="AH284" s="3">
        <v>4.4414899999999998E-14</v>
      </c>
      <c r="AI284" s="3">
        <v>5.8637600000000006E-14</v>
      </c>
      <c r="AJ284" s="30">
        <v>5.00291E-14</v>
      </c>
      <c r="AL284" s="6"/>
      <c r="AM284" s="3">
        <v>2.4951899999999999E-16</v>
      </c>
      <c r="AN284" s="3">
        <v>2.4951899999999999E-16</v>
      </c>
      <c r="AO284" s="3">
        <v>4.9903799999999998E-16</v>
      </c>
      <c r="AP284" s="30">
        <v>3.7427900000000002E-16</v>
      </c>
      <c r="AR284" s="6"/>
      <c r="AS284" s="3">
        <v>4.9904399999999999E-15</v>
      </c>
      <c r="AT284" s="3">
        <v>6.1132900000000004E-15</v>
      </c>
      <c r="AU284" s="30">
        <v>3.7428299999999999E-16</v>
      </c>
      <c r="AV284" s="3">
        <v>4.4914000000000004E-15</v>
      </c>
    </row>
    <row r="285" spans="3:48" x14ac:dyDescent="0.25">
      <c r="C285" s="31">
        <v>1.21018E-13</v>
      </c>
      <c r="D285" s="5">
        <v>9.345849999999999E-13</v>
      </c>
      <c r="E285" s="3">
        <v>9.5591900000000006E-13</v>
      </c>
      <c r="F285" s="30">
        <v>9.8972900000000009E-13</v>
      </c>
      <c r="H285" s="2"/>
      <c r="I285" s="3">
        <v>3.5931200000000003E-14</v>
      </c>
      <c r="J285" s="3">
        <v>3.1215199999999998E-13</v>
      </c>
      <c r="K285" s="3">
        <v>3.3860100000000001E-13</v>
      </c>
      <c r="L285" s="30">
        <v>3.0067400000000001E-13</v>
      </c>
      <c r="N285" s="6"/>
      <c r="O285" s="3">
        <v>2.8944599999999999E-14</v>
      </c>
      <c r="P285" s="3">
        <v>3.0117299999999998E-13</v>
      </c>
      <c r="Q285" s="3">
        <v>3.2949399999999998E-13</v>
      </c>
      <c r="R285" s="30">
        <v>3.3785299999999998E-13</v>
      </c>
      <c r="T285" s="6"/>
      <c r="U285" s="3">
        <v>2.9942600000000002E-14</v>
      </c>
      <c r="V285" s="3">
        <v>2.9543400000000002E-13</v>
      </c>
      <c r="W285" s="3">
        <v>3.1340000000000001E-13</v>
      </c>
      <c r="X285" s="35">
        <v>2.81336E-13</v>
      </c>
      <c r="Z285" s="6"/>
      <c r="AA285" s="3">
        <v>1.0479900000000001E-14</v>
      </c>
      <c r="AB285" s="3">
        <v>2.7609600000000002E-13</v>
      </c>
      <c r="AC285" s="3">
        <v>2.6985799999999998E-13</v>
      </c>
      <c r="AD285" s="30">
        <v>2.6649000000000001E-13</v>
      </c>
      <c r="AF285" s="6"/>
      <c r="AG285" s="3">
        <v>1.3723700000000001E-15</v>
      </c>
      <c r="AH285" s="3">
        <v>4.4165299999999997E-14</v>
      </c>
      <c r="AI285" s="3">
        <v>5.37719E-14</v>
      </c>
      <c r="AJ285" s="30">
        <v>4.7034800000000003E-14</v>
      </c>
      <c r="AL285" s="6"/>
      <c r="AM285" s="3">
        <v>2.4951899999999999E-16</v>
      </c>
      <c r="AN285" s="3">
        <v>2.4951899999999999E-16</v>
      </c>
      <c r="AO285" s="3">
        <v>4.9903799999999998E-16</v>
      </c>
      <c r="AP285" s="30">
        <v>3.7427900000000002E-16</v>
      </c>
      <c r="AR285" s="6"/>
      <c r="AS285" s="3">
        <v>4.9904399999999999E-15</v>
      </c>
      <c r="AT285" s="3">
        <v>5.8637700000000002E-15</v>
      </c>
      <c r="AU285" s="30">
        <v>8.7332699999999998E-16</v>
      </c>
      <c r="AV285" s="3">
        <v>4.3666400000000003E-15</v>
      </c>
    </row>
    <row r="286" spans="3:48" x14ac:dyDescent="0.25">
      <c r="C286" s="31">
        <v>1.20769E-13</v>
      </c>
      <c r="D286" s="5">
        <v>9.309669999999999E-13</v>
      </c>
      <c r="E286" s="3">
        <v>9.4531400000000002E-13</v>
      </c>
      <c r="F286" s="30">
        <v>9.7725300000000002E-13</v>
      </c>
      <c r="H286" s="2"/>
      <c r="I286" s="3">
        <v>3.5806399999999999E-14</v>
      </c>
      <c r="J286" s="3">
        <v>3.1040499999999998E-13</v>
      </c>
      <c r="K286" s="3">
        <v>3.3510799999999998E-13</v>
      </c>
      <c r="L286" s="30">
        <v>2.9842799999999998E-13</v>
      </c>
      <c r="N286" s="6"/>
      <c r="O286" s="3">
        <v>2.8694999999999998E-14</v>
      </c>
      <c r="P286" s="3">
        <v>2.9942599999999998E-13</v>
      </c>
      <c r="Q286" s="3">
        <v>3.2512699999999998E-13</v>
      </c>
      <c r="R286" s="30">
        <v>3.3198900000000001E-13</v>
      </c>
      <c r="T286" s="6"/>
      <c r="U286" s="3">
        <v>2.9942600000000002E-14</v>
      </c>
      <c r="V286" s="3">
        <v>2.9530900000000001E-13</v>
      </c>
      <c r="W286" s="3">
        <v>3.1240200000000001E-13</v>
      </c>
      <c r="X286" s="35">
        <v>2.7896599999999998E-13</v>
      </c>
      <c r="Z286" s="6"/>
      <c r="AA286" s="3">
        <v>9.9808899999999996E-15</v>
      </c>
      <c r="AB286" s="3">
        <v>2.75722E-13</v>
      </c>
      <c r="AC286" s="3">
        <v>2.67363E-13</v>
      </c>
      <c r="AD286" s="30">
        <v>2.6611500000000002E-13</v>
      </c>
      <c r="AF286" s="6"/>
      <c r="AG286" s="3">
        <v>1.3723700000000001E-15</v>
      </c>
      <c r="AH286" s="3">
        <v>3.9549199999999998E-14</v>
      </c>
      <c r="AI286" s="3">
        <v>4.9904300000000003E-14</v>
      </c>
      <c r="AJ286" s="30">
        <v>4.5412900000000001E-14</v>
      </c>
      <c r="AL286" s="6"/>
      <c r="AM286" s="3">
        <v>2.4951899999999999E-16</v>
      </c>
      <c r="AN286" s="3">
        <v>2.4951899999999999E-16</v>
      </c>
      <c r="AO286" s="3">
        <v>4.9903799999999998E-16</v>
      </c>
      <c r="AP286" s="30">
        <v>3.7427900000000002E-16</v>
      </c>
      <c r="AR286" s="6"/>
      <c r="AS286" s="3">
        <v>4.9904399999999999E-15</v>
      </c>
      <c r="AT286" s="3">
        <v>5.8637700000000002E-15</v>
      </c>
      <c r="AU286" s="30">
        <v>2.4952199999999999E-16</v>
      </c>
      <c r="AV286" s="3">
        <v>4.3666400000000003E-15</v>
      </c>
    </row>
    <row r="287" spans="3:48" x14ac:dyDescent="0.25">
      <c r="C287" s="31">
        <v>1.1939599999999999E-13</v>
      </c>
      <c r="D287" s="5">
        <v>9.2971900000000003E-13</v>
      </c>
      <c r="E287" s="3">
        <v>9.4319300000000006E-13</v>
      </c>
      <c r="F287" s="30">
        <v>9.6789600000000006E-13</v>
      </c>
      <c r="H287" s="2"/>
      <c r="I287" s="3">
        <v>3.5432100000000001E-14</v>
      </c>
      <c r="J287" s="3">
        <v>3.0803500000000001E-13</v>
      </c>
      <c r="K287" s="3">
        <v>3.3211400000000002E-13</v>
      </c>
      <c r="L287" s="30">
        <v>2.9742999999999998E-13</v>
      </c>
      <c r="N287" s="6"/>
      <c r="O287" s="3">
        <v>2.8320800000000001E-14</v>
      </c>
      <c r="P287" s="3">
        <v>2.98927E-13</v>
      </c>
      <c r="Q287" s="3">
        <v>3.2412899999999998E-13</v>
      </c>
      <c r="R287" s="30">
        <v>3.3061699999999999E-13</v>
      </c>
      <c r="T287" s="6"/>
      <c r="U287" s="3">
        <v>2.9942600000000002E-14</v>
      </c>
      <c r="V287" s="3">
        <v>2.9206499999999998E-13</v>
      </c>
      <c r="W287" s="3">
        <v>3.0267000000000001E-13</v>
      </c>
      <c r="X287" s="35">
        <v>2.7896599999999998E-13</v>
      </c>
      <c r="Z287" s="6"/>
      <c r="AA287" s="3">
        <v>9.8561299999999995E-15</v>
      </c>
      <c r="AB287" s="3">
        <v>2.7335199999999998E-13</v>
      </c>
      <c r="AC287" s="3">
        <v>2.65616E-13</v>
      </c>
      <c r="AD287" s="30">
        <v>2.6536699999999999E-13</v>
      </c>
      <c r="AF287" s="6"/>
      <c r="AG287" s="3">
        <v>1.24761E-15</v>
      </c>
      <c r="AH287" s="3">
        <v>3.8176800000000003E-14</v>
      </c>
      <c r="AI287" s="3">
        <v>4.9654800000000002E-14</v>
      </c>
      <c r="AJ287" s="30">
        <v>4.5038699999999997E-14</v>
      </c>
      <c r="AL287" s="6"/>
      <c r="AM287" s="3">
        <v>2.4951899999999999E-16</v>
      </c>
      <c r="AN287" s="3">
        <v>2.4951899999999999E-16</v>
      </c>
      <c r="AO287" s="3">
        <v>4.9903799999999998E-16</v>
      </c>
      <c r="AP287" s="30">
        <v>3.7427900000000002E-16</v>
      </c>
      <c r="AR287" s="6"/>
      <c r="AS287" s="3">
        <v>4.9904399999999999E-15</v>
      </c>
      <c r="AT287" s="3">
        <v>5.7390100000000001E-15</v>
      </c>
      <c r="AU287" s="30">
        <v>2.2457000000000002E-15</v>
      </c>
      <c r="AV287" s="3">
        <v>4.3666400000000003E-15</v>
      </c>
    </row>
    <row r="288" spans="3:48" x14ac:dyDescent="0.25">
      <c r="C288" s="31">
        <v>1.1839800000000001E-13</v>
      </c>
      <c r="D288" s="5">
        <v>9.2734899999999991E-13</v>
      </c>
      <c r="E288" s="3">
        <v>9.3321299999999993E-13</v>
      </c>
      <c r="F288" s="30">
        <v>9.6739699999999998E-13</v>
      </c>
      <c r="H288" s="2"/>
      <c r="I288" s="3">
        <v>3.5057800000000003E-14</v>
      </c>
      <c r="J288" s="3">
        <v>3.0741100000000002E-13</v>
      </c>
      <c r="K288" s="3">
        <v>3.2961800000000002E-13</v>
      </c>
      <c r="L288" s="30">
        <v>2.9456099999999998E-13</v>
      </c>
      <c r="N288" s="6"/>
      <c r="O288" s="3">
        <v>2.8196E-14</v>
      </c>
      <c r="P288" s="3">
        <v>2.9880300000000001E-13</v>
      </c>
      <c r="Q288" s="3">
        <v>3.2313099999999998E-13</v>
      </c>
      <c r="R288" s="30">
        <v>3.2949399999999998E-13</v>
      </c>
      <c r="T288" s="6"/>
      <c r="U288" s="3">
        <v>2.9942600000000002E-14</v>
      </c>
      <c r="V288" s="3">
        <v>2.8695E-13</v>
      </c>
      <c r="W288" s="3">
        <v>3.02545E-13</v>
      </c>
      <c r="X288" s="35">
        <v>2.7809200000000002E-13</v>
      </c>
      <c r="Z288" s="6"/>
      <c r="AA288" s="3">
        <v>9.7313699999999994E-15</v>
      </c>
      <c r="AB288" s="3">
        <v>2.7123100000000002E-13</v>
      </c>
      <c r="AC288" s="3">
        <v>2.6499299999999998E-13</v>
      </c>
      <c r="AD288" s="30">
        <v>2.6149900000000003E-13</v>
      </c>
      <c r="AF288" s="6"/>
      <c r="AG288" s="3">
        <v>1.24761E-15</v>
      </c>
      <c r="AH288" s="3">
        <v>3.7802499999999998E-14</v>
      </c>
      <c r="AI288" s="3">
        <v>4.6161499999999997E-14</v>
      </c>
      <c r="AJ288" s="30">
        <v>4.1670100000000002E-14</v>
      </c>
      <c r="AL288" s="6"/>
      <c r="AM288" s="3">
        <v>2.4951899999999999E-16</v>
      </c>
      <c r="AN288" s="3">
        <v>2.4951899999999999E-16</v>
      </c>
      <c r="AO288" s="3">
        <v>4.9903799999999998E-16</v>
      </c>
      <c r="AP288" s="30">
        <v>2.4951899999999999E-16</v>
      </c>
      <c r="AR288" s="6"/>
      <c r="AS288" s="3">
        <v>4.8656799999999998E-15</v>
      </c>
      <c r="AT288" s="3">
        <v>5.48949E-15</v>
      </c>
      <c r="AU288" s="30">
        <v>1.4971299999999999E-15</v>
      </c>
      <c r="AV288" s="3">
        <v>4.3666400000000003E-15</v>
      </c>
    </row>
    <row r="289" spans="3:48" x14ac:dyDescent="0.25">
      <c r="C289" s="31">
        <v>1.1839800000000001E-13</v>
      </c>
      <c r="D289" s="5">
        <v>9.2335599999999993E-13</v>
      </c>
      <c r="E289" s="3">
        <v>9.3271400000000006E-13</v>
      </c>
      <c r="F289" s="30">
        <v>9.6627399999999997E-13</v>
      </c>
      <c r="H289" s="2"/>
      <c r="I289" s="3">
        <v>3.49331E-14</v>
      </c>
      <c r="J289" s="3">
        <v>3.0703700000000001E-13</v>
      </c>
      <c r="K289" s="3">
        <v>3.2774699999999998E-13</v>
      </c>
      <c r="L289" s="30">
        <v>2.9393699999999999E-13</v>
      </c>
      <c r="N289" s="6"/>
      <c r="O289" s="3">
        <v>2.7946499999999999E-14</v>
      </c>
      <c r="P289" s="3">
        <v>2.9842799999999998E-13</v>
      </c>
      <c r="Q289" s="3">
        <v>3.2250699999999999E-13</v>
      </c>
      <c r="R289" s="30">
        <v>3.2587599999999998E-13</v>
      </c>
      <c r="T289" s="6"/>
      <c r="U289" s="3">
        <v>2.9693100000000001E-14</v>
      </c>
      <c r="V289" s="3">
        <v>2.8532800000000001E-13</v>
      </c>
      <c r="W289" s="3">
        <v>2.9393699999999999E-13</v>
      </c>
      <c r="X289" s="35">
        <v>2.7547199999999998E-13</v>
      </c>
      <c r="Z289" s="6"/>
      <c r="AA289" s="3">
        <v>9.7313699999999994E-15</v>
      </c>
      <c r="AB289" s="3">
        <v>2.7110600000000001E-13</v>
      </c>
      <c r="AC289" s="3">
        <v>2.6411900000000002E-13</v>
      </c>
      <c r="AD289" s="30">
        <v>2.5576000000000001E-13</v>
      </c>
      <c r="AF289" s="6"/>
      <c r="AG289" s="3">
        <v>1.24761E-15</v>
      </c>
      <c r="AH289" s="3">
        <v>3.31864E-14</v>
      </c>
      <c r="AI289" s="3">
        <v>4.4165299999999997E-14</v>
      </c>
      <c r="AJ289" s="30">
        <v>3.9923500000000003E-14</v>
      </c>
      <c r="AL289" s="6"/>
      <c r="AM289" s="3">
        <v>2.4951899999999999E-16</v>
      </c>
      <c r="AN289" s="3">
        <v>1.2476E-16</v>
      </c>
      <c r="AO289" s="3">
        <v>4.9903799999999998E-16</v>
      </c>
      <c r="AP289" s="30">
        <v>2.4951899999999999E-16</v>
      </c>
      <c r="AR289" s="6"/>
      <c r="AS289" s="3">
        <v>4.8656799999999998E-15</v>
      </c>
      <c r="AT289" s="3">
        <v>5.3647200000000001E-15</v>
      </c>
      <c r="AU289" s="30">
        <v>3.12526E-13</v>
      </c>
      <c r="AV289" s="3">
        <v>4.1171100000000004E-15</v>
      </c>
    </row>
    <row r="290" spans="3:48" x14ac:dyDescent="0.25">
      <c r="C290" s="31">
        <v>1.18273E-13</v>
      </c>
      <c r="D290" s="5">
        <v>9.1849100000000003E-13</v>
      </c>
      <c r="E290" s="3">
        <v>9.2635099999999996E-13</v>
      </c>
      <c r="F290" s="30">
        <v>9.6390400000000005E-13</v>
      </c>
      <c r="H290" s="2"/>
      <c r="I290" s="3">
        <v>3.4683499999999998E-14</v>
      </c>
      <c r="J290" s="3">
        <v>3.03543E-13</v>
      </c>
      <c r="K290" s="3">
        <v>3.2412899999999998E-13</v>
      </c>
      <c r="L290" s="30">
        <v>2.9343800000000002E-13</v>
      </c>
      <c r="N290" s="6"/>
      <c r="O290" s="3">
        <v>2.71979E-14</v>
      </c>
      <c r="P290" s="3">
        <v>2.91566E-13</v>
      </c>
      <c r="Q290" s="3">
        <v>3.2013700000000002E-13</v>
      </c>
      <c r="R290" s="30">
        <v>3.22632E-13</v>
      </c>
      <c r="T290" s="6"/>
      <c r="U290" s="3">
        <v>2.9568399999999998E-14</v>
      </c>
      <c r="V290" s="3">
        <v>2.8445500000000002E-13</v>
      </c>
      <c r="W290" s="3">
        <v>2.9381199999999998E-13</v>
      </c>
      <c r="X290" s="35">
        <v>2.7335100000000001E-13</v>
      </c>
      <c r="Z290" s="6"/>
      <c r="AA290" s="3">
        <v>9.4818499999999993E-15</v>
      </c>
      <c r="AB290" s="3">
        <v>2.6761300000000002E-13</v>
      </c>
      <c r="AC290" s="3">
        <v>2.6212300000000001E-13</v>
      </c>
      <c r="AD290" s="30">
        <v>2.5526099999999999E-13</v>
      </c>
      <c r="AF290" s="6"/>
      <c r="AG290" s="3">
        <v>9.9808699999999996E-16</v>
      </c>
      <c r="AH290" s="3">
        <v>3.23131E-14</v>
      </c>
      <c r="AI290" s="3">
        <v>4.37911E-14</v>
      </c>
      <c r="AJ290" s="30">
        <v>3.8426299999999997E-14</v>
      </c>
      <c r="AL290" s="6"/>
      <c r="AM290" s="3">
        <v>2.4951899999999999E-16</v>
      </c>
      <c r="AN290" s="3">
        <v>1.2476E-16</v>
      </c>
      <c r="AO290" s="3">
        <v>4.9903799999999998E-16</v>
      </c>
      <c r="AP290" s="30">
        <v>2.4951899999999999E-16</v>
      </c>
      <c r="AR290" s="6"/>
      <c r="AS290" s="3">
        <v>4.8656799999999998E-15</v>
      </c>
      <c r="AT290" s="3">
        <v>5.3647200000000001E-15</v>
      </c>
      <c r="AU290" s="30">
        <v>3.2437900000000002E-15</v>
      </c>
      <c r="AV290" s="3">
        <v>4.1171100000000004E-15</v>
      </c>
    </row>
    <row r="291" spans="3:48" x14ac:dyDescent="0.25">
      <c r="C291" s="31">
        <v>1.1765000000000001E-13</v>
      </c>
      <c r="D291" s="5">
        <v>9.1799199999999995E-13</v>
      </c>
      <c r="E291" s="3">
        <v>9.2447899999999994E-13</v>
      </c>
      <c r="F291" s="30">
        <v>9.6140900000000007E-13</v>
      </c>
      <c r="H291" s="2"/>
      <c r="I291" s="3">
        <v>3.4558800000000001E-14</v>
      </c>
      <c r="J291" s="3">
        <v>3.0304399999999998E-13</v>
      </c>
      <c r="K291" s="3">
        <v>3.2363000000000001E-13</v>
      </c>
      <c r="L291" s="30">
        <v>2.91317E-13</v>
      </c>
      <c r="N291" s="6"/>
      <c r="O291" s="3">
        <v>2.6948399999999999E-14</v>
      </c>
      <c r="P291" s="3">
        <v>2.8982000000000002E-13</v>
      </c>
      <c r="Q291" s="3">
        <v>3.1839000000000002E-13</v>
      </c>
      <c r="R291" s="30">
        <v>3.2138399999999998E-13</v>
      </c>
      <c r="T291" s="6"/>
      <c r="U291" s="3">
        <v>2.9443600000000001E-14</v>
      </c>
      <c r="V291" s="3">
        <v>2.8370600000000002E-13</v>
      </c>
      <c r="W291" s="3">
        <v>2.9343800000000002E-13</v>
      </c>
      <c r="X291" s="35">
        <v>2.6786199999999997E-13</v>
      </c>
      <c r="Z291" s="6"/>
      <c r="AA291" s="3">
        <v>9.3570799999999994E-15</v>
      </c>
      <c r="AB291" s="3">
        <v>2.6461799999999999E-13</v>
      </c>
      <c r="AC291" s="3">
        <v>2.5975299999999999E-13</v>
      </c>
      <c r="AD291" s="30">
        <v>2.51768E-13</v>
      </c>
      <c r="AF291" s="6"/>
      <c r="AG291" s="3">
        <v>9.9808699999999996E-16</v>
      </c>
      <c r="AH291" s="3">
        <v>3.0067399999999999E-14</v>
      </c>
      <c r="AI291" s="3">
        <v>4.2543400000000001E-14</v>
      </c>
      <c r="AJ291" s="30">
        <v>3.8426299999999997E-14</v>
      </c>
      <c r="AL291" s="6"/>
      <c r="AM291" s="3">
        <v>2.4951899999999999E-16</v>
      </c>
      <c r="AN291" s="3">
        <v>1.2476E-16</v>
      </c>
      <c r="AO291" s="3">
        <v>3.7427900000000002E-16</v>
      </c>
      <c r="AP291" s="30">
        <v>2.4951899999999999E-16</v>
      </c>
      <c r="AR291" s="6"/>
      <c r="AS291" s="3">
        <v>4.7409199999999997E-15</v>
      </c>
      <c r="AT291" s="3">
        <v>5.2399600000000001E-15</v>
      </c>
      <c r="AU291" s="30">
        <v>1.24761E-16</v>
      </c>
      <c r="AV291" s="3">
        <v>4.1171100000000004E-15</v>
      </c>
    </row>
    <row r="292" spans="3:48" x14ac:dyDescent="0.25">
      <c r="C292" s="31">
        <v>1.1715100000000001E-13</v>
      </c>
      <c r="D292" s="5">
        <v>9.0489200000000004E-13</v>
      </c>
      <c r="E292" s="3">
        <v>9.1637000000000006E-13</v>
      </c>
      <c r="F292" s="30">
        <v>9.5953700000000005E-13</v>
      </c>
      <c r="H292" s="2"/>
      <c r="I292" s="3">
        <v>3.4433999999999997E-14</v>
      </c>
      <c r="J292" s="3">
        <v>3.0242100000000001E-13</v>
      </c>
      <c r="K292" s="3">
        <v>3.2350499999999999E-13</v>
      </c>
      <c r="L292" s="30">
        <v>2.86701E-13</v>
      </c>
      <c r="N292" s="6"/>
      <c r="O292" s="3">
        <v>2.6574100000000001E-14</v>
      </c>
      <c r="P292" s="3">
        <v>2.8433000000000001E-13</v>
      </c>
      <c r="Q292" s="3">
        <v>3.1651899999999998E-13</v>
      </c>
      <c r="R292" s="30">
        <v>3.18889E-13</v>
      </c>
      <c r="T292" s="6"/>
      <c r="U292" s="3">
        <v>2.9443600000000001E-14</v>
      </c>
      <c r="V292" s="3">
        <v>2.8220899999999999E-13</v>
      </c>
      <c r="W292" s="3">
        <v>2.9119199999999999E-13</v>
      </c>
      <c r="X292" s="35">
        <v>2.5937800000000001E-13</v>
      </c>
      <c r="Z292" s="6"/>
      <c r="AA292" s="3">
        <v>9.1075599999999992E-15</v>
      </c>
      <c r="AB292" s="3">
        <v>2.6287200000000001E-13</v>
      </c>
      <c r="AC292" s="3">
        <v>2.5588500000000002E-13</v>
      </c>
      <c r="AD292" s="30">
        <v>2.5139399999999999E-13</v>
      </c>
      <c r="AF292" s="6"/>
      <c r="AG292" s="3">
        <v>9.9808699999999996E-16</v>
      </c>
      <c r="AH292" s="3">
        <v>2.9942600000000002E-14</v>
      </c>
      <c r="AI292" s="3">
        <v>4.1794899999999999E-14</v>
      </c>
      <c r="AJ292" s="30">
        <v>3.7552999999999998E-14</v>
      </c>
      <c r="AL292" s="6"/>
      <c r="AM292" s="3">
        <v>1.2476E-16</v>
      </c>
      <c r="AN292" s="3">
        <v>1.2476E-16</v>
      </c>
      <c r="AO292" s="3">
        <v>3.7427900000000002E-16</v>
      </c>
      <c r="AP292" s="30">
        <v>2.4951899999999999E-16</v>
      </c>
      <c r="AR292" s="6"/>
      <c r="AS292" s="3">
        <v>4.7409199999999997E-15</v>
      </c>
      <c r="AT292" s="3">
        <v>5.2399600000000001E-15</v>
      </c>
      <c r="AU292" s="30">
        <v>1.24761E-16</v>
      </c>
      <c r="AV292" s="3">
        <v>4.1171100000000004E-15</v>
      </c>
    </row>
    <row r="293" spans="3:48" x14ac:dyDescent="0.25">
      <c r="C293" s="31">
        <v>1.1552899999999999E-13</v>
      </c>
      <c r="D293" s="5">
        <v>9.0364399999999996E-13</v>
      </c>
      <c r="E293" s="3">
        <v>9.1487300000000003E-13</v>
      </c>
      <c r="F293" s="30">
        <v>9.5891299999999991E-13</v>
      </c>
      <c r="H293" s="2"/>
      <c r="I293" s="3">
        <v>3.4059699999999999E-14</v>
      </c>
      <c r="J293" s="3">
        <v>3.0242100000000001E-13</v>
      </c>
      <c r="K293" s="3">
        <v>3.2238199999999998E-13</v>
      </c>
      <c r="L293" s="30">
        <v>2.8557799999999999E-13</v>
      </c>
      <c r="N293" s="6"/>
      <c r="O293" s="3">
        <v>2.6199799999999999E-14</v>
      </c>
      <c r="P293" s="3">
        <v>2.83956E-13</v>
      </c>
      <c r="Q293" s="3">
        <v>3.1639400000000001E-13</v>
      </c>
      <c r="R293" s="30">
        <v>3.1602E-13</v>
      </c>
      <c r="T293" s="6"/>
      <c r="U293" s="3">
        <v>2.9318800000000003E-14</v>
      </c>
      <c r="V293" s="3">
        <v>2.8171000000000002E-13</v>
      </c>
      <c r="W293" s="3">
        <v>2.8869700000000001E-13</v>
      </c>
      <c r="X293" s="35">
        <v>2.57382E-13</v>
      </c>
      <c r="Z293" s="6"/>
      <c r="AA293" s="3">
        <v>8.8580400000000007E-15</v>
      </c>
      <c r="AB293" s="3">
        <v>2.6262199999999999E-13</v>
      </c>
      <c r="AC293" s="3">
        <v>2.54388E-13</v>
      </c>
      <c r="AD293" s="30">
        <v>2.5014600000000001E-13</v>
      </c>
      <c r="AF293" s="6"/>
      <c r="AG293" s="3">
        <v>8.7332599999999996E-16</v>
      </c>
      <c r="AH293" s="3">
        <v>2.9817799999999998E-14</v>
      </c>
      <c r="AI293" s="3">
        <v>4.0796800000000002E-14</v>
      </c>
      <c r="AJ293" s="30">
        <v>3.6180600000000003E-14</v>
      </c>
      <c r="AL293" s="6"/>
      <c r="AM293" s="3">
        <v>1.2476E-16</v>
      </c>
      <c r="AN293" s="3">
        <v>1.2476E-16</v>
      </c>
      <c r="AO293" s="3">
        <v>3.7427900000000002E-16</v>
      </c>
      <c r="AP293" s="30">
        <v>2.4951899999999999E-16</v>
      </c>
      <c r="AR293" s="6"/>
      <c r="AS293" s="3">
        <v>4.6161599999999997E-15</v>
      </c>
      <c r="AT293" s="3">
        <v>5.2399600000000001E-15</v>
      </c>
      <c r="AU293" s="30">
        <v>6.3625599999999999E-12</v>
      </c>
      <c r="AV293" s="3">
        <v>4.1171100000000004E-15</v>
      </c>
    </row>
    <row r="294" spans="3:48" x14ac:dyDescent="0.25">
      <c r="C294" s="31">
        <v>1.1477999999999999E-13</v>
      </c>
      <c r="D294" s="5">
        <v>8.9578400000000003E-13</v>
      </c>
      <c r="E294" s="3">
        <v>9.1412400000000003E-13</v>
      </c>
      <c r="F294" s="30">
        <v>9.52176E-13</v>
      </c>
      <c r="H294" s="2"/>
      <c r="I294" s="3">
        <v>3.3810199999999999E-14</v>
      </c>
      <c r="J294" s="3">
        <v>3.01298E-13</v>
      </c>
      <c r="K294" s="3">
        <v>3.1614399999999999E-13</v>
      </c>
      <c r="L294" s="30">
        <v>2.8520400000000002E-13</v>
      </c>
      <c r="N294" s="6"/>
      <c r="O294" s="3">
        <v>2.6199799999999999E-14</v>
      </c>
      <c r="P294" s="3">
        <v>2.8370699999999999E-13</v>
      </c>
      <c r="Q294" s="3">
        <v>3.0940699999999998E-13</v>
      </c>
      <c r="R294" s="30">
        <v>3.1576999999999998E-13</v>
      </c>
      <c r="T294" s="6"/>
      <c r="U294" s="3">
        <v>2.9318800000000003E-14</v>
      </c>
      <c r="V294" s="3">
        <v>2.7709400000000002E-13</v>
      </c>
      <c r="W294" s="3">
        <v>2.87699E-13</v>
      </c>
      <c r="X294" s="35">
        <v>2.5189199999999999E-13</v>
      </c>
      <c r="Z294" s="6"/>
      <c r="AA294" s="3">
        <v>8.7332800000000006E-15</v>
      </c>
      <c r="AB294" s="3">
        <v>2.6149900000000003E-13</v>
      </c>
      <c r="AC294" s="3">
        <v>2.5014600000000001E-13</v>
      </c>
      <c r="AD294" s="30">
        <v>2.44158E-13</v>
      </c>
      <c r="AF294" s="6"/>
      <c r="AG294" s="3">
        <v>8.7332599999999996E-16</v>
      </c>
      <c r="AH294" s="3">
        <v>2.6574100000000001E-14</v>
      </c>
      <c r="AI294" s="3">
        <v>4.0796800000000002E-14</v>
      </c>
      <c r="AJ294" s="30">
        <v>3.51826E-14</v>
      </c>
      <c r="AL294" s="6"/>
      <c r="AM294" s="3">
        <v>1.2476E-16</v>
      </c>
      <c r="AN294" s="3">
        <v>1.2476E-16</v>
      </c>
      <c r="AO294" s="3">
        <v>3.7427900000000002E-16</v>
      </c>
      <c r="AP294" s="30">
        <v>2.4951899999999999E-16</v>
      </c>
      <c r="AR294" s="6"/>
      <c r="AS294" s="3">
        <v>4.6161599999999997E-15</v>
      </c>
      <c r="AT294" s="3">
        <v>5.2399600000000001E-15</v>
      </c>
      <c r="AU294" s="30">
        <v>3.7428299999999999E-16</v>
      </c>
      <c r="AV294" s="3">
        <v>3.9923500000000003E-15</v>
      </c>
    </row>
    <row r="295" spans="3:48" x14ac:dyDescent="0.25">
      <c r="C295" s="31">
        <v>1.14655E-13</v>
      </c>
      <c r="D295" s="5">
        <v>8.9291500000000004E-13</v>
      </c>
      <c r="E295" s="3">
        <v>9.0938300000000002E-13</v>
      </c>
      <c r="F295" s="30">
        <v>9.4968100000000002E-13</v>
      </c>
      <c r="H295" s="2"/>
      <c r="I295" s="3">
        <v>3.3685500000000002E-14</v>
      </c>
      <c r="J295" s="3">
        <v>3.0104800000000002E-13</v>
      </c>
      <c r="K295" s="3">
        <v>3.1414799999999999E-13</v>
      </c>
      <c r="L295" s="30">
        <v>2.8183499999999998E-13</v>
      </c>
      <c r="N295" s="6"/>
      <c r="O295" s="3">
        <v>2.5576000000000001E-14</v>
      </c>
      <c r="P295" s="3">
        <v>2.8320800000000002E-13</v>
      </c>
      <c r="Q295" s="3">
        <v>3.07661E-13</v>
      </c>
      <c r="R295" s="30">
        <v>3.1377400000000002E-13</v>
      </c>
      <c r="T295" s="6"/>
      <c r="U295" s="3">
        <v>2.91941E-14</v>
      </c>
      <c r="V295" s="3">
        <v>2.7684500000000002E-13</v>
      </c>
      <c r="W295" s="3">
        <v>2.8632600000000002E-13</v>
      </c>
      <c r="X295" s="35">
        <v>2.5164299999999999E-13</v>
      </c>
      <c r="Z295" s="6"/>
      <c r="AA295" s="3">
        <v>8.6085200000000005E-15</v>
      </c>
      <c r="AB295" s="3">
        <v>2.5962799999999998E-13</v>
      </c>
      <c r="AC295" s="3">
        <v>2.4989700000000001E-13</v>
      </c>
      <c r="AD295" s="30">
        <v>2.4228599999999998E-13</v>
      </c>
      <c r="AF295" s="6"/>
      <c r="AG295" s="3">
        <v>8.7332599999999996E-16</v>
      </c>
      <c r="AH295" s="3">
        <v>2.5825500000000001E-14</v>
      </c>
      <c r="AI295" s="3">
        <v>4.0422499999999998E-14</v>
      </c>
      <c r="AJ295" s="30">
        <v>3.2687299999999998E-14</v>
      </c>
      <c r="AL295" s="6"/>
      <c r="AM295" s="3">
        <v>1.2476E-16</v>
      </c>
      <c r="AN295" s="3">
        <v>1.2476E-16</v>
      </c>
      <c r="AO295" s="3">
        <v>3.7427900000000002E-16</v>
      </c>
      <c r="AP295" s="30">
        <v>2.4951899999999999E-16</v>
      </c>
      <c r="AR295" s="6"/>
      <c r="AS295" s="3">
        <v>4.6161599999999997E-15</v>
      </c>
      <c r="AT295" s="3">
        <v>5.2399600000000001E-15</v>
      </c>
      <c r="AU295" s="30">
        <v>1.24761E-16</v>
      </c>
      <c r="AV295" s="3">
        <v>3.9923500000000003E-15</v>
      </c>
    </row>
    <row r="296" spans="3:48" x14ac:dyDescent="0.25">
      <c r="C296" s="31">
        <v>1.14406E-13</v>
      </c>
      <c r="D296" s="5">
        <v>8.85928E-13</v>
      </c>
      <c r="E296" s="3">
        <v>9.0913399999999997E-13</v>
      </c>
      <c r="F296" s="30">
        <v>9.3920100000000005E-13</v>
      </c>
      <c r="H296" s="2"/>
      <c r="I296" s="3">
        <v>3.3685500000000002E-14</v>
      </c>
      <c r="J296" s="3">
        <v>2.9768E-13</v>
      </c>
      <c r="K296" s="3">
        <v>3.1340000000000001E-13</v>
      </c>
      <c r="L296" s="30">
        <v>2.7996399999999999E-13</v>
      </c>
      <c r="N296" s="6"/>
      <c r="O296" s="3">
        <v>2.54512E-14</v>
      </c>
      <c r="P296" s="3">
        <v>2.8220899999999999E-13</v>
      </c>
      <c r="Q296" s="3">
        <v>3.07661E-13</v>
      </c>
      <c r="R296" s="30">
        <v>3.1152799999999999E-13</v>
      </c>
      <c r="T296" s="6"/>
      <c r="U296" s="3">
        <v>2.91941E-14</v>
      </c>
      <c r="V296" s="3">
        <v>2.7659499999999999E-13</v>
      </c>
      <c r="W296" s="3">
        <v>2.8507900000000001E-13</v>
      </c>
      <c r="X296" s="35">
        <v>2.48274E-13</v>
      </c>
      <c r="Z296" s="6"/>
      <c r="AA296" s="3">
        <v>8.3590000000000003E-15</v>
      </c>
      <c r="AB296" s="3">
        <v>2.5937800000000001E-13</v>
      </c>
      <c r="AC296" s="3">
        <v>2.4864899999999998E-13</v>
      </c>
      <c r="AD296" s="30">
        <v>2.4178700000000001E-13</v>
      </c>
      <c r="AF296" s="6"/>
      <c r="AG296" s="3">
        <v>8.7332599999999996E-16</v>
      </c>
      <c r="AH296" s="3">
        <v>2.5576000000000001E-14</v>
      </c>
      <c r="AI296" s="3">
        <v>4.02977E-14</v>
      </c>
      <c r="AJ296" s="30">
        <v>2.8944499999999998E-14</v>
      </c>
      <c r="AL296" s="6"/>
      <c r="AM296" s="3">
        <v>1.2476E-16</v>
      </c>
      <c r="AN296" s="3">
        <v>1.2476E-16</v>
      </c>
      <c r="AO296" s="3">
        <v>3.7427900000000002E-16</v>
      </c>
      <c r="AP296" s="30">
        <v>2.4951899999999999E-16</v>
      </c>
      <c r="AR296" s="6"/>
      <c r="AS296" s="3">
        <v>4.4914000000000004E-15</v>
      </c>
      <c r="AT296" s="3">
        <v>5.2399600000000001E-15</v>
      </c>
      <c r="AU296" s="30">
        <v>1.24761E-16</v>
      </c>
      <c r="AV296" s="3">
        <v>3.9923500000000003E-15</v>
      </c>
    </row>
    <row r="297" spans="3:48" x14ac:dyDescent="0.25">
      <c r="C297" s="31">
        <v>1.14406E-13</v>
      </c>
      <c r="D297" s="5">
        <v>8.8168599999999997E-13</v>
      </c>
      <c r="E297" s="3">
        <v>9.0601499999999995E-13</v>
      </c>
      <c r="F297" s="30">
        <v>9.3446000000000004E-13</v>
      </c>
      <c r="H297" s="2"/>
      <c r="I297" s="3">
        <v>3.34359E-14</v>
      </c>
      <c r="J297" s="3">
        <v>2.9069300000000001E-13</v>
      </c>
      <c r="K297" s="3">
        <v>3.1215199999999998E-13</v>
      </c>
      <c r="L297" s="30">
        <v>2.7846599999999999E-13</v>
      </c>
      <c r="N297" s="6"/>
      <c r="O297" s="3">
        <v>2.54512E-14</v>
      </c>
      <c r="P297" s="3">
        <v>2.7734399999999999E-13</v>
      </c>
      <c r="Q297" s="3">
        <v>3.0741100000000002E-13</v>
      </c>
      <c r="R297" s="30">
        <v>3.1078000000000001E-13</v>
      </c>
      <c r="T297" s="6"/>
      <c r="U297" s="3">
        <v>2.9069300000000002E-14</v>
      </c>
      <c r="V297" s="3">
        <v>2.7247800000000002E-13</v>
      </c>
      <c r="W297" s="3">
        <v>2.8158599999999998E-13</v>
      </c>
      <c r="X297" s="35">
        <v>2.4777500000000002E-13</v>
      </c>
      <c r="Z297" s="6"/>
      <c r="AA297" s="3">
        <v>8.2342300000000005E-15</v>
      </c>
      <c r="AB297" s="3">
        <v>2.55386E-13</v>
      </c>
      <c r="AC297" s="3">
        <v>2.4789999999999998E-13</v>
      </c>
      <c r="AD297" s="30">
        <v>2.3991600000000001E-13</v>
      </c>
      <c r="AF297" s="6"/>
      <c r="AG297" s="3">
        <v>8.7332599999999996E-16</v>
      </c>
      <c r="AH297" s="3">
        <v>2.3954099999999998E-14</v>
      </c>
      <c r="AI297" s="3">
        <v>3.7054000000000003E-14</v>
      </c>
      <c r="AJ297" s="30">
        <v>2.74474E-14</v>
      </c>
      <c r="AL297" s="6"/>
      <c r="AM297" s="3">
        <v>1.2476E-16</v>
      </c>
      <c r="AN297" s="3">
        <v>1.2476E-16</v>
      </c>
      <c r="AO297" s="3">
        <v>3.7427900000000002E-16</v>
      </c>
      <c r="AP297" s="30">
        <v>2.4951899999999999E-16</v>
      </c>
      <c r="AR297" s="6"/>
      <c r="AS297" s="3">
        <v>4.3666400000000003E-15</v>
      </c>
      <c r="AT297" s="3">
        <v>5.1152E-15</v>
      </c>
      <c r="AU297" s="30">
        <v>1.24761E-16</v>
      </c>
      <c r="AV297" s="3">
        <v>3.9923500000000003E-15</v>
      </c>
    </row>
    <row r="298" spans="3:48" x14ac:dyDescent="0.25">
      <c r="C298" s="31">
        <v>1.12909E-13</v>
      </c>
      <c r="D298" s="5">
        <v>8.7869200000000001E-13</v>
      </c>
      <c r="E298" s="3">
        <v>9.0339500000000001E-13</v>
      </c>
      <c r="F298" s="30">
        <v>9.3321299999999993E-13</v>
      </c>
      <c r="H298" s="2"/>
      <c r="I298" s="3">
        <v>3.3061699999999997E-14</v>
      </c>
      <c r="J298" s="3">
        <v>2.8807300000000002E-13</v>
      </c>
      <c r="K298" s="3">
        <v>3.1115399999999998E-13</v>
      </c>
      <c r="L298" s="30">
        <v>2.7509800000000002E-13</v>
      </c>
      <c r="N298" s="6"/>
      <c r="O298" s="3">
        <v>2.54512E-14</v>
      </c>
      <c r="P298" s="3">
        <v>2.7597100000000001E-13</v>
      </c>
      <c r="Q298" s="3">
        <v>3.0591399999999999E-13</v>
      </c>
      <c r="R298" s="30">
        <v>3.09906E-13</v>
      </c>
      <c r="T298" s="6"/>
      <c r="U298" s="3">
        <v>2.8819800000000002E-14</v>
      </c>
      <c r="V298" s="3">
        <v>2.7160499999999998E-13</v>
      </c>
      <c r="W298" s="3">
        <v>2.8146100000000002E-13</v>
      </c>
      <c r="X298" s="35">
        <v>2.4527999999999999E-13</v>
      </c>
      <c r="Z298" s="6"/>
      <c r="AA298" s="3">
        <v>7.8599500000000002E-15</v>
      </c>
      <c r="AB298" s="3">
        <v>2.5426299999999998E-13</v>
      </c>
      <c r="AC298" s="3">
        <v>2.4403299999999999E-13</v>
      </c>
      <c r="AD298" s="30">
        <v>2.3941699999999999E-13</v>
      </c>
      <c r="AF298" s="6"/>
      <c r="AG298" s="3">
        <v>8.7332599999999996E-16</v>
      </c>
      <c r="AH298" s="3">
        <v>2.33303E-14</v>
      </c>
      <c r="AI298" s="3">
        <v>3.6430199999999998E-14</v>
      </c>
      <c r="AJ298" s="30">
        <v>2.6823600000000001E-14</v>
      </c>
      <c r="AL298" s="6"/>
      <c r="AM298" s="3">
        <v>1.2476E-16</v>
      </c>
      <c r="AN298" s="3">
        <v>1.2476E-16</v>
      </c>
      <c r="AO298" s="3">
        <v>3.7427900000000002E-16</v>
      </c>
      <c r="AP298" s="30">
        <v>2.4951899999999999E-16</v>
      </c>
      <c r="AR298" s="6"/>
      <c r="AS298" s="3">
        <v>4.3666400000000003E-15</v>
      </c>
      <c r="AT298" s="3">
        <v>5.1152E-15</v>
      </c>
      <c r="AU298" s="30">
        <v>1.24761E-15</v>
      </c>
      <c r="AV298" s="3">
        <v>3.8675900000000002E-15</v>
      </c>
    </row>
    <row r="299" spans="3:48" x14ac:dyDescent="0.25">
      <c r="C299" s="31">
        <v>1.1241E-13</v>
      </c>
      <c r="D299" s="5">
        <v>8.7507400000000001E-13</v>
      </c>
      <c r="E299" s="3">
        <v>9.0314499999999999E-13</v>
      </c>
      <c r="F299" s="30">
        <v>9.2123499999999996E-13</v>
      </c>
      <c r="H299" s="2"/>
      <c r="I299" s="3">
        <v>3.2936899999999999E-14</v>
      </c>
      <c r="J299" s="3">
        <v>2.8557799999999999E-13</v>
      </c>
      <c r="K299" s="3">
        <v>3.1078000000000001E-13</v>
      </c>
      <c r="L299" s="30">
        <v>2.7422499999999998E-13</v>
      </c>
      <c r="N299" s="6"/>
      <c r="O299" s="3">
        <v>2.5201699999999999E-14</v>
      </c>
      <c r="P299" s="3">
        <v>2.7484900000000001E-13</v>
      </c>
      <c r="Q299" s="3">
        <v>2.9356299999999998E-13</v>
      </c>
      <c r="R299" s="30">
        <v>3.04043E-13</v>
      </c>
      <c r="T299" s="6"/>
      <c r="U299" s="3">
        <v>2.8694999999999998E-14</v>
      </c>
      <c r="V299" s="3">
        <v>2.66614E-13</v>
      </c>
      <c r="W299" s="3">
        <v>2.7646999999999998E-13</v>
      </c>
      <c r="X299" s="35">
        <v>2.4291000000000002E-13</v>
      </c>
      <c r="Z299" s="6"/>
      <c r="AA299" s="3">
        <v>7.48567E-15</v>
      </c>
      <c r="AB299" s="3">
        <v>2.5214200000000002E-13</v>
      </c>
      <c r="AC299" s="3">
        <v>2.4378300000000001E-13</v>
      </c>
      <c r="AD299" s="30">
        <v>2.39042E-13</v>
      </c>
      <c r="AF299" s="6"/>
      <c r="AG299" s="3">
        <v>8.7332599999999996E-16</v>
      </c>
      <c r="AH299" s="3">
        <v>2.3080799999999999E-14</v>
      </c>
      <c r="AI299" s="3">
        <v>3.4433999999999997E-14</v>
      </c>
      <c r="AJ299" s="30">
        <v>2.45779E-14</v>
      </c>
      <c r="AL299" s="6"/>
      <c r="AM299" s="3">
        <v>1.2476E-16</v>
      </c>
      <c r="AN299" s="3">
        <v>1.2476E-16</v>
      </c>
      <c r="AO299" s="3">
        <v>3.7427900000000002E-16</v>
      </c>
      <c r="AP299" s="30">
        <v>2.4951899999999999E-16</v>
      </c>
      <c r="AR299" s="6"/>
      <c r="AS299" s="3">
        <v>4.2418699999999996E-15</v>
      </c>
      <c r="AT299" s="3">
        <v>4.9904399999999999E-15</v>
      </c>
      <c r="AU299" s="30">
        <v>1.1228500000000001E-15</v>
      </c>
      <c r="AV299" s="3">
        <v>3.8675900000000002E-15</v>
      </c>
    </row>
    <row r="300" spans="3:48" x14ac:dyDescent="0.25">
      <c r="C300" s="31">
        <v>1.12035E-13</v>
      </c>
      <c r="D300" s="5">
        <v>8.69584E-13</v>
      </c>
      <c r="E300" s="3">
        <v>8.9940200000000003E-13</v>
      </c>
      <c r="F300" s="30">
        <v>9.142490000000001E-13</v>
      </c>
      <c r="H300" s="2"/>
      <c r="I300" s="3">
        <v>3.23131E-14</v>
      </c>
      <c r="J300" s="3">
        <v>2.8445500000000002E-13</v>
      </c>
      <c r="K300" s="3">
        <v>3.1052999999999999E-13</v>
      </c>
      <c r="L300" s="30">
        <v>2.7410000000000001E-13</v>
      </c>
      <c r="N300" s="6"/>
      <c r="O300" s="3">
        <v>2.5201699999999999E-14</v>
      </c>
      <c r="P300" s="3">
        <v>2.7422499999999998E-13</v>
      </c>
      <c r="Q300" s="3">
        <v>2.91566E-13</v>
      </c>
      <c r="R300" s="30">
        <v>3.0242100000000001E-13</v>
      </c>
      <c r="T300" s="6"/>
      <c r="U300" s="3">
        <v>2.83207E-14</v>
      </c>
      <c r="V300" s="3">
        <v>2.6511700000000002E-13</v>
      </c>
      <c r="W300" s="3">
        <v>2.7522299999999998E-13</v>
      </c>
      <c r="X300" s="35">
        <v>2.4103800000000001E-13</v>
      </c>
      <c r="Z300" s="6"/>
      <c r="AA300" s="3">
        <v>7.3609099999999999E-15</v>
      </c>
      <c r="AB300" s="3">
        <v>2.50021E-13</v>
      </c>
      <c r="AC300" s="3">
        <v>2.4303499999999998E-13</v>
      </c>
      <c r="AD300" s="30">
        <v>2.3766999999999999E-13</v>
      </c>
      <c r="AF300" s="6"/>
      <c r="AG300" s="3">
        <v>8.7332599999999996E-16</v>
      </c>
      <c r="AH300" s="3">
        <v>2.2706500000000001E-14</v>
      </c>
      <c r="AI300" s="3">
        <v>3.1564499999999998E-14</v>
      </c>
      <c r="AJ300" s="30">
        <v>2.4203599999999999E-14</v>
      </c>
      <c r="AL300" s="6"/>
      <c r="AM300" s="3">
        <v>1.2476E-16</v>
      </c>
      <c r="AN300" s="3">
        <v>1.2476E-16</v>
      </c>
      <c r="AO300" s="3">
        <v>3.7427900000000002E-16</v>
      </c>
      <c r="AP300" s="30">
        <v>1.2476E-16</v>
      </c>
      <c r="AR300" s="6"/>
      <c r="AS300" s="3">
        <v>4.2418699999999996E-15</v>
      </c>
      <c r="AT300" s="3">
        <v>4.9904399999999999E-15</v>
      </c>
      <c r="AU300" s="30">
        <v>1.24761E-15</v>
      </c>
      <c r="AV300" s="3">
        <v>3.8675900000000002E-15</v>
      </c>
    </row>
    <row r="301" spans="3:48" x14ac:dyDescent="0.25">
      <c r="C301" s="31">
        <v>1.11412E-13</v>
      </c>
      <c r="D301" s="5">
        <v>8.6946000000000001E-13</v>
      </c>
      <c r="E301" s="3">
        <v>8.9578400000000003E-13</v>
      </c>
      <c r="F301" s="30">
        <v>9.12627E-13</v>
      </c>
      <c r="H301" s="2"/>
      <c r="I301" s="3">
        <v>3.2188300000000003E-14</v>
      </c>
      <c r="J301" s="3">
        <v>2.8370600000000002E-13</v>
      </c>
      <c r="K301" s="3">
        <v>3.0653799999999998E-13</v>
      </c>
      <c r="L301" s="30">
        <v>2.7335100000000001E-13</v>
      </c>
      <c r="N301" s="6"/>
      <c r="O301" s="3">
        <v>2.4952199999999999E-14</v>
      </c>
      <c r="P301" s="3">
        <v>2.73975E-13</v>
      </c>
      <c r="Q301" s="3">
        <v>2.9144200000000001E-13</v>
      </c>
      <c r="R301" s="30">
        <v>3.0054899999999999E-13</v>
      </c>
      <c r="T301" s="6"/>
      <c r="U301" s="3">
        <v>2.83207E-14</v>
      </c>
      <c r="V301" s="3">
        <v>2.5838000000000001E-13</v>
      </c>
      <c r="W301" s="3">
        <v>2.72977E-13</v>
      </c>
      <c r="X301" s="35">
        <v>2.3717100000000001E-13</v>
      </c>
      <c r="Z301" s="6"/>
      <c r="AA301" s="3">
        <v>7.3609099999999999E-15</v>
      </c>
      <c r="AB301" s="3">
        <v>2.4777599999999999E-13</v>
      </c>
      <c r="AC301" s="3">
        <v>2.4116300000000002E-13</v>
      </c>
      <c r="AD301" s="30">
        <v>2.3567399999999998E-13</v>
      </c>
      <c r="AF301" s="6"/>
      <c r="AG301" s="3">
        <v>8.7332599999999996E-16</v>
      </c>
      <c r="AH301" s="3">
        <v>2.1334099999999999E-14</v>
      </c>
      <c r="AI301" s="3">
        <v>3.0940699999999999E-14</v>
      </c>
      <c r="AJ301" s="30">
        <v>2.2332199999999999E-14</v>
      </c>
      <c r="AL301" s="6"/>
      <c r="AM301" s="3">
        <v>1.2476E-16</v>
      </c>
      <c r="AN301" s="3">
        <v>1.2476E-16</v>
      </c>
      <c r="AO301" s="3">
        <v>3.7427900000000002E-16</v>
      </c>
      <c r="AP301" s="30">
        <v>1.2476E-16</v>
      </c>
      <c r="AR301" s="6"/>
      <c r="AS301" s="3">
        <v>4.2418699999999996E-15</v>
      </c>
      <c r="AT301" s="3">
        <v>4.8656799999999998E-15</v>
      </c>
      <c r="AU301" s="30">
        <v>1.4971299999999999E-15</v>
      </c>
      <c r="AV301" s="3">
        <v>3.8675900000000002E-15</v>
      </c>
    </row>
    <row r="302" spans="3:48" x14ac:dyDescent="0.25">
      <c r="C302" s="31">
        <v>1.1016399999999999E-13</v>
      </c>
      <c r="D302" s="5">
        <v>8.6496799999999996E-13</v>
      </c>
      <c r="E302" s="3">
        <v>8.9416200000000004E-13</v>
      </c>
      <c r="F302" s="30">
        <v>9.1212799999999993E-13</v>
      </c>
      <c r="H302" s="2"/>
      <c r="I302" s="3">
        <v>3.1689300000000002E-14</v>
      </c>
      <c r="J302" s="3">
        <v>2.8345700000000002E-13</v>
      </c>
      <c r="K302" s="3">
        <v>3.0304399999999998E-13</v>
      </c>
      <c r="L302" s="30">
        <v>2.6948400000000002E-13</v>
      </c>
      <c r="N302" s="6"/>
      <c r="O302" s="3">
        <v>2.4453200000000001E-14</v>
      </c>
      <c r="P302" s="3">
        <v>2.7322700000000002E-13</v>
      </c>
      <c r="Q302" s="3">
        <v>2.91317E-13</v>
      </c>
      <c r="R302" s="30">
        <v>2.9880300000000001E-13</v>
      </c>
      <c r="T302" s="6"/>
      <c r="U302" s="3">
        <v>2.8071199999999999E-14</v>
      </c>
      <c r="V302" s="3">
        <v>2.5114400000000002E-13</v>
      </c>
      <c r="W302" s="3">
        <v>2.6885999999999998E-13</v>
      </c>
      <c r="X302" s="35">
        <v>2.3193100000000002E-13</v>
      </c>
      <c r="Z302" s="6"/>
      <c r="AA302" s="3">
        <v>7.3609099999999999E-15</v>
      </c>
      <c r="AB302" s="3">
        <v>2.4702699999999999E-13</v>
      </c>
      <c r="AC302" s="3">
        <v>2.4016500000000002E-13</v>
      </c>
      <c r="AD302" s="30">
        <v>2.3480000000000002E-13</v>
      </c>
      <c r="AF302" s="6"/>
      <c r="AG302" s="3">
        <v>8.7332599999999996E-16</v>
      </c>
      <c r="AH302" s="3">
        <v>2.0211299999999999E-14</v>
      </c>
      <c r="AI302" s="3">
        <v>2.9193999999999999E-14</v>
      </c>
      <c r="AJ302" s="30">
        <v>2.1084599999999999E-14</v>
      </c>
      <c r="AL302" s="6"/>
      <c r="AM302" s="3">
        <v>1.2476E-16</v>
      </c>
      <c r="AN302" s="3">
        <v>1.2476E-16</v>
      </c>
      <c r="AO302" s="3">
        <v>3.7427900000000002E-16</v>
      </c>
      <c r="AP302" s="30">
        <v>1.2476E-16</v>
      </c>
      <c r="AR302" s="6"/>
      <c r="AS302" s="3">
        <v>4.2418699999999996E-15</v>
      </c>
      <c r="AT302" s="3">
        <v>4.8656799999999998E-15</v>
      </c>
      <c r="AU302" s="30">
        <v>1.24761E-16</v>
      </c>
      <c r="AV302" s="3">
        <v>3.8675900000000002E-15</v>
      </c>
    </row>
    <row r="303" spans="3:48" x14ac:dyDescent="0.25">
      <c r="C303" s="31">
        <v>1.0979E-13</v>
      </c>
      <c r="D303" s="5">
        <v>8.6309700000000001E-13</v>
      </c>
      <c r="E303" s="3">
        <v>8.9366299999999997E-13</v>
      </c>
      <c r="F303" s="30">
        <v>9.1125500000000004E-13</v>
      </c>
      <c r="H303" s="2"/>
      <c r="I303" s="3">
        <v>3.1314999999999997E-14</v>
      </c>
      <c r="J303" s="3">
        <v>2.8195999999999999E-13</v>
      </c>
      <c r="K303" s="3">
        <v>3.0279500000000002E-13</v>
      </c>
      <c r="L303" s="30">
        <v>2.6786199999999997E-13</v>
      </c>
      <c r="N303" s="6"/>
      <c r="O303" s="3">
        <v>2.4203599999999999E-14</v>
      </c>
      <c r="P303" s="3">
        <v>2.7172900000000002E-13</v>
      </c>
      <c r="Q303" s="3">
        <v>2.86701E-13</v>
      </c>
      <c r="R303" s="30">
        <v>2.9555899999999998E-13</v>
      </c>
      <c r="T303" s="6"/>
      <c r="U303" s="3">
        <v>2.7821699999999998E-14</v>
      </c>
      <c r="V303" s="3">
        <v>2.4789999999999998E-13</v>
      </c>
      <c r="W303" s="3">
        <v>2.6823599999999999E-13</v>
      </c>
      <c r="X303" s="35">
        <v>2.3105700000000001E-13</v>
      </c>
      <c r="Z303" s="6"/>
      <c r="AA303" s="3">
        <v>7.2361499999999999E-15</v>
      </c>
      <c r="AB303" s="3">
        <v>2.4278500000000001E-13</v>
      </c>
      <c r="AC303" s="3">
        <v>2.3816900000000001E-13</v>
      </c>
      <c r="AD303" s="30">
        <v>2.3430099999999999E-13</v>
      </c>
      <c r="AF303" s="6"/>
      <c r="AG303" s="3">
        <v>7.4856499999999997E-16</v>
      </c>
      <c r="AH303" s="3">
        <v>1.94627E-14</v>
      </c>
      <c r="AI303" s="3">
        <v>2.8071199999999999E-14</v>
      </c>
      <c r="AJ303" s="30">
        <v>1.95875E-14</v>
      </c>
      <c r="AL303" s="6"/>
      <c r="AM303" s="3">
        <v>1.2476E-16</v>
      </c>
      <c r="AN303" s="3">
        <v>1.2476E-16</v>
      </c>
      <c r="AO303" s="3">
        <v>3.7427900000000002E-16</v>
      </c>
      <c r="AP303" s="30">
        <v>1.2476E-16</v>
      </c>
      <c r="AR303" s="6"/>
      <c r="AS303" s="3">
        <v>4.1171100000000004E-15</v>
      </c>
      <c r="AT303" s="3">
        <v>4.8656799999999998E-15</v>
      </c>
      <c r="AU303" s="30">
        <v>9.9808799999999998E-16</v>
      </c>
      <c r="AV303" s="3">
        <v>3.8675900000000002E-15</v>
      </c>
    </row>
    <row r="304" spans="3:48" x14ac:dyDescent="0.25">
      <c r="C304" s="31">
        <v>1.0941499999999999E-13</v>
      </c>
      <c r="D304" s="5">
        <v>8.6097600000000005E-13</v>
      </c>
      <c r="E304" s="3">
        <v>8.9091900000000003E-13</v>
      </c>
      <c r="F304" s="30">
        <v>9.0551599999999998E-13</v>
      </c>
      <c r="H304" s="2"/>
      <c r="I304" s="3">
        <v>3.0940699999999999E-14</v>
      </c>
      <c r="J304" s="3">
        <v>2.8121099999999999E-13</v>
      </c>
      <c r="K304" s="3">
        <v>3.02545E-13</v>
      </c>
      <c r="L304" s="30">
        <v>2.6673900000000001E-13</v>
      </c>
      <c r="N304" s="6"/>
      <c r="O304" s="3">
        <v>2.4203599999999999E-14</v>
      </c>
      <c r="P304" s="3">
        <v>2.6673900000000001E-13</v>
      </c>
      <c r="Q304" s="3">
        <v>2.8557799999999999E-13</v>
      </c>
      <c r="R304" s="30">
        <v>2.9456099999999998E-13</v>
      </c>
      <c r="T304" s="6"/>
      <c r="U304" s="3">
        <v>2.7696900000000001E-14</v>
      </c>
      <c r="V304" s="3">
        <v>2.4602899999999999E-13</v>
      </c>
      <c r="W304" s="3">
        <v>2.6798699999999999E-13</v>
      </c>
      <c r="X304" s="35">
        <v>2.3105700000000001E-13</v>
      </c>
      <c r="Z304" s="6"/>
      <c r="AA304" s="3">
        <v>6.8618599999999998E-15</v>
      </c>
      <c r="AB304" s="3">
        <v>2.4103800000000001E-13</v>
      </c>
      <c r="AC304" s="3">
        <v>2.3629800000000002E-13</v>
      </c>
      <c r="AD304" s="30">
        <v>2.3380200000000002E-13</v>
      </c>
      <c r="AF304" s="6"/>
      <c r="AG304" s="3">
        <v>7.4856499999999997E-16</v>
      </c>
      <c r="AH304" s="3">
        <v>1.9088400000000001E-14</v>
      </c>
      <c r="AI304" s="3">
        <v>2.5201699999999999E-14</v>
      </c>
      <c r="AJ304" s="30">
        <v>1.94627E-14</v>
      </c>
      <c r="AL304" s="6"/>
      <c r="AM304" s="3">
        <v>1.2476E-16</v>
      </c>
      <c r="AN304" s="3">
        <v>1.2476E-16</v>
      </c>
      <c r="AO304" s="3">
        <v>3.7427900000000002E-16</v>
      </c>
      <c r="AP304" s="30">
        <v>1.2476E-16</v>
      </c>
      <c r="AR304" s="6"/>
      <c r="AS304" s="3">
        <v>4.1171100000000004E-15</v>
      </c>
      <c r="AT304" s="3">
        <v>4.8656799999999998E-15</v>
      </c>
      <c r="AU304" s="30">
        <v>2.4952199999999999E-16</v>
      </c>
      <c r="AV304" s="3">
        <v>3.8675900000000002E-15</v>
      </c>
    </row>
    <row r="305" spans="3:48" x14ac:dyDescent="0.25">
      <c r="C305" s="31">
        <v>1.09041E-13</v>
      </c>
      <c r="D305" s="5">
        <v>8.6047699999999997E-13</v>
      </c>
      <c r="E305" s="3">
        <v>8.8767499999999995E-13</v>
      </c>
      <c r="F305" s="30">
        <v>9.0389399999999999E-13</v>
      </c>
      <c r="H305" s="2"/>
      <c r="I305" s="3">
        <v>3.0940699999999999E-14</v>
      </c>
      <c r="J305" s="3">
        <v>2.7996399999999999E-13</v>
      </c>
      <c r="K305" s="3">
        <v>3.0204600000000002E-13</v>
      </c>
      <c r="L305" s="30">
        <v>2.6611500000000002E-13</v>
      </c>
      <c r="N305" s="6"/>
      <c r="O305" s="3">
        <v>2.3954099999999998E-14</v>
      </c>
      <c r="P305" s="3">
        <v>2.65616E-13</v>
      </c>
      <c r="Q305" s="3">
        <v>2.8270800000000002E-13</v>
      </c>
      <c r="R305" s="30">
        <v>2.9081800000000002E-13</v>
      </c>
      <c r="T305" s="6"/>
      <c r="U305" s="3">
        <v>2.74474E-14</v>
      </c>
      <c r="V305" s="3">
        <v>2.4403200000000001E-13</v>
      </c>
      <c r="W305" s="3">
        <v>2.65616E-13</v>
      </c>
      <c r="X305" s="35">
        <v>2.2918600000000002E-13</v>
      </c>
      <c r="Z305" s="6"/>
      <c r="AA305" s="3">
        <v>6.7370999999999998E-15</v>
      </c>
      <c r="AB305" s="3">
        <v>2.4004000000000001E-13</v>
      </c>
      <c r="AC305" s="3">
        <v>2.31432E-13</v>
      </c>
      <c r="AD305" s="30">
        <v>2.3367799999999998E-13</v>
      </c>
      <c r="AF305" s="6"/>
      <c r="AG305" s="3">
        <v>7.4856499999999997E-16</v>
      </c>
      <c r="AH305" s="3">
        <v>1.8963600000000001E-14</v>
      </c>
      <c r="AI305" s="3">
        <v>2.2456899999999999E-14</v>
      </c>
      <c r="AJ305" s="30">
        <v>1.9088400000000001E-14</v>
      </c>
      <c r="AL305" s="6"/>
      <c r="AM305" s="3">
        <v>1.2476E-16</v>
      </c>
      <c r="AN305" s="3">
        <v>1.2476E-16</v>
      </c>
      <c r="AO305" s="3">
        <v>3.7427900000000002E-16</v>
      </c>
      <c r="AP305" s="30">
        <v>1.2476E-16</v>
      </c>
      <c r="AR305" s="6"/>
      <c r="AS305" s="3">
        <v>4.1171100000000004E-15</v>
      </c>
      <c r="AT305" s="3">
        <v>4.6161599999999997E-15</v>
      </c>
      <c r="AU305" s="30">
        <v>2.8695000000000002E-15</v>
      </c>
      <c r="AV305" s="3">
        <v>3.8675900000000002E-15</v>
      </c>
    </row>
    <row r="306" spans="3:48" x14ac:dyDescent="0.25">
      <c r="C306" s="31">
        <v>1.08792E-13</v>
      </c>
      <c r="D306" s="5">
        <v>8.6010299999999996E-13</v>
      </c>
      <c r="E306" s="3">
        <v>8.8355799999999998E-13</v>
      </c>
      <c r="F306" s="30">
        <v>9.0202199999999997E-13</v>
      </c>
      <c r="H306" s="2"/>
      <c r="I306" s="3">
        <v>3.0691199999999998E-14</v>
      </c>
      <c r="J306" s="3">
        <v>2.7709400000000002E-13</v>
      </c>
      <c r="K306" s="3">
        <v>2.9605800000000001E-13</v>
      </c>
      <c r="L306" s="30">
        <v>2.65616E-13</v>
      </c>
      <c r="N306" s="6"/>
      <c r="O306" s="3">
        <v>2.2956000000000001E-14</v>
      </c>
      <c r="P306" s="3">
        <v>2.6312100000000002E-13</v>
      </c>
      <c r="Q306" s="3">
        <v>2.81336E-13</v>
      </c>
      <c r="R306" s="30">
        <v>2.9069300000000001E-13</v>
      </c>
      <c r="T306" s="6"/>
      <c r="U306" s="3">
        <v>2.73227E-14</v>
      </c>
      <c r="V306" s="3">
        <v>2.43409E-13</v>
      </c>
      <c r="W306" s="3">
        <v>2.6249699999999998E-13</v>
      </c>
      <c r="X306" s="35">
        <v>2.28936E-13</v>
      </c>
      <c r="Z306" s="6"/>
      <c r="AA306" s="3">
        <v>6.7370999999999998E-15</v>
      </c>
      <c r="AB306" s="3">
        <v>2.3829400000000002E-13</v>
      </c>
      <c r="AC306" s="3">
        <v>2.2831299999999998E-13</v>
      </c>
      <c r="AD306" s="30">
        <v>2.3243E-13</v>
      </c>
      <c r="AF306" s="6"/>
      <c r="AG306" s="3">
        <v>7.4856499999999997E-16</v>
      </c>
      <c r="AH306" s="3">
        <v>1.8838900000000001E-14</v>
      </c>
      <c r="AI306" s="3">
        <v>2.0959800000000001E-14</v>
      </c>
      <c r="AJ306" s="30">
        <v>1.87141E-14</v>
      </c>
      <c r="AL306" s="6"/>
      <c r="AM306" s="3">
        <v>1.2476E-16</v>
      </c>
      <c r="AN306" s="3">
        <v>1.2476E-16</v>
      </c>
      <c r="AO306" s="3">
        <v>3.7427900000000002E-16</v>
      </c>
      <c r="AP306" s="30">
        <v>1.2476E-16</v>
      </c>
      <c r="AR306" s="6"/>
      <c r="AS306" s="3">
        <v>4.1171100000000004E-15</v>
      </c>
      <c r="AT306" s="3">
        <v>4.6161599999999997E-15</v>
      </c>
      <c r="AU306" s="30">
        <v>1.24761E-16</v>
      </c>
      <c r="AV306" s="3">
        <v>3.8675900000000002E-15</v>
      </c>
    </row>
    <row r="307" spans="3:48" x14ac:dyDescent="0.25">
      <c r="C307" s="31">
        <v>1.08293E-13</v>
      </c>
      <c r="D307" s="5">
        <v>8.5174399999999995E-13</v>
      </c>
      <c r="E307" s="3">
        <v>8.8093800000000004E-13</v>
      </c>
      <c r="F307" s="30">
        <v>9.0139800000000003E-13</v>
      </c>
      <c r="H307" s="2"/>
      <c r="I307" s="3">
        <v>3.0691199999999998E-14</v>
      </c>
      <c r="J307" s="3">
        <v>2.7709400000000002E-13</v>
      </c>
      <c r="K307" s="3">
        <v>2.9081800000000002E-13</v>
      </c>
      <c r="L307" s="30">
        <v>2.6337000000000002E-13</v>
      </c>
      <c r="N307" s="6"/>
      <c r="O307" s="3">
        <v>2.2706500000000001E-14</v>
      </c>
      <c r="P307" s="3">
        <v>2.6249699999999998E-13</v>
      </c>
      <c r="Q307" s="3">
        <v>2.8058799999999998E-13</v>
      </c>
      <c r="R307" s="30">
        <v>2.87699E-13</v>
      </c>
      <c r="T307" s="6"/>
      <c r="U307" s="3">
        <v>2.71979E-14</v>
      </c>
      <c r="V307" s="3">
        <v>2.4228599999999998E-13</v>
      </c>
      <c r="W307" s="3">
        <v>2.6112500000000001E-13</v>
      </c>
      <c r="X307" s="35">
        <v>2.2818800000000002E-13</v>
      </c>
      <c r="Z307" s="6"/>
      <c r="AA307" s="3">
        <v>6.6123399999999997E-15</v>
      </c>
      <c r="AB307" s="3">
        <v>2.3629800000000002E-13</v>
      </c>
      <c r="AC307" s="3">
        <v>2.25568E-13</v>
      </c>
      <c r="AD307" s="30">
        <v>2.3005999999999998E-13</v>
      </c>
      <c r="AF307" s="6"/>
      <c r="AG307" s="3">
        <v>6.2380399999999997E-16</v>
      </c>
      <c r="AH307" s="3">
        <v>1.7965600000000001E-14</v>
      </c>
      <c r="AI307" s="3">
        <v>2.0211299999999999E-14</v>
      </c>
      <c r="AJ307" s="30">
        <v>1.75913E-14</v>
      </c>
      <c r="AL307" s="6"/>
      <c r="AM307" s="3">
        <v>1.2476E-16</v>
      </c>
      <c r="AN307" s="3">
        <v>1.2476E-16</v>
      </c>
      <c r="AO307" s="3">
        <v>3.7427900000000002E-16</v>
      </c>
      <c r="AP307" s="30">
        <v>1.2476E-16</v>
      </c>
      <c r="AR307" s="6"/>
      <c r="AS307" s="3">
        <v>3.9923500000000003E-15</v>
      </c>
      <c r="AT307" s="3">
        <v>4.6161599999999997E-15</v>
      </c>
      <c r="AU307" s="30">
        <v>1.24761E-16</v>
      </c>
      <c r="AV307" s="3">
        <v>3.7428300000000001E-15</v>
      </c>
    </row>
    <row r="308" spans="3:48" x14ac:dyDescent="0.25">
      <c r="C308" s="31">
        <v>1.0692E-13</v>
      </c>
      <c r="D308" s="5">
        <v>8.4588000000000003E-13</v>
      </c>
      <c r="E308" s="3">
        <v>8.7856700000000005E-13</v>
      </c>
      <c r="F308" s="30">
        <v>8.9416200000000004E-13</v>
      </c>
      <c r="H308" s="2"/>
      <c r="I308" s="3">
        <v>3.0441699999999998E-14</v>
      </c>
      <c r="J308" s="3">
        <v>2.7684500000000002E-13</v>
      </c>
      <c r="K308" s="3">
        <v>2.8969500000000001E-13</v>
      </c>
      <c r="L308" s="30">
        <v>2.6287099999999999E-13</v>
      </c>
      <c r="N308" s="6"/>
      <c r="O308" s="3">
        <v>2.2457E-14</v>
      </c>
      <c r="P308" s="3">
        <v>2.6125000000000002E-13</v>
      </c>
      <c r="Q308" s="3">
        <v>2.8021299999999999E-13</v>
      </c>
      <c r="R308" s="30">
        <v>2.84954E-13</v>
      </c>
      <c r="T308" s="6"/>
      <c r="U308" s="3">
        <v>2.7073099999999999E-14</v>
      </c>
      <c r="V308" s="3">
        <v>2.4128799999999998E-13</v>
      </c>
      <c r="W308" s="3">
        <v>2.5201700000000001E-13</v>
      </c>
      <c r="X308" s="35">
        <v>2.26067E-13</v>
      </c>
      <c r="Z308" s="6"/>
      <c r="AA308" s="3">
        <v>6.4875800000000004E-15</v>
      </c>
      <c r="AB308" s="3">
        <v>2.3504999999999999E-13</v>
      </c>
      <c r="AC308" s="3">
        <v>2.25568E-13</v>
      </c>
      <c r="AD308" s="30">
        <v>2.2843799999999999E-13</v>
      </c>
      <c r="AF308" s="6"/>
      <c r="AG308" s="3">
        <v>6.2380399999999997E-16</v>
      </c>
      <c r="AH308" s="3">
        <v>1.6218899999999999E-14</v>
      </c>
      <c r="AI308" s="3">
        <v>1.8963600000000001E-14</v>
      </c>
      <c r="AJ308" s="30">
        <v>1.7216999999999999E-14</v>
      </c>
      <c r="AL308" s="6"/>
      <c r="AM308" s="3">
        <v>1.2476E-16</v>
      </c>
      <c r="AN308" s="3">
        <v>1.2476E-16</v>
      </c>
      <c r="AO308" s="3">
        <v>3.7427900000000002E-16</v>
      </c>
      <c r="AP308" s="30">
        <v>1.2476E-16</v>
      </c>
      <c r="AR308" s="6"/>
      <c r="AS308" s="3">
        <v>3.9923500000000003E-15</v>
      </c>
      <c r="AT308" s="3">
        <v>4.6161599999999997E-15</v>
      </c>
      <c r="AU308" s="30">
        <v>4.1695099999999998E-13</v>
      </c>
      <c r="AV308" s="3">
        <v>3.7428300000000001E-15</v>
      </c>
    </row>
    <row r="309" spans="3:48" x14ac:dyDescent="0.25">
      <c r="C309" s="31">
        <v>1.0692E-13</v>
      </c>
      <c r="D309" s="5">
        <v>8.4575499999999996E-13</v>
      </c>
      <c r="E309" s="3">
        <v>8.7707000000000002E-13</v>
      </c>
      <c r="F309" s="30">
        <v>8.86677E-13</v>
      </c>
      <c r="H309" s="2"/>
      <c r="I309" s="3">
        <v>2.9942600000000002E-14</v>
      </c>
      <c r="J309" s="3">
        <v>2.7659499999999999E-13</v>
      </c>
      <c r="K309" s="3">
        <v>2.8869700000000001E-13</v>
      </c>
      <c r="L309" s="30">
        <v>2.6087499999999999E-13</v>
      </c>
      <c r="N309" s="6"/>
      <c r="O309" s="3">
        <v>2.2457E-14</v>
      </c>
      <c r="P309" s="3">
        <v>2.5675800000000002E-13</v>
      </c>
      <c r="Q309" s="3">
        <v>2.7871600000000001E-13</v>
      </c>
      <c r="R309" s="30">
        <v>2.8158599999999998E-13</v>
      </c>
      <c r="T309" s="6"/>
      <c r="U309" s="3">
        <v>2.6698899999999998E-14</v>
      </c>
      <c r="V309" s="3">
        <v>2.40913E-13</v>
      </c>
      <c r="W309" s="3">
        <v>2.4565400000000001E-13</v>
      </c>
      <c r="X309" s="35">
        <v>2.2444500000000001E-13</v>
      </c>
      <c r="Z309" s="6"/>
      <c r="AA309" s="3">
        <v>6.2380600000000002E-15</v>
      </c>
      <c r="AB309" s="3">
        <v>2.3268000000000002E-13</v>
      </c>
      <c r="AC309" s="3">
        <v>2.2494400000000001E-13</v>
      </c>
      <c r="AD309" s="30">
        <v>2.2082699999999999E-13</v>
      </c>
      <c r="AF309" s="6"/>
      <c r="AG309" s="3">
        <v>6.2380399999999997E-16</v>
      </c>
      <c r="AH309" s="3">
        <v>1.58446E-14</v>
      </c>
      <c r="AI309" s="3">
        <v>1.8090300000000001E-14</v>
      </c>
      <c r="AJ309" s="30">
        <v>1.6842700000000001E-14</v>
      </c>
      <c r="AL309" s="6"/>
      <c r="AM309" s="3">
        <v>1.2476E-16</v>
      </c>
      <c r="AN309" s="3">
        <v>1.2476E-16</v>
      </c>
      <c r="AO309" s="3">
        <v>3.7427900000000002E-16</v>
      </c>
      <c r="AP309" s="30">
        <v>1.2476E-16</v>
      </c>
      <c r="AR309" s="6"/>
      <c r="AS309" s="3">
        <v>3.9923500000000003E-15</v>
      </c>
      <c r="AT309" s="3">
        <v>4.4914000000000004E-15</v>
      </c>
      <c r="AU309" s="30">
        <v>1.24761E-16</v>
      </c>
      <c r="AV309" s="3">
        <v>3.7428300000000001E-15</v>
      </c>
    </row>
    <row r="310" spans="3:48" x14ac:dyDescent="0.25">
      <c r="C310" s="31">
        <v>1.05797E-13</v>
      </c>
      <c r="D310" s="5">
        <v>8.4313500000000002E-13</v>
      </c>
      <c r="E310" s="3">
        <v>8.7494899999999995E-13</v>
      </c>
      <c r="F310" s="30">
        <v>8.7657100000000004E-13</v>
      </c>
      <c r="H310" s="2"/>
      <c r="I310" s="3">
        <v>2.9942600000000002E-14</v>
      </c>
      <c r="J310" s="3">
        <v>2.7634599999999999E-13</v>
      </c>
      <c r="K310" s="3">
        <v>2.8807300000000002E-13</v>
      </c>
      <c r="L310" s="30">
        <v>2.5975200000000002E-13</v>
      </c>
      <c r="N310" s="6"/>
      <c r="O310" s="3">
        <v>2.2332199999999999E-14</v>
      </c>
      <c r="P310" s="3">
        <v>2.55386E-13</v>
      </c>
      <c r="Q310" s="3">
        <v>2.7522299999999998E-13</v>
      </c>
      <c r="R310" s="30">
        <v>2.81087E-13</v>
      </c>
      <c r="T310" s="6"/>
      <c r="U310" s="3">
        <v>2.6574100000000001E-14</v>
      </c>
      <c r="V310" s="3">
        <v>2.3467500000000001E-13</v>
      </c>
      <c r="W310" s="3">
        <v>2.4490599999999998E-13</v>
      </c>
      <c r="X310" s="35">
        <v>2.22449E-13</v>
      </c>
      <c r="Z310" s="6"/>
      <c r="AA310" s="3">
        <v>6.2380600000000002E-15</v>
      </c>
      <c r="AB310" s="3">
        <v>2.3230499999999999E-13</v>
      </c>
      <c r="AC310" s="3">
        <v>2.2482E-13</v>
      </c>
      <c r="AD310" s="30">
        <v>2.1933000000000001E-13</v>
      </c>
      <c r="AF310" s="6"/>
      <c r="AG310" s="3">
        <v>6.2380399999999997E-16</v>
      </c>
      <c r="AH310" s="3">
        <v>1.48465E-14</v>
      </c>
      <c r="AI310" s="3">
        <v>1.7466499999999999E-14</v>
      </c>
      <c r="AJ310" s="30">
        <v>1.5470299999999999E-14</v>
      </c>
      <c r="AL310" s="6"/>
      <c r="AM310" s="3">
        <v>1.2476E-16</v>
      </c>
      <c r="AN310" s="3">
        <v>1.2476E-16</v>
      </c>
      <c r="AO310" s="3">
        <v>2.4951899999999999E-16</v>
      </c>
      <c r="AP310" s="30">
        <v>1.2476E-16</v>
      </c>
      <c r="AR310" s="6"/>
      <c r="AS310" s="3">
        <v>3.8675900000000002E-15</v>
      </c>
      <c r="AT310" s="3">
        <v>4.4914000000000004E-15</v>
      </c>
      <c r="AU310" s="30">
        <v>1.4347499999999999E-14</v>
      </c>
      <c r="AV310" s="3">
        <v>3.7428300000000001E-15</v>
      </c>
    </row>
    <row r="311" spans="3:48" x14ac:dyDescent="0.25">
      <c r="C311" s="31">
        <v>1.05423E-13</v>
      </c>
      <c r="D311" s="5">
        <v>8.4151300000000003E-13</v>
      </c>
      <c r="E311" s="3">
        <v>8.7457500000000004E-13</v>
      </c>
      <c r="F311" s="30">
        <v>8.7532299999999996E-13</v>
      </c>
      <c r="H311" s="2"/>
      <c r="I311" s="3">
        <v>2.9942600000000002E-14</v>
      </c>
      <c r="J311" s="3">
        <v>2.7410000000000001E-13</v>
      </c>
      <c r="K311" s="3">
        <v>2.87699E-13</v>
      </c>
      <c r="L311" s="30">
        <v>2.5937800000000001E-13</v>
      </c>
      <c r="N311" s="6"/>
      <c r="O311" s="3">
        <v>2.22075E-14</v>
      </c>
      <c r="P311" s="3">
        <v>2.5501199999999998E-13</v>
      </c>
      <c r="Q311" s="3">
        <v>2.7447399999999998E-13</v>
      </c>
      <c r="R311" s="30">
        <v>2.7672000000000001E-13</v>
      </c>
      <c r="T311" s="6"/>
      <c r="U311" s="3">
        <v>2.63246E-14</v>
      </c>
      <c r="V311" s="3">
        <v>2.3243E-13</v>
      </c>
      <c r="W311" s="3">
        <v>2.4453200000000001E-13</v>
      </c>
      <c r="X311" s="35">
        <v>2.2107599999999999E-13</v>
      </c>
      <c r="Z311" s="6"/>
      <c r="AA311" s="3">
        <v>5.9885300000000003E-15</v>
      </c>
      <c r="AB311" s="3">
        <v>2.3030899999999998E-13</v>
      </c>
      <c r="AC311" s="3">
        <v>2.2344700000000001E-13</v>
      </c>
      <c r="AD311" s="30">
        <v>2.18706E-13</v>
      </c>
      <c r="AF311" s="6"/>
      <c r="AG311" s="3">
        <v>6.2380399999999997E-16</v>
      </c>
      <c r="AH311" s="3">
        <v>1.4347499999999999E-14</v>
      </c>
      <c r="AI311" s="3">
        <v>1.7092200000000001E-14</v>
      </c>
      <c r="AJ311" s="30">
        <v>1.5220800000000002E-14</v>
      </c>
      <c r="AL311" s="6"/>
      <c r="AM311" s="3">
        <v>1.2476E-16</v>
      </c>
      <c r="AN311" s="3">
        <v>1.2476E-16</v>
      </c>
      <c r="AO311" s="3">
        <v>2.4951899999999999E-16</v>
      </c>
      <c r="AP311" s="30">
        <v>1.2476E-16</v>
      </c>
      <c r="AR311" s="6"/>
      <c r="AS311" s="3">
        <v>3.8675900000000002E-15</v>
      </c>
      <c r="AT311" s="3">
        <v>4.3666400000000003E-15</v>
      </c>
      <c r="AU311" s="30">
        <v>4.9904399999999999E-15</v>
      </c>
      <c r="AV311" s="3">
        <v>3.61807E-15</v>
      </c>
    </row>
    <row r="312" spans="3:48" x14ac:dyDescent="0.25">
      <c r="C312" s="31">
        <v>1.05423E-13</v>
      </c>
      <c r="D312" s="5">
        <v>8.3989100000000004E-13</v>
      </c>
      <c r="E312" s="3">
        <v>8.73202E-13</v>
      </c>
      <c r="F312" s="30">
        <v>8.6821200000000004E-13</v>
      </c>
      <c r="H312" s="2"/>
      <c r="I312" s="3">
        <v>2.9817899999999999E-14</v>
      </c>
      <c r="J312" s="3">
        <v>2.7172900000000002E-13</v>
      </c>
      <c r="K312" s="3">
        <v>2.8757399999999999E-13</v>
      </c>
      <c r="L312" s="30">
        <v>2.5775600000000002E-13</v>
      </c>
      <c r="N312" s="6"/>
      <c r="O312" s="3">
        <v>2.2082699999999999E-14</v>
      </c>
      <c r="P312" s="3">
        <v>2.5264099999999999E-13</v>
      </c>
      <c r="Q312" s="3">
        <v>2.7222900000000002E-13</v>
      </c>
      <c r="R312" s="30">
        <v>2.7447399999999998E-13</v>
      </c>
      <c r="T312" s="6"/>
      <c r="U312" s="3">
        <v>2.63246E-14</v>
      </c>
      <c r="V312" s="3">
        <v>2.3080800000000001E-13</v>
      </c>
      <c r="W312" s="3">
        <v>2.43658E-13</v>
      </c>
      <c r="X312" s="35">
        <v>2.19205E-13</v>
      </c>
      <c r="Z312" s="6"/>
      <c r="AA312" s="3">
        <v>5.9885300000000003E-15</v>
      </c>
      <c r="AB312" s="3">
        <v>2.29685E-13</v>
      </c>
      <c r="AC312" s="3">
        <v>2.21451E-13</v>
      </c>
      <c r="AD312" s="30">
        <v>2.1421500000000001E-13</v>
      </c>
      <c r="AF312" s="6"/>
      <c r="AG312" s="3">
        <v>6.2380399999999997E-16</v>
      </c>
      <c r="AH312" s="3">
        <v>1.4222700000000001E-14</v>
      </c>
      <c r="AI312" s="3">
        <v>1.6967500000000001E-14</v>
      </c>
      <c r="AJ312" s="30">
        <v>1.48465E-14</v>
      </c>
      <c r="AL312" s="6"/>
      <c r="AM312" s="3">
        <v>1.2476E-16</v>
      </c>
      <c r="AN312" s="3">
        <v>1.2476E-16</v>
      </c>
      <c r="AO312" s="3">
        <v>2.4951899999999999E-16</v>
      </c>
      <c r="AP312" s="30">
        <v>1.2476E-16</v>
      </c>
      <c r="AR312" s="6"/>
      <c r="AS312" s="3">
        <v>3.8675900000000002E-15</v>
      </c>
      <c r="AT312" s="3">
        <v>4.2418699999999996E-15</v>
      </c>
      <c r="AU312" s="30">
        <v>2.4952199999999999E-16</v>
      </c>
      <c r="AV312" s="3">
        <v>3.61807E-15</v>
      </c>
    </row>
    <row r="313" spans="3:48" x14ac:dyDescent="0.25">
      <c r="C313" s="31">
        <v>1.0504899999999999E-13</v>
      </c>
      <c r="D313" s="5">
        <v>8.3552500000000002E-13</v>
      </c>
      <c r="E313" s="3">
        <v>8.7307800000000001E-13</v>
      </c>
      <c r="F313" s="30">
        <v>8.6746300000000004E-13</v>
      </c>
      <c r="H313" s="2"/>
      <c r="I313" s="3">
        <v>2.9817899999999999E-14</v>
      </c>
      <c r="J313" s="3">
        <v>2.7148000000000002E-13</v>
      </c>
      <c r="K313" s="3">
        <v>2.8645099999999998E-13</v>
      </c>
      <c r="L313" s="30">
        <v>2.5650900000000001E-13</v>
      </c>
      <c r="N313" s="6"/>
      <c r="O313" s="3">
        <v>2.1708400000000001E-14</v>
      </c>
      <c r="P313" s="3">
        <v>2.5226699999999998E-13</v>
      </c>
      <c r="Q313" s="3">
        <v>2.6898499999999999E-13</v>
      </c>
      <c r="R313" s="30">
        <v>2.7310200000000001E-13</v>
      </c>
      <c r="T313" s="6"/>
      <c r="U313" s="3">
        <v>2.6074999999999999E-14</v>
      </c>
      <c r="V313" s="3">
        <v>2.3080800000000001E-13</v>
      </c>
      <c r="W313" s="3">
        <v>2.4191200000000002E-13</v>
      </c>
      <c r="X313" s="35">
        <v>2.16336E-13</v>
      </c>
      <c r="Z313" s="6"/>
      <c r="AA313" s="3">
        <v>5.8637700000000002E-15</v>
      </c>
      <c r="AB313" s="3">
        <v>2.26067E-13</v>
      </c>
      <c r="AC313" s="3">
        <v>2.21201E-13</v>
      </c>
      <c r="AD313" s="30">
        <v>2.12343E-13</v>
      </c>
      <c r="AF313" s="6"/>
      <c r="AG313" s="3">
        <v>6.2380399999999997E-16</v>
      </c>
      <c r="AH313" s="3">
        <v>1.3848499999999999E-14</v>
      </c>
      <c r="AI313" s="3">
        <v>1.6468399999999999E-14</v>
      </c>
      <c r="AJ313" s="30">
        <v>1.34742E-14</v>
      </c>
      <c r="AL313" s="6"/>
      <c r="AM313" s="3">
        <v>1.2476E-16</v>
      </c>
      <c r="AN313" s="3">
        <v>1.2476E-16</v>
      </c>
      <c r="AO313" s="3">
        <v>2.4951899999999999E-16</v>
      </c>
      <c r="AP313" s="30">
        <v>1.2476E-16</v>
      </c>
      <c r="AR313" s="6"/>
      <c r="AS313" s="3">
        <v>3.7428300000000001E-15</v>
      </c>
      <c r="AT313" s="3">
        <v>4.2418699999999996E-15</v>
      </c>
      <c r="AU313" s="30">
        <v>3.7428299999999999E-16</v>
      </c>
      <c r="AV313" s="3">
        <v>3.61807E-15</v>
      </c>
    </row>
    <row r="314" spans="3:48" x14ac:dyDescent="0.25">
      <c r="C314" s="31">
        <v>1.0429999999999999E-13</v>
      </c>
      <c r="D314" s="5">
        <v>8.34402E-13</v>
      </c>
      <c r="E314" s="3">
        <v>8.6322199999999997E-13</v>
      </c>
      <c r="F314" s="30">
        <v>8.6708900000000002E-13</v>
      </c>
      <c r="H314" s="2"/>
      <c r="I314" s="3">
        <v>2.9693100000000001E-14</v>
      </c>
      <c r="J314" s="3">
        <v>2.7023199999999999E-13</v>
      </c>
      <c r="K314" s="3">
        <v>2.8620199999999998E-13</v>
      </c>
      <c r="L314" s="30">
        <v>2.55635E-13</v>
      </c>
      <c r="N314" s="6"/>
      <c r="O314" s="3">
        <v>2.1084599999999999E-14</v>
      </c>
      <c r="P314" s="3">
        <v>2.5126899999999998E-13</v>
      </c>
      <c r="Q314" s="3">
        <v>2.6823599999999999E-13</v>
      </c>
      <c r="R314" s="30">
        <v>2.7123E-13</v>
      </c>
      <c r="T314" s="6"/>
      <c r="U314" s="3">
        <v>2.5950299999999999E-14</v>
      </c>
      <c r="V314" s="3">
        <v>2.2756399999999998E-13</v>
      </c>
      <c r="W314" s="3">
        <v>2.4103800000000001E-13</v>
      </c>
      <c r="X314" s="35">
        <v>2.1596099999999999E-13</v>
      </c>
      <c r="Z314" s="6"/>
      <c r="AA314" s="3">
        <v>5.7390100000000001E-15</v>
      </c>
      <c r="AB314" s="3">
        <v>2.2544300000000001E-13</v>
      </c>
      <c r="AC314" s="3">
        <v>2.2082699999999999E-13</v>
      </c>
      <c r="AD314" s="30">
        <v>2.0934899999999999E-13</v>
      </c>
      <c r="AF314" s="6"/>
      <c r="AG314" s="3">
        <v>4.9904299999999997E-16</v>
      </c>
      <c r="AH314" s="3">
        <v>1.2975100000000001E-14</v>
      </c>
      <c r="AI314" s="3">
        <v>1.6218899999999999E-14</v>
      </c>
      <c r="AJ314" s="30">
        <v>1.33494E-14</v>
      </c>
      <c r="AL314" s="6"/>
      <c r="AM314" s="3">
        <v>1.2476E-16</v>
      </c>
      <c r="AN314" s="3"/>
      <c r="AO314" s="3">
        <v>2.4951899999999999E-16</v>
      </c>
      <c r="AP314" s="30">
        <v>1.2476E-16</v>
      </c>
      <c r="AR314" s="6"/>
      <c r="AS314" s="3">
        <v>3.7428300000000001E-15</v>
      </c>
      <c r="AT314" s="3">
        <v>4.2418699999999996E-15</v>
      </c>
      <c r="AU314" s="30">
        <v>2.4952199999999999E-16</v>
      </c>
      <c r="AV314" s="3">
        <v>3.61807E-15</v>
      </c>
    </row>
    <row r="315" spans="3:48" x14ac:dyDescent="0.25">
      <c r="C315" s="31">
        <v>1.04175E-13</v>
      </c>
      <c r="D315" s="5">
        <v>8.2629200000000005E-13</v>
      </c>
      <c r="E315" s="3">
        <v>8.6297199999999995E-13</v>
      </c>
      <c r="F315" s="30">
        <v>8.6409499999999996E-13</v>
      </c>
      <c r="H315" s="2"/>
      <c r="I315" s="3">
        <v>2.9568299999999997E-14</v>
      </c>
      <c r="J315" s="3">
        <v>2.65616E-13</v>
      </c>
      <c r="K315" s="3">
        <v>2.8158500000000001E-13</v>
      </c>
      <c r="L315" s="30">
        <v>2.5401300000000001E-13</v>
      </c>
      <c r="N315" s="6"/>
      <c r="O315" s="3">
        <v>2.0211299999999999E-14</v>
      </c>
      <c r="P315" s="3">
        <v>2.4914800000000001E-13</v>
      </c>
      <c r="Q315" s="3">
        <v>2.6611500000000002E-13</v>
      </c>
      <c r="R315" s="30">
        <v>2.70108E-13</v>
      </c>
      <c r="T315" s="6"/>
      <c r="U315" s="3">
        <v>2.5950299999999999E-14</v>
      </c>
      <c r="V315" s="3">
        <v>2.2519400000000001E-13</v>
      </c>
      <c r="W315" s="3">
        <v>2.4028999999999998E-13</v>
      </c>
      <c r="X315" s="35">
        <v>2.1596099999999999E-13</v>
      </c>
      <c r="Z315" s="6"/>
      <c r="AA315" s="3">
        <v>5.7390100000000001E-15</v>
      </c>
      <c r="AB315" s="3">
        <v>2.23198E-13</v>
      </c>
      <c r="AC315" s="3">
        <v>2.1708400000000001E-13</v>
      </c>
      <c r="AD315" s="30">
        <v>2.0909999999999999E-13</v>
      </c>
      <c r="AF315" s="6"/>
      <c r="AG315" s="3">
        <v>4.9904299999999997E-16</v>
      </c>
      <c r="AH315" s="3">
        <v>1.2600800000000001E-14</v>
      </c>
      <c r="AI315" s="3">
        <v>1.5345599999999999E-14</v>
      </c>
      <c r="AJ315" s="30">
        <v>1.30999E-14</v>
      </c>
      <c r="AL315" s="6"/>
      <c r="AM315" s="3">
        <v>1.2476E-16</v>
      </c>
      <c r="AN315" s="3"/>
      <c r="AO315" s="3">
        <v>2.4951899999999999E-16</v>
      </c>
      <c r="AP315" s="30">
        <v>1.2476E-16</v>
      </c>
      <c r="AR315" s="6"/>
      <c r="AS315" s="3">
        <v>3.7428300000000001E-15</v>
      </c>
      <c r="AT315" s="3">
        <v>4.2418699999999996E-15</v>
      </c>
      <c r="AU315" s="30">
        <v>4.9904399999999999E-16</v>
      </c>
      <c r="AV315" s="3">
        <v>3.49331E-15</v>
      </c>
    </row>
    <row r="316" spans="3:48" x14ac:dyDescent="0.25">
      <c r="C316" s="31">
        <v>1.0405100000000001E-13</v>
      </c>
      <c r="D316" s="5">
        <v>8.2329799999999999E-13</v>
      </c>
      <c r="E316" s="3">
        <v>8.6147500000000002E-13</v>
      </c>
      <c r="F316" s="30">
        <v>8.6322199999999997E-13</v>
      </c>
      <c r="H316" s="2"/>
      <c r="I316" s="3">
        <v>2.9568299999999997E-14</v>
      </c>
      <c r="J316" s="3">
        <v>2.5875400000000002E-13</v>
      </c>
      <c r="K316" s="3">
        <v>2.8108599999999998E-13</v>
      </c>
      <c r="L316" s="30">
        <v>2.5064499999999999E-13</v>
      </c>
      <c r="N316" s="6"/>
      <c r="O316" s="3">
        <v>2.0211299999999999E-14</v>
      </c>
      <c r="P316" s="3">
        <v>2.4615299999999998E-13</v>
      </c>
      <c r="Q316" s="3">
        <v>2.6287099999999999E-13</v>
      </c>
      <c r="R316" s="30">
        <v>2.6923399999999999E-13</v>
      </c>
      <c r="T316" s="6"/>
      <c r="U316" s="3">
        <v>2.5825500000000001E-14</v>
      </c>
      <c r="V316" s="3">
        <v>2.2432E-13</v>
      </c>
      <c r="W316" s="3">
        <v>2.3504999999999999E-13</v>
      </c>
      <c r="X316" s="35">
        <v>2.12593E-13</v>
      </c>
      <c r="Z316" s="6"/>
      <c r="AA316" s="3">
        <v>5.6142500000000001E-15</v>
      </c>
      <c r="AB316" s="3">
        <v>2.23198E-13</v>
      </c>
      <c r="AC316" s="3">
        <v>2.1708400000000001E-13</v>
      </c>
      <c r="AD316" s="30">
        <v>2.0647999999999999E-13</v>
      </c>
      <c r="AF316" s="6"/>
      <c r="AG316" s="3">
        <v>4.9904299999999997E-16</v>
      </c>
      <c r="AH316" s="3">
        <v>1.21018E-14</v>
      </c>
      <c r="AI316" s="3">
        <v>1.47218E-14</v>
      </c>
      <c r="AJ316" s="30">
        <v>1.27256E-14</v>
      </c>
      <c r="AL316" s="6"/>
      <c r="AM316" s="3">
        <v>1.2476E-16</v>
      </c>
      <c r="AN316" s="3"/>
      <c r="AO316" s="3">
        <v>2.4951899999999999E-16</v>
      </c>
      <c r="AP316" s="30">
        <v>1.2476E-16</v>
      </c>
      <c r="AR316" s="6"/>
      <c r="AS316" s="3">
        <v>3.7428300000000001E-15</v>
      </c>
      <c r="AT316" s="3">
        <v>4.1171100000000004E-15</v>
      </c>
      <c r="AU316" s="30">
        <v>2.4952199999999999E-16</v>
      </c>
      <c r="AV316" s="3">
        <v>3.49331E-15</v>
      </c>
    </row>
    <row r="317" spans="3:48" x14ac:dyDescent="0.25">
      <c r="C317" s="31">
        <v>1.0405100000000001E-13</v>
      </c>
      <c r="D317" s="5">
        <v>8.2292399999999998E-13</v>
      </c>
      <c r="E317" s="3">
        <v>8.50746E-13</v>
      </c>
      <c r="F317" s="30">
        <v>8.6209899999999996E-13</v>
      </c>
      <c r="H317" s="2"/>
      <c r="I317" s="3">
        <v>2.9443600000000001E-14</v>
      </c>
      <c r="J317" s="3">
        <v>2.5725699999999999E-13</v>
      </c>
      <c r="K317" s="3">
        <v>2.7946500000000001E-13</v>
      </c>
      <c r="L317" s="30">
        <v>2.4952200000000002E-13</v>
      </c>
      <c r="N317" s="6"/>
      <c r="O317" s="3">
        <v>1.9961799999999999E-14</v>
      </c>
      <c r="P317" s="3">
        <v>2.44407E-13</v>
      </c>
      <c r="Q317" s="3">
        <v>2.6062599999999998E-13</v>
      </c>
      <c r="R317" s="30">
        <v>2.6698899999999998E-13</v>
      </c>
      <c r="T317" s="6"/>
      <c r="U317" s="3">
        <v>2.5825500000000001E-14</v>
      </c>
      <c r="V317" s="3">
        <v>2.2257399999999999E-13</v>
      </c>
      <c r="W317" s="3">
        <v>2.3480000000000002E-13</v>
      </c>
      <c r="X317" s="35">
        <v>2.1159499999999999E-13</v>
      </c>
      <c r="Z317" s="6"/>
      <c r="AA317" s="3">
        <v>5.3647299999999999E-15</v>
      </c>
      <c r="AB317" s="3">
        <v>2.2294800000000001E-13</v>
      </c>
      <c r="AC317" s="3">
        <v>2.15587E-13</v>
      </c>
      <c r="AD317" s="30">
        <v>2.0610500000000001E-13</v>
      </c>
      <c r="AF317" s="6"/>
      <c r="AG317" s="3">
        <v>4.9904299999999997E-16</v>
      </c>
      <c r="AH317" s="3">
        <v>1.1478000000000001E-14</v>
      </c>
      <c r="AI317" s="3">
        <v>1.47218E-14</v>
      </c>
      <c r="AJ317" s="30">
        <v>1.16028E-14</v>
      </c>
      <c r="AL317" s="6"/>
      <c r="AM317" s="3">
        <v>1.2476E-16</v>
      </c>
      <c r="AN317" s="3"/>
      <c r="AO317" s="3">
        <v>2.4951899999999999E-16</v>
      </c>
      <c r="AP317" s="30">
        <v>1.2476E-16</v>
      </c>
      <c r="AR317" s="6"/>
      <c r="AS317" s="3">
        <v>3.7428300000000001E-15</v>
      </c>
      <c r="AT317" s="3">
        <v>4.1171100000000004E-15</v>
      </c>
      <c r="AU317" s="30">
        <v>1.24761E-16</v>
      </c>
      <c r="AV317" s="3">
        <v>3.3685499999999999E-15</v>
      </c>
    </row>
    <row r="318" spans="3:48" x14ac:dyDescent="0.25">
      <c r="C318" s="31">
        <v>1.02554E-13</v>
      </c>
      <c r="D318" s="5">
        <v>8.1993000000000002E-13</v>
      </c>
      <c r="E318" s="3">
        <v>8.4837500000000001E-13</v>
      </c>
      <c r="F318" s="30">
        <v>8.58356E-13</v>
      </c>
      <c r="H318" s="2"/>
      <c r="I318" s="3">
        <v>2.9318800000000003E-14</v>
      </c>
      <c r="J318" s="3">
        <v>2.55386E-13</v>
      </c>
      <c r="K318" s="3">
        <v>2.7871600000000001E-13</v>
      </c>
      <c r="L318" s="30">
        <v>2.4752600000000002E-13</v>
      </c>
      <c r="N318" s="6"/>
      <c r="O318" s="3">
        <v>1.95875E-14</v>
      </c>
      <c r="P318" s="3">
        <v>2.4428199999999999E-13</v>
      </c>
      <c r="Q318" s="3">
        <v>2.5800599999999999E-13</v>
      </c>
      <c r="R318" s="30">
        <v>2.6698899999999998E-13</v>
      </c>
      <c r="T318" s="6"/>
      <c r="U318" s="3">
        <v>2.5825500000000001E-14</v>
      </c>
      <c r="V318" s="3">
        <v>2.2182499999999999E-13</v>
      </c>
      <c r="W318" s="3">
        <v>2.3255399999999999E-13</v>
      </c>
      <c r="X318" s="35">
        <v>2.09474E-13</v>
      </c>
      <c r="Z318" s="6"/>
      <c r="AA318" s="3">
        <v>5.3647299999999999E-15</v>
      </c>
      <c r="AB318" s="3">
        <v>2.1933000000000001E-13</v>
      </c>
      <c r="AC318" s="3">
        <v>2.15338E-13</v>
      </c>
      <c r="AD318" s="30">
        <v>2.0585600000000001E-13</v>
      </c>
      <c r="AF318" s="6"/>
      <c r="AG318" s="3">
        <v>4.9904299999999997E-16</v>
      </c>
      <c r="AH318" s="3">
        <v>1.0979E-14</v>
      </c>
      <c r="AI318" s="3">
        <v>1.4597E-14</v>
      </c>
      <c r="AJ318" s="30">
        <v>1.1103699999999999E-14</v>
      </c>
      <c r="AL318" s="6"/>
      <c r="AM318" s="3">
        <v>1.2476E-16</v>
      </c>
      <c r="AN318" s="3"/>
      <c r="AO318" s="3">
        <v>2.4951899999999999E-16</v>
      </c>
      <c r="AP318" s="30">
        <v>1.2476E-16</v>
      </c>
      <c r="AR318" s="6"/>
      <c r="AS318" s="3">
        <v>3.7428300000000001E-15</v>
      </c>
      <c r="AT318" s="3">
        <v>4.1171100000000004E-15</v>
      </c>
      <c r="AU318" s="30">
        <v>4.9904399999999999E-16</v>
      </c>
      <c r="AV318" s="3">
        <v>3.3685499999999999E-15</v>
      </c>
    </row>
    <row r="319" spans="3:48" x14ac:dyDescent="0.25">
      <c r="C319" s="31">
        <v>1.0193E-13</v>
      </c>
      <c r="D319" s="5">
        <v>8.1868200000000005E-13</v>
      </c>
      <c r="E319" s="3">
        <v>8.46379E-13</v>
      </c>
      <c r="F319" s="30">
        <v>8.52742E-13</v>
      </c>
      <c r="H319" s="2"/>
      <c r="I319" s="3">
        <v>2.9318800000000003E-14</v>
      </c>
      <c r="J319" s="3">
        <v>2.5526099999999999E-13</v>
      </c>
      <c r="K319" s="3">
        <v>2.7821699999999998E-13</v>
      </c>
      <c r="L319" s="30">
        <v>2.4527999999999999E-13</v>
      </c>
      <c r="N319" s="6"/>
      <c r="O319" s="3">
        <v>1.9338E-14</v>
      </c>
      <c r="P319" s="3">
        <v>2.4278500000000001E-13</v>
      </c>
      <c r="Q319" s="3">
        <v>2.5451199999999999E-13</v>
      </c>
      <c r="R319" s="30">
        <v>2.6586600000000002E-13</v>
      </c>
      <c r="T319" s="6"/>
      <c r="U319" s="3">
        <v>2.5576000000000001E-14</v>
      </c>
      <c r="V319" s="3">
        <v>2.2057699999999999E-13</v>
      </c>
      <c r="W319" s="3">
        <v>2.2494400000000001E-13</v>
      </c>
      <c r="X319" s="35">
        <v>2.0909899999999999E-13</v>
      </c>
      <c r="Z319" s="6"/>
      <c r="AA319" s="3">
        <v>5.2399699999999998E-15</v>
      </c>
      <c r="AB319" s="3">
        <v>2.1883100000000001E-13</v>
      </c>
      <c r="AC319" s="3">
        <v>2.1434E-13</v>
      </c>
      <c r="AD319" s="30">
        <v>2.0535700000000001E-13</v>
      </c>
      <c r="AF319" s="6"/>
      <c r="AG319" s="3">
        <v>4.9904299999999997E-16</v>
      </c>
      <c r="AH319" s="3">
        <v>1.08542E-14</v>
      </c>
      <c r="AI319" s="3">
        <v>1.44723E-14</v>
      </c>
      <c r="AJ319" s="30">
        <v>1.07294E-14</v>
      </c>
      <c r="AL319" s="6"/>
      <c r="AM319" s="3">
        <v>1.2476E-16</v>
      </c>
      <c r="AN319" s="3"/>
      <c r="AO319" s="3">
        <v>2.4951899999999999E-16</v>
      </c>
      <c r="AP319" s="30">
        <v>1.2476E-16</v>
      </c>
      <c r="AR319" s="6"/>
      <c r="AS319" s="3">
        <v>3.61807E-15</v>
      </c>
      <c r="AT319" s="3">
        <v>3.9923500000000003E-15</v>
      </c>
      <c r="AU319" s="30">
        <v>4.9904399999999999E-16</v>
      </c>
      <c r="AV319" s="3">
        <v>3.2437900000000002E-15</v>
      </c>
    </row>
    <row r="320" spans="3:48" x14ac:dyDescent="0.25">
      <c r="C320" s="31">
        <v>1.01555E-13</v>
      </c>
      <c r="D320" s="5">
        <v>8.1394100000000004E-13</v>
      </c>
      <c r="E320" s="3">
        <v>8.4026600000000003E-13</v>
      </c>
      <c r="F320" s="30">
        <v>8.4825000000000005E-13</v>
      </c>
      <c r="H320" s="2"/>
      <c r="I320" s="3">
        <v>2.8694999999999998E-14</v>
      </c>
      <c r="J320" s="3">
        <v>2.5513600000000002E-13</v>
      </c>
      <c r="K320" s="3">
        <v>2.7734399999999999E-13</v>
      </c>
      <c r="L320" s="30">
        <v>2.4378300000000001E-13</v>
      </c>
      <c r="N320" s="6"/>
      <c r="O320" s="3">
        <v>1.9338E-14</v>
      </c>
      <c r="P320" s="3">
        <v>2.3816900000000001E-13</v>
      </c>
      <c r="Q320" s="3">
        <v>2.5426299999999998E-13</v>
      </c>
      <c r="R320" s="30">
        <v>2.6461799999999999E-13</v>
      </c>
      <c r="T320" s="6"/>
      <c r="U320" s="3">
        <v>2.53265E-14</v>
      </c>
      <c r="V320" s="3">
        <v>2.1982900000000001E-13</v>
      </c>
      <c r="W320" s="3">
        <v>2.2432E-13</v>
      </c>
      <c r="X320" s="35">
        <v>2.0810099999999999E-13</v>
      </c>
      <c r="Z320" s="6"/>
      <c r="AA320" s="3">
        <v>5.2399699999999998E-15</v>
      </c>
      <c r="AB320" s="3">
        <v>2.1271800000000001E-13</v>
      </c>
      <c r="AC320" s="3">
        <v>2.1421500000000001E-13</v>
      </c>
      <c r="AD320" s="30">
        <v>2.0448299999999999E-13</v>
      </c>
      <c r="AF320" s="6"/>
      <c r="AG320" s="3">
        <v>4.9904299999999997E-16</v>
      </c>
      <c r="AH320" s="3">
        <v>9.60658E-15</v>
      </c>
      <c r="AI320" s="3">
        <v>1.4222700000000001E-14</v>
      </c>
      <c r="AJ320" s="30">
        <v>1.02304E-14</v>
      </c>
      <c r="AL320" s="6"/>
      <c r="AM320" s="3">
        <v>1.2476E-16</v>
      </c>
      <c r="AN320" s="3"/>
      <c r="AO320" s="3">
        <v>2.4951899999999999E-16</v>
      </c>
      <c r="AP320" s="30">
        <v>1.2476E-16</v>
      </c>
      <c r="AR320" s="6"/>
      <c r="AS320" s="3">
        <v>3.61807E-15</v>
      </c>
      <c r="AT320" s="3">
        <v>3.8675900000000002E-15</v>
      </c>
      <c r="AU320" s="30">
        <v>1.24761E-16</v>
      </c>
      <c r="AV320" s="3">
        <v>3.2437900000000002E-15</v>
      </c>
    </row>
    <row r="321" spans="3:48" x14ac:dyDescent="0.25">
      <c r="C321" s="31">
        <v>1.01431E-13</v>
      </c>
      <c r="D321" s="5">
        <v>8.1356700000000002E-13</v>
      </c>
      <c r="E321" s="3">
        <v>8.3951700000000003E-13</v>
      </c>
      <c r="F321" s="30">
        <v>8.4400800000000001E-13</v>
      </c>
      <c r="H321" s="2"/>
      <c r="I321" s="3">
        <v>2.8694999999999998E-14</v>
      </c>
      <c r="J321" s="3">
        <v>2.54637E-13</v>
      </c>
      <c r="K321" s="3">
        <v>2.7659499999999999E-13</v>
      </c>
      <c r="L321" s="30">
        <v>2.43409E-13</v>
      </c>
      <c r="N321" s="6"/>
      <c r="O321" s="3">
        <v>1.9088400000000001E-14</v>
      </c>
      <c r="P321" s="3">
        <v>2.3779399999999998E-13</v>
      </c>
      <c r="Q321" s="3">
        <v>2.5376400000000001E-13</v>
      </c>
      <c r="R321" s="30">
        <v>2.6387000000000002E-13</v>
      </c>
      <c r="T321" s="6"/>
      <c r="U321" s="3">
        <v>2.5201699999999999E-14</v>
      </c>
      <c r="V321" s="3">
        <v>2.1982900000000001E-13</v>
      </c>
      <c r="W321" s="3">
        <v>2.2307299999999999E-13</v>
      </c>
      <c r="X321" s="35">
        <v>2.0423399999999999E-13</v>
      </c>
      <c r="Z321" s="6"/>
      <c r="AA321" s="3">
        <v>5.2399699999999998E-15</v>
      </c>
      <c r="AB321" s="3">
        <v>2.1246800000000001E-13</v>
      </c>
      <c r="AC321" s="3">
        <v>2.1409E-13</v>
      </c>
      <c r="AD321" s="30">
        <v>2.04359E-13</v>
      </c>
      <c r="AF321" s="6"/>
      <c r="AG321" s="3">
        <v>4.9904299999999997E-16</v>
      </c>
      <c r="AH321" s="3">
        <v>9.60658E-15</v>
      </c>
      <c r="AI321" s="3">
        <v>1.4098E-14</v>
      </c>
      <c r="AJ321" s="30">
        <v>1.02304E-14</v>
      </c>
      <c r="AL321" s="6"/>
      <c r="AM321" s="3">
        <v>1.2476E-16</v>
      </c>
      <c r="AN321" s="3"/>
      <c r="AO321" s="3">
        <v>2.4951899999999999E-16</v>
      </c>
      <c r="AP321" s="30">
        <v>1.2476E-16</v>
      </c>
      <c r="AR321" s="6"/>
      <c r="AS321" s="3">
        <v>3.61807E-15</v>
      </c>
      <c r="AT321" s="3">
        <v>3.8675900000000002E-15</v>
      </c>
      <c r="AU321" s="30">
        <v>1.2476099999999999E-14</v>
      </c>
      <c r="AV321" s="3">
        <v>3.2437900000000002E-15</v>
      </c>
    </row>
    <row r="322" spans="3:48" x14ac:dyDescent="0.25">
      <c r="C322" s="31">
        <v>1.01431E-13</v>
      </c>
      <c r="D322" s="5">
        <v>8.0932499999999999E-13</v>
      </c>
      <c r="E322" s="3">
        <v>8.3914300000000001E-13</v>
      </c>
      <c r="F322" s="30">
        <v>8.4126399999999998E-13</v>
      </c>
      <c r="H322" s="2"/>
      <c r="I322" s="3">
        <v>2.8196E-14</v>
      </c>
      <c r="J322" s="3">
        <v>2.51768E-13</v>
      </c>
      <c r="K322" s="3">
        <v>2.7360099999999999E-13</v>
      </c>
      <c r="L322" s="30">
        <v>2.4278500000000001E-13</v>
      </c>
      <c r="N322" s="6"/>
      <c r="O322" s="3">
        <v>1.9088400000000001E-14</v>
      </c>
      <c r="P322" s="3">
        <v>2.37295E-13</v>
      </c>
      <c r="Q322" s="3">
        <v>2.5276600000000001E-13</v>
      </c>
      <c r="R322" s="30">
        <v>2.60251E-13</v>
      </c>
      <c r="T322" s="6"/>
      <c r="U322" s="3">
        <v>2.5201699999999999E-14</v>
      </c>
      <c r="V322" s="3">
        <v>2.1908000000000001E-13</v>
      </c>
      <c r="W322" s="3">
        <v>2.2269800000000001E-13</v>
      </c>
      <c r="X322" s="35">
        <v>2.0336E-13</v>
      </c>
      <c r="Z322" s="6"/>
      <c r="AA322" s="3">
        <v>5.2399699999999998E-15</v>
      </c>
      <c r="AB322" s="3">
        <v>2.11221E-13</v>
      </c>
      <c r="AC322" s="3">
        <v>2.13342E-13</v>
      </c>
      <c r="AD322" s="30">
        <v>2.0373499999999999E-13</v>
      </c>
      <c r="AF322" s="6"/>
      <c r="AG322" s="3">
        <v>4.9904299999999997E-16</v>
      </c>
      <c r="AH322" s="3">
        <v>9.2322999999999998E-15</v>
      </c>
      <c r="AI322" s="3">
        <v>1.3848499999999999E-14</v>
      </c>
      <c r="AJ322" s="30">
        <v>1.0105600000000001E-14</v>
      </c>
      <c r="AL322" s="6"/>
      <c r="AM322" s="3">
        <v>1.2476E-16</v>
      </c>
      <c r="AN322" s="3"/>
      <c r="AO322" s="3">
        <v>2.4951899999999999E-16</v>
      </c>
      <c r="AP322" s="30">
        <v>1.2476E-16</v>
      </c>
      <c r="AR322" s="6"/>
      <c r="AS322" s="3">
        <v>3.61807E-15</v>
      </c>
      <c r="AT322" s="3">
        <v>3.61807E-15</v>
      </c>
      <c r="AU322" s="30">
        <v>3.1227699999999999E-13</v>
      </c>
      <c r="AV322" s="3">
        <v>3.2437900000000002E-15</v>
      </c>
    </row>
    <row r="323" spans="3:48" x14ac:dyDescent="0.25">
      <c r="C323" s="31">
        <v>1.01181E-13</v>
      </c>
      <c r="D323" s="5">
        <v>8.0558200000000003E-13</v>
      </c>
      <c r="E323" s="3">
        <v>8.37271E-13</v>
      </c>
      <c r="F323" s="30">
        <v>8.3989100000000004E-13</v>
      </c>
      <c r="H323" s="2"/>
      <c r="I323" s="3">
        <v>2.8071199999999999E-14</v>
      </c>
      <c r="J323" s="3">
        <v>2.5114400000000002E-13</v>
      </c>
      <c r="K323" s="3">
        <v>2.7235300000000001E-13</v>
      </c>
      <c r="L323" s="30">
        <v>2.4103800000000001E-13</v>
      </c>
      <c r="N323" s="6"/>
      <c r="O323" s="3">
        <v>1.8963699999999999E-14</v>
      </c>
      <c r="P323" s="3">
        <v>2.3492499999999998E-13</v>
      </c>
      <c r="Q323" s="3">
        <v>2.4989599999999999E-13</v>
      </c>
      <c r="R323" s="30">
        <v>2.60251E-13</v>
      </c>
      <c r="T323" s="6"/>
      <c r="U323" s="3">
        <v>2.4952199999999999E-14</v>
      </c>
      <c r="V323" s="3">
        <v>2.1833200000000001E-13</v>
      </c>
      <c r="W323" s="3">
        <v>2.2269800000000001E-13</v>
      </c>
      <c r="X323" s="35">
        <v>2.0049100000000001E-13</v>
      </c>
      <c r="Z323" s="6"/>
      <c r="AA323" s="3">
        <v>4.9904499999999997E-15</v>
      </c>
      <c r="AB323" s="3">
        <v>2.09474E-13</v>
      </c>
      <c r="AC323" s="3">
        <v>2.0647999999999999E-13</v>
      </c>
      <c r="AD323" s="30">
        <v>2.03111E-13</v>
      </c>
      <c r="AF323" s="6"/>
      <c r="AG323" s="3">
        <v>4.9904299999999997E-16</v>
      </c>
      <c r="AH323" s="3">
        <v>8.6084999999999994E-15</v>
      </c>
      <c r="AI323" s="3">
        <v>1.2975100000000001E-14</v>
      </c>
      <c r="AJ323" s="30">
        <v>9.98087E-15</v>
      </c>
      <c r="AL323" s="6"/>
      <c r="AM323" s="3"/>
      <c r="AN323" s="3"/>
      <c r="AO323" s="3">
        <v>2.4951899999999999E-16</v>
      </c>
      <c r="AP323" s="30">
        <v>1.2476E-16</v>
      </c>
      <c r="AR323" s="6"/>
      <c r="AS323" s="3">
        <v>3.49331E-15</v>
      </c>
      <c r="AT323" s="3">
        <v>3.49331E-15</v>
      </c>
      <c r="AU323" s="30">
        <v>1.24761E-16</v>
      </c>
      <c r="AV323" s="3">
        <v>3.2437900000000002E-15</v>
      </c>
    </row>
    <row r="324" spans="3:48" x14ac:dyDescent="0.25">
      <c r="C324" s="31">
        <v>1.01181E-13</v>
      </c>
      <c r="D324" s="5">
        <v>8.0346099999999996E-13</v>
      </c>
      <c r="E324" s="3">
        <v>8.3028500000000003E-13</v>
      </c>
      <c r="F324" s="30">
        <v>8.3876800000000003E-13</v>
      </c>
      <c r="H324" s="2"/>
      <c r="I324" s="3">
        <v>2.8071199999999999E-14</v>
      </c>
      <c r="J324" s="3">
        <v>2.49272E-13</v>
      </c>
      <c r="K324" s="3">
        <v>2.7210400000000001E-13</v>
      </c>
      <c r="L324" s="30">
        <v>2.3779399999999998E-13</v>
      </c>
      <c r="N324" s="6"/>
      <c r="O324" s="3">
        <v>1.8838900000000001E-14</v>
      </c>
      <c r="P324" s="3">
        <v>2.3430099999999999E-13</v>
      </c>
      <c r="Q324" s="3">
        <v>2.4789999999999998E-13</v>
      </c>
      <c r="R324" s="30">
        <v>2.5900399999999999E-13</v>
      </c>
      <c r="T324" s="6"/>
      <c r="U324" s="3">
        <v>2.4827400000000001E-14</v>
      </c>
      <c r="V324" s="3">
        <v>2.1770799999999999E-13</v>
      </c>
      <c r="W324" s="3">
        <v>2.20702E-13</v>
      </c>
      <c r="X324" s="35">
        <v>1.97746E-13</v>
      </c>
      <c r="Z324" s="6"/>
      <c r="AA324" s="3">
        <v>4.8656799999999998E-15</v>
      </c>
      <c r="AB324" s="3">
        <v>2.0598099999999999E-13</v>
      </c>
      <c r="AC324" s="3">
        <v>2.0398399999999999E-13</v>
      </c>
      <c r="AD324" s="30">
        <v>2.0198800000000001E-13</v>
      </c>
      <c r="AF324" s="6"/>
      <c r="AG324" s="3">
        <v>3.7428200000000002E-16</v>
      </c>
      <c r="AH324" s="3">
        <v>8.6084999999999994E-15</v>
      </c>
      <c r="AI324" s="3">
        <v>1.2975100000000001E-14</v>
      </c>
      <c r="AJ324" s="30">
        <v>9.4818199999999999E-15</v>
      </c>
      <c r="AL324" s="6"/>
      <c r="AM324" s="3"/>
      <c r="AN324" s="3"/>
      <c r="AO324" s="3">
        <v>2.4951899999999999E-16</v>
      </c>
      <c r="AP324" s="30">
        <v>1.2476E-16</v>
      </c>
      <c r="AR324" s="6"/>
      <c r="AS324" s="3">
        <v>3.49331E-15</v>
      </c>
      <c r="AT324" s="3">
        <v>3.49331E-15</v>
      </c>
      <c r="AU324" s="30">
        <v>1.47218E-14</v>
      </c>
      <c r="AV324" s="3">
        <v>3.2437900000000002E-15</v>
      </c>
    </row>
    <row r="325" spans="3:48" x14ac:dyDescent="0.25">
      <c r="C325" s="31">
        <v>1.01056E-13</v>
      </c>
      <c r="D325" s="5">
        <v>8.0071599999999996E-13</v>
      </c>
      <c r="E325" s="3">
        <v>8.1618699999999996E-13</v>
      </c>
      <c r="F325" s="30">
        <v>8.3802E-13</v>
      </c>
      <c r="H325" s="2"/>
      <c r="I325" s="3">
        <v>2.7946499999999999E-14</v>
      </c>
      <c r="J325" s="3">
        <v>2.49023E-13</v>
      </c>
      <c r="K325" s="3">
        <v>2.7172900000000002E-13</v>
      </c>
      <c r="L325" s="30">
        <v>2.3642200000000001E-13</v>
      </c>
      <c r="N325" s="6"/>
      <c r="O325" s="3">
        <v>1.8838900000000001E-14</v>
      </c>
      <c r="P325" s="3">
        <v>2.3417599999999998E-13</v>
      </c>
      <c r="Q325" s="3">
        <v>2.4415699999999998E-13</v>
      </c>
      <c r="R325" s="30">
        <v>2.5650900000000001E-13</v>
      </c>
      <c r="T325" s="6"/>
      <c r="U325" s="3">
        <v>2.45779E-14</v>
      </c>
      <c r="V325" s="3">
        <v>2.14339E-13</v>
      </c>
      <c r="W325" s="3">
        <v>2.1933000000000001E-13</v>
      </c>
      <c r="X325" s="35">
        <v>1.9587500000000001E-13</v>
      </c>
      <c r="Z325" s="6"/>
      <c r="AA325" s="3">
        <v>4.6161599999999997E-15</v>
      </c>
      <c r="AB325" s="3">
        <v>2.0460800000000001E-13</v>
      </c>
      <c r="AC325" s="3">
        <v>2.03111E-13</v>
      </c>
      <c r="AD325" s="30">
        <v>1.9911899999999999E-13</v>
      </c>
      <c r="AF325" s="6"/>
      <c r="AG325" s="3">
        <v>3.7428200000000002E-16</v>
      </c>
      <c r="AH325" s="3">
        <v>8.4837399999999993E-15</v>
      </c>
      <c r="AI325" s="3">
        <v>1.22266E-14</v>
      </c>
      <c r="AJ325" s="30">
        <v>9.1075399999999997E-15</v>
      </c>
      <c r="AL325" s="6"/>
      <c r="AM325" s="3"/>
      <c r="AN325" s="3"/>
      <c r="AO325" s="3">
        <v>2.4951899999999999E-16</v>
      </c>
      <c r="AP325" s="30">
        <v>1.2476E-16</v>
      </c>
      <c r="AR325" s="6"/>
      <c r="AS325" s="3">
        <v>3.3685499999999999E-15</v>
      </c>
      <c r="AT325" s="3">
        <v>3.49331E-15</v>
      </c>
      <c r="AU325" s="30">
        <v>2.61998E-15</v>
      </c>
      <c r="AV325" s="3">
        <v>3.2437900000000002E-15</v>
      </c>
    </row>
    <row r="326" spans="3:48" x14ac:dyDescent="0.25">
      <c r="C326" s="31">
        <v>1.00183E-13</v>
      </c>
      <c r="D326" s="5">
        <v>7.9734799999999999E-13</v>
      </c>
      <c r="E326" s="3">
        <v>8.13317E-13</v>
      </c>
      <c r="F326" s="30">
        <v>8.3390300000000003E-13</v>
      </c>
      <c r="H326" s="2"/>
      <c r="I326" s="3">
        <v>2.7946499999999999E-14</v>
      </c>
      <c r="J326" s="3">
        <v>2.4752600000000002E-13</v>
      </c>
      <c r="K326" s="3">
        <v>2.6910899999999998E-13</v>
      </c>
      <c r="L326" s="30">
        <v>2.3392699999999998E-13</v>
      </c>
      <c r="N326" s="6"/>
      <c r="O326" s="3">
        <v>1.8714200000000001E-14</v>
      </c>
      <c r="P326" s="3">
        <v>2.3392699999999998E-13</v>
      </c>
      <c r="Q326" s="3">
        <v>2.4403299999999999E-13</v>
      </c>
      <c r="R326" s="30">
        <v>2.5164299999999999E-13</v>
      </c>
      <c r="T326" s="6"/>
      <c r="U326" s="3">
        <v>2.4453200000000001E-14</v>
      </c>
      <c r="V326" s="3">
        <v>2.13092E-13</v>
      </c>
      <c r="W326" s="3">
        <v>2.1783300000000001E-13</v>
      </c>
      <c r="X326" s="35">
        <v>1.9462700000000001E-13</v>
      </c>
      <c r="Z326" s="6"/>
      <c r="AA326" s="3">
        <v>4.6161599999999997E-15</v>
      </c>
      <c r="AB326" s="3">
        <v>2.0323599999999999E-13</v>
      </c>
      <c r="AC326" s="3">
        <v>2.00865E-13</v>
      </c>
      <c r="AD326" s="30">
        <v>1.9787099999999999E-13</v>
      </c>
      <c r="AF326" s="6"/>
      <c r="AG326" s="3">
        <v>3.7428200000000002E-16</v>
      </c>
      <c r="AH326" s="3">
        <v>8.4837399999999993E-15</v>
      </c>
      <c r="AI326" s="3">
        <v>1.22266E-14</v>
      </c>
      <c r="AJ326" s="30">
        <v>7.8599300000000007E-15</v>
      </c>
      <c r="AL326" s="6"/>
      <c r="AM326" s="3"/>
      <c r="AN326" s="3"/>
      <c r="AO326" s="3">
        <v>2.4951899999999999E-16</v>
      </c>
      <c r="AP326" s="30">
        <v>1.2476E-16</v>
      </c>
      <c r="AR326" s="6"/>
      <c r="AS326" s="3">
        <v>3.3685499999999999E-15</v>
      </c>
      <c r="AT326" s="3">
        <v>3.3685499999999999E-15</v>
      </c>
      <c r="AU326" s="30">
        <v>1.24761E-16</v>
      </c>
      <c r="AV326" s="3">
        <v>3.1190300000000001E-15</v>
      </c>
    </row>
    <row r="327" spans="3:48" x14ac:dyDescent="0.25">
      <c r="C327" s="31">
        <v>1.00058E-13</v>
      </c>
      <c r="D327" s="5">
        <v>7.9709799999999996E-13</v>
      </c>
      <c r="E327" s="3">
        <v>8.1119600000000003E-13</v>
      </c>
      <c r="F327" s="30">
        <v>8.2629200000000005E-13</v>
      </c>
      <c r="H327" s="2"/>
      <c r="I327" s="3">
        <v>2.7946499999999999E-14</v>
      </c>
      <c r="J327" s="3">
        <v>2.4740100000000001E-13</v>
      </c>
      <c r="K327" s="3">
        <v>2.6798699999999999E-13</v>
      </c>
      <c r="L327" s="30">
        <v>2.3255399999999999E-13</v>
      </c>
      <c r="N327" s="6"/>
      <c r="O327" s="3">
        <v>1.8714200000000001E-14</v>
      </c>
      <c r="P327" s="3">
        <v>2.3380200000000002E-13</v>
      </c>
      <c r="Q327" s="3">
        <v>2.4353299999999999E-13</v>
      </c>
      <c r="R327" s="30">
        <v>2.5164299999999999E-13</v>
      </c>
      <c r="T327" s="6"/>
      <c r="U327" s="3">
        <v>2.43284E-14</v>
      </c>
      <c r="V327" s="3">
        <v>2.1034699999999999E-13</v>
      </c>
      <c r="W327" s="3">
        <v>2.1446399999999999E-13</v>
      </c>
      <c r="X327" s="35">
        <v>1.9362900000000001E-13</v>
      </c>
      <c r="Z327" s="6"/>
      <c r="AA327" s="3">
        <v>4.3666400000000003E-15</v>
      </c>
      <c r="AB327" s="3">
        <v>2.02113E-13</v>
      </c>
      <c r="AC327" s="3">
        <v>1.9961799999999999E-13</v>
      </c>
      <c r="AD327" s="30">
        <v>1.97746E-13</v>
      </c>
      <c r="AF327" s="6"/>
      <c r="AG327" s="3">
        <v>3.7428200000000002E-16</v>
      </c>
      <c r="AH327" s="3">
        <v>8.1094499999999993E-15</v>
      </c>
      <c r="AI327" s="3">
        <v>1.1103699999999999E-14</v>
      </c>
      <c r="AJ327" s="30">
        <v>7.7351700000000006E-15</v>
      </c>
      <c r="AL327" s="6"/>
      <c r="AM327" s="3"/>
      <c r="AN327" s="3"/>
      <c r="AO327" s="3">
        <v>2.4951899999999999E-16</v>
      </c>
      <c r="AP327" s="30"/>
      <c r="AR327" s="6"/>
      <c r="AS327" s="3">
        <v>3.3685499999999999E-15</v>
      </c>
      <c r="AT327" s="3">
        <v>3.3685499999999999E-15</v>
      </c>
      <c r="AU327" s="30">
        <v>3.8675900000000002E-15</v>
      </c>
      <c r="AV327" s="3">
        <v>3.1190300000000001E-15</v>
      </c>
    </row>
    <row r="328" spans="3:48" x14ac:dyDescent="0.25">
      <c r="C328" s="31">
        <v>9.9808799999999995E-14</v>
      </c>
      <c r="D328" s="5">
        <v>7.9323100000000002E-13</v>
      </c>
      <c r="E328" s="3">
        <v>8.0657999999999998E-13</v>
      </c>
      <c r="F328" s="30">
        <v>8.2516900000000004E-13</v>
      </c>
      <c r="H328" s="2"/>
      <c r="I328" s="3">
        <v>2.7821699999999998E-14</v>
      </c>
      <c r="J328" s="3">
        <v>2.4403200000000001E-13</v>
      </c>
      <c r="K328" s="3">
        <v>2.66614E-13</v>
      </c>
      <c r="L328" s="30">
        <v>2.3193100000000002E-13</v>
      </c>
      <c r="N328" s="6"/>
      <c r="O328" s="3">
        <v>1.83399E-14</v>
      </c>
      <c r="P328" s="3">
        <v>2.31681E-13</v>
      </c>
      <c r="Q328" s="3">
        <v>2.4291000000000002E-13</v>
      </c>
      <c r="R328" s="30">
        <v>2.5064499999999999E-13</v>
      </c>
      <c r="T328" s="6"/>
      <c r="U328" s="3">
        <v>2.4203599999999999E-14</v>
      </c>
      <c r="V328" s="3">
        <v>2.0959799999999999E-13</v>
      </c>
      <c r="W328" s="3">
        <v>2.1446399999999999E-13</v>
      </c>
      <c r="X328" s="35">
        <v>1.9300499999999999E-13</v>
      </c>
      <c r="Z328" s="6"/>
      <c r="AA328" s="3">
        <v>4.2418800000000002E-15</v>
      </c>
      <c r="AB328" s="3">
        <v>1.98245E-13</v>
      </c>
      <c r="AC328" s="3">
        <v>1.9949300000000001E-13</v>
      </c>
      <c r="AD328" s="30">
        <v>1.9762199999999999E-13</v>
      </c>
      <c r="AF328" s="6"/>
      <c r="AG328" s="3">
        <v>3.7428200000000002E-16</v>
      </c>
      <c r="AH328" s="3">
        <v>7.7351700000000006E-15</v>
      </c>
      <c r="AI328" s="3">
        <v>9.98087E-15</v>
      </c>
      <c r="AJ328" s="30">
        <v>6.4875600000000001E-15</v>
      </c>
      <c r="AL328" s="6"/>
      <c r="AM328" s="3"/>
      <c r="AN328" s="3"/>
      <c r="AO328" s="3">
        <v>2.4951899999999999E-16</v>
      </c>
      <c r="AP328" s="30"/>
      <c r="AR328" s="6"/>
      <c r="AS328" s="3">
        <v>3.3685499999999999E-15</v>
      </c>
      <c r="AT328" s="3">
        <v>3.3685499999999999E-15</v>
      </c>
      <c r="AU328" s="30">
        <v>1.24761E-16</v>
      </c>
      <c r="AV328" s="3">
        <v>3.1190300000000001E-15</v>
      </c>
    </row>
    <row r="329" spans="3:48" x14ac:dyDescent="0.25">
      <c r="C329" s="31">
        <v>9.9684100000000004E-14</v>
      </c>
      <c r="D329" s="5">
        <v>7.9223299999999996E-13</v>
      </c>
      <c r="E329" s="3">
        <v>8.0608100000000001E-13</v>
      </c>
      <c r="F329" s="30">
        <v>8.2267399999999995E-13</v>
      </c>
      <c r="H329" s="2"/>
      <c r="I329" s="3">
        <v>2.7696900000000001E-14</v>
      </c>
      <c r="J329" s="3">
        <v>2.4153699999999998E-13</v>
      </c>
      <c r="K329" s="3">
        <v>2.6499200000000001E-13</v>
      </c>
      <c r="L329" s="30">
        <v>2.31681E-13</v>
      </c>
      <c r="N329" s="6"/>
      <c r="O329" s="3">
        <v>1.83399E-14</v>
      </c>
      <c r="P329" s="3">
        <v>2.2756399999999998E-13</v>
      </c>
      <c r="Q329" s="3">
        <v>2.41662E-13</v>
      </c>
      <c r="R329" s="30">
        <v>2.4815000000000001E-13</v>
      </c>
      <c r="T329" s="6"/>
      <c r="U329" s="3">
        <v>2.35798E-14</v>
      </c>
      <c r="V329" s="3">
        <v>2.08476E-13</v>
      </c>
      <c r="W329" s="3">
        <v>2.14339E-13</v>
      </c>
      <c r="X329" s="35">
        <v>1.91882E-13</v>
      </c>
      <c r="Z329" s="6"/>
      <c r="AA329" s="3">
        <v>4.2418800000000002E-15</v>
      </c>
      <c r="AB329" s="3">
        <v>1.96998E-13</v>
      </c>
      <c r="AC329" s="3">
        <v>1.9812099999999999E-13</v>
      </c>
      <c r="AD329" s="30">
        <v>1.9537600000000001E-13</v>
      </c>
      <c r="AF329" s="6"/>
      <c r="AG329" s="3">
        <v>3.7428200000000002E-16</v>
      </c>
      <c r="AH329" s="3">
        <v>7.3608900000000004E-15</v>
      </c>
      <c r="AI329" s="3">
        <v>9.3570599999999998E-15</v>
      </c>
      <c r="AJ329" s="30">
        <v>6.2380399999999999E-15</v>
      </c>
      <c r="AL329" s="6"/>
      <c r="AM329" s="3"/>
      <c r="AN329" s="3"/>
      <c r="AO329" s="3">
        <v>2.4951899999999999E-16</v>
      </c>
      <c r="AP329" s="30"/>
      <c r="AR329" s="6"/>
      <c r="AS329" s="3">
        <v>3.3685499999999999E-15</v>
      </c>
      <c r="AT329" s="3">
        <v>3.2437900000000002E-15</v>
      </c>
      <c r="AU329" s="30">
        <v>2.27814E-13</v>
      </c>
      <c r="AV329" s="3">
        <v>3.1190300000000001E-15</v>
      </c>
    </row>
    <row r="330" spans="3:48" x14ac:dyDescent="0.25">
      <c r="C330" s="31">
        <v>9.9684100000000004E-14</v>
      </c>
      <c r="D330" s="5">
        <v>7.9185799999999998E-13</v>
      </c>
      <c r="E330" s="3">
        <v>8.0570699999999999E-13</v>
      </c>
      <c r="F330" s="30">
        <v>8.2055299999999999E-13</v>
      </c>
      <c r="H330" s="2"/>
      <c r="I330" s="3">
        <v>2.7572200000000001E-14</v>
      </c>
      <c r="J330" s="3">
        <v>2.4128799999999998E-13</v>
      </c>
      <c r="K330" s="3">
        <v>2.61E-13</v>
      </c>
      <c r="L330" s="30">
        <v>2.2943500000000002E-13</v>
      </c>
      <c r="N330" s="6"/>
      <c r="O330" s="3">
        <v>1.8215099999999999E-14</v>
      </c>
      <c r="P330" s="3">
        <v>2.2294800000000001E-13</v>
      </c>
      <c r="Q330" s="3">
        <v>2.41662E-13</v>
      </c>
      <c r="R330" s="30">
        <v>2.4777500000000002E-13</v>
      </c>
      <c r="T330" s="6"/>
      <c r="U330" s="3">
        <v>2.34551E-14</v>
      </c>
      <c r="V330" s="3">
        <v>2.0835100000000001E-13</v>
      </c>
      <c r="W330" s="3">
        <v>2.1321700000000001E-13</v>
      </c>
      <c r="X330" s="35">
        <v>1.89637E-13</v>
      </c>
      <c r="Z330" s="6"/>
      <c r="AA330" s="3">
        <v>3.9923600000000001E-15</v>
      </c>
      <c r="AB330" s="3">
        <v>1.96499E-13</v>
      </c>
      <c r="AC330" s="3">
        <v>1.9687299999999999E-13</v>
      </c>
      <c r="AD330" s="30">
        <v>1.9325499999999999E-13</v>
      </c>
      <c r="AF330" s="6"/>
      <c r="AG330" s="3">
        <v>3.7428200000000002E-16</v>
      </c>
      <c r="AH330" s="3">
        <v>7.3608900000000004E-15</v>
      </c>
      <c r="AI330" s="3">
        <v>7.9846900000000008E-15</v>
      </c>
      <c r="AJ330" s="30">
        <v>6.1132799999999998E-15</v>
      </c>
      <c r="AL330" s="6"/>
      <c r="AM330" s="3"/>
      <c r="AN330" s="3"/>
      <c r="AO330" s="3">
        <v>2.4951899999999999E-16</v>
      </c>
      <c r="AP330" s="30"/>
      <c r="AR330" s="6"/>
      <c r="AS330" s="3">
        <v>3.3685499999999999E-15</v>
      </c>
      <c r="AT330" s="3">
        <v>3.2437900000000002E-15</v>
      </c>
      <c r="AU330" s="30">
        <v>1.62189E-15</v>
      </c>
      <c r="AV330" s="3">
        <v>3.1190300000000001E-15</v>
      </c>
    </row>
    <row r="331" spans="3:48" x14ac:dyDescent="0.25">
      <c r="C331" s="31">
        <v>9.9309800000000006E-14</v>
      </c>
      <c r="D331" s="5">
        <v>7.91359E-13</v>
      </c>
      <c r="E331" s="3">
        <v>8.0508299999999995E-13</v>
      </c>
      <c r="F331" s="30">
        <v>8.1818299999999997E-13</v>
      </c>
      <c r="H331" s="2"/>
      <c r="I331" s="3">
        <v>2.7572200000000001E-14</v>
      </c>
      <c r="J331" s="3">
        <v>2.40913E-13</v>
      </c>
      <c r="K331" s="3">
        <v>2.5788099999999998E-13</v>
      </c>
      <c r="L331" s="30">
        <v>2.2943500000000002E-13</v>
      </c>
      <c r="N331" s="6"/>
      <c r="O331" s="3">
        <v>1.8090300000000001E-14</v>
      </c>
      <c r="P331" s="3">
        <v>2.22449E-13</v>
      </c>
      <c r="Q331" s="3">
        <v>2.4153699999999998E-13</v>
      </c>
      <c r="R331" s="30">
        <v>2.4615299999999998E-13</v>
      </c>
      <c r="T331" s="6"/>
      <c r="U331" s="3">
        <v>2.33303E-14</v>
      </c>
      <c r="V331" s="3">
        <v>2.0560600000000001E-13</v>
      </c>
      <c r="W331" s="3">
        <v>2.1097100000000001E-13</v>
      </c>
      <c r="X331" s="35">
        <v>1.8901300000000001E-13</v>
      </c>
      <c r="Z331" s="6"/>
      <c r="AA331" s="3">
        <v>3.8675900000000002E-15</v>
      </c>
      <c r="AB331" s="3">
        <v>1.94253E-13</v>
      </c>
      <c r="AC331" s="3">
        <v>1.96E-13</v>
      </c>
      <c r="AD331" s="30">
        <v>1.9150799999999999E-13</v>
      </c>
      <c r="AF331" s="6"/>
      <c r="AG331" s="3">
        <v>3.7428200000000002E-16</v>
      </c>
      <c r="AH331" s="3">
        <v>7.1113700000000002E-15</v>
      </c>
      <c r="AI331" s="3">
        <v>7.4856500000000005E-15</v>
      </c>
      <c r="AJ331" s="30">
        <v>5.6142400000000003E-15</v>
      </c>
      <c r="AL331" s="6"/>
      <c r="AM331" s="3"/>
      <c r="AN331" s="3"/>
      <c r="AO331" s="3">
        <v>2.4951899999999999E-16</v>
      </c>
      <c r="AP331" s="30"/>
      <c r="AR331" s="6"/>
      <c r="AS331" s="3">
        <v>3.3685499999999999E-15</v>
      </c>
      <c r="AT331" s="3">
        <v>3.2437900000000002E-15</v>
      </c>
      <c r="AU331" s="30">
        <v>1.24761E-16</v>
      </c>
      <c r="AV331" s="3">
        <v>3.1190300000000001E-15</v>
      </c>
    </row>
    <row r="332" spans="3:48" x14ac:dyDescent="0.25">
      <c r="C332" s="31">
        <v>9.9184999999999996E-14</v>
      </c>
      <c r="D332" s="5">
        <v>7.8823999999999998E-13</v>
      </c>
      <c r="E332" s="3">
        <v>8.02089E-13</v>
      </c>
      <c r="F332" s="30">
        <v>8.1381599999999997E-13</v>
      </c>
      <c r="H332" s="2"/>
      <c r="I332" s="3">
        <v>2.7073099999999999E-14</v>
      </c>
      <c r="J332" s="3">
        <v>2.3717100000000001E-13</v>
      </c>
      <c r="K332" s="3">
        <v>2.5788099999999998E-13</v>
      </c>
      <c r="L332" s="30">
        <v>2.2743900000000002E-13</v>
      </c>
      <c r="N332" s="6"/>
      <c r="O332" s="3">
        <v>1.7965600000000001E-14</v>
      </c>
      <c r="P332" s="3">
        <v>2.2057699999999999E-13</v>
      </c>
      <c r="Q332" s="3">
        <v>2.4004000000000001E-13</v>
      </c>
      <c r="R332" s="30">
        <v>2.4590399999999998E-13</v>
      </c>
      <c r="T332" s="6"/>
      <c r="U332" s="3">
        <v>2.3080799999999999E-14</v>
      </c>
      <c r="V332" s="3">
        <v>2.0385900000000001E-13</v>
      </c>
      <c r="W332" s="3">
        <v>2.1072100000000001E-13</v>
      </c>
      <c r="X332" s="35">
        <v>1.88639E-13</v>
      </c>
      <c r="Z332" s="6"/>
      <c r="AA332" s="3">
        <v>3.7428300000000001E-15</v>
      </c>
      <c r="AB332" s="3">
        <v>1.8901300000000001E-13</v>
      </c>
      <c r="AC332" s="3">
        <v>1.94253E-13</v>
      </c>
      <c r="AD332" s="30">
        <v>1.8764099999999999E-13</v>
      </c>
      <c r="AF332" s="6"/>
      <c r="AG332" s="3">
        <v>3.7428200000000002E-16</v>
      </c>
      <c r="AH332" s="3">
        <v>6.8618500000000001E-15</v>
      </c>
      <c r="AI332" s="3">
        <v>7.3608900000000004E-15</v>
      </c>
      <c r="AJ332" s="30">
        <v>5.2399500000000003E-15</v>
      </c>
      <c r="AL332" s="6"/>
      <c r="AM332" s="3"/>
      <c r="AN332" s="3"/>
      <c r="AO332" s="3">
        <v>2.4951899999999999E-16</v>
      </c>
      <c r="AP332" s="30"/>
      <c r="AR332" s="6"/>
      <c r="AS332" s="3">
        <v>3.2437900000000002E-15</v>
      </c>
      <c r="AT332" s="3">
        <v>3.2437900000000002E-15</v>
      </c>
      <c r="AU332" s="30">
        <v>3.7428299999999999E-16</v>
      </c>
      <c r="AV332" s="3">
        <v>3.1190300000000001E-15</v>
      </c>
    </row>
    <row r="333" spans="3:48" x14ac:dyDescent="0.25">
      <c r="C333" s="31">
        <v>9.9184999999999996E-14</v>
      </c>
      <c r="D333" s="5">
        <v>7.8774100000000001E-13</v>
      </c>
      <c r="E333" s="3">
        <v>7.9597500000000005E-13</v>
      </c>
      <c r="F333" s="30">
        <v>8.1294299999999998E-13</v>
      </c>
      <c r="H333" s="2"/>
      <c r="I333" s="3">
        <v>2.6948399999999999E-14</v>
      </c>
      <c r="J333" s="3">
        <v>2.3692099999999999E-13</v>
      </c>
      <c r="K333" s="3">
        <v>2.5338999999999999E-13</v>
      </c>
      <c r="L333" s="30">
        <v>2.26566E-13</v>
      </c>
      <c r="N333" s="6"/>
      <c r="O333" s="3">
        <v>1.7716100000000001E-14</v>
      </c>
      <c r="P333" s="3">
        <v>2.1858100000000001E-13</v>
      </c>
      <c r="Q333" s="3">
        <v>2.3891699999999999E-13</v>
      </c>
      <c r="R333" s="30">
        <v>2.4353299999999999E-13</v>
      </c>
      <c r="T333" s="6"/>
      <c r="U333" s="3">
        <v>2.3080799999999999E-14</v>
      </c>
      <c r="V333" s="3">
        <v>2.0298599999999999E-13</v>
      </c>
      <c r="W333" s="3">
        <v>2.07727E-13</v>
      </c>
      <c r="X333" s="35">
        <v>1.88389E-13</v>
      </c>
      <c r="Z333" s="6"/>
      <c r="AA333" s="3">
        <v>3.61807E-15</v>
      </c>
      <c r="AB333" s="3">
        <v>1.8876400000000001E-13</v>
      </c>
      <c r="AC333" s="3">
        <v>1.9313000000000001E-13</v>
      </c>
      <c r="AD333" s="30">
        <v>1.8152699999999999E-13</v>
      </c>
      <c r="AF333" s="6"/>
      <c r="AG333" s="3">
        <v>3.7428200000000002E-16</v>
      </c>
      <c r="AH333" s="3">
        <v>6.4875600000000001E-15</v>
      </c>
      <c r="AI333" s="3">
        <v>6.6123200000000001E-15</v>
      </c>
      <c r="AJ333" s="30">
        <v>4.9904300000000001E-15</v>
      </c>
      <c r="AL333" s="6"/>
      <c r="AM333" s="3"/>
      <c r="AN333" s="3"/>
      <c r="AO333" s="3">
        <v>2.4951899999999999E-16</v>
      </c>
      <c r="AP333" s="30"/>
      <c r="AR333" s="6"/>
      <c r="AS333" s="3">
        <v>3.2437900000000002E-15</v>
      </c>
      <c r="AT333" s="3">
        <v>3.1190300000000001E-15</v>
      </c>
      <c r="AU333" s="30">
        <v>3.7428299999999999E-16</v>
      </c>
      <c r="AV333" s="3">
        <v>2.9942599999999999E-15</v>
      </c>
    </row>
    <row r="334" spans="3:48" x14ac:dyDescent="0.25">
      <c r="C334" s="31">
        <v>9.9060300000000006E-14</v>
      </c>
      <c r="D334" s="5">
        <v>7.8349899999999997E-13</v>
      </c>
      <c r="E334" s="3">
        <v>7.9273200000000004E-13</v>
      </c>
      <c r="F334" s="30">
        <v>8.0870100000000005E-13</v>
      </c>
      <c r="H334" s="2"/>
      <c r="I334" s="3">
        <v>2.6823600000000001E-14</v>
      </c>
      <c r="J334" s="3">
        <v>2.3654700000000002E-13</v>
      </c>
      <c r="K334" s="3">
        <v>2.5201700000000001E-13</v>
      </c>
      <c r="L334" s="30">
        <v>2.26067E-13</v>
      </c>
      <c r="N334" s="6"/>
      <c r="O334" s="3">
        <v>1.75913E-14</v>
      </c>
      <c r="P334" s="3">
        <v>2.1720899999999999E-13</v>
      </c>
      <c r="Q334" s="3">
        <v>2.3692099999999999E-13</v>
      </c>
      <c r="R334" s="30">
        <v>2.4228599999999998E-13</v>
      </c>
      <c r="T334" s="6"/>
      <c r="U334" s="3">
        <v>2.3080799999999999E-14</v>
      </c>
      <c r="V334" s="3">
        <v>2.02612E-13</v>
      </c>
      <c r="W334" s="3">
        <v>2.06978E-13</v>
      </c>
      <c r="X334" s="35">
        <v>1.84022E-13</v>
      </c>
      <c r="Z334" s="6"/>
      <c r="AA334" s="3">
        <v>3.61807E-15</v>
      </c>
      <c r="AB334" s="3">
        <v>1.8826500000000001E-13</v>
      </c>
      <c r="AC334" s="3">
        <v>1.9175799999999999E-13</v>
      </c>
      <c r="AD334" s="30">
        <v>1.8077899999999999E-13</v>
      </c>
      <c r="AF334" s="6"/>
      <c r="AG334" s="3">
        <v>3.7428200000000002E-16</v>
      </c>
      <c r="AH334" s="3">
        <v>6.2380399999999999E-15</v>
      </c>
      <c r="AI334" s="3">
        <v>6.3628E-15</v>
      </c>
      <c r="AJ334" s="30">
        <v>4.4913899999999998E-15</v>
      </c>
      <c r="AL334" s="6"/>
      <c r="AM334" s="3"/>
      <c r="AN334" s="3"/>
      <c r="AO334" s="3">
        <v>2.4951899999999999E-16</v>
      </c>
      <c r="AP334" s="30"/>
      <c r="AR334" s="6"/>
      <c r="AS334" s="3">
        <v>3.2437900000000002E-15</v>
      </c>
      <c r="AT334" s="3">
        <v>3.1190300000000001E-15</v>
      </c>
      <c r="AU334" s="30">
        <v>1.8714199999999999E-15</v>
      </c>
      <c r="AV334" s="3">
        <v>2.9942599999999999E-15</v>
      </c>
    </row>
    <row r="335" spans="3:48" x14ac:dyDescent="0.25">
      <c r="C335" s="31">
        <v>9.8685999999999995E-14</v>
      </c>
      <c r="D335" s="5">
        <v>7.8337499999999998E-13</v>
      </c>
      <c r="E335" s="3">
        <v>7.9273200000000004E-13</v>
      </c>
      <c r="F335" s="30">
        <v>8.0321200000000001E-13</v>
      </c>
      <c r="H335" s="2"/>
      <c r="I335" s="3">
        <v>2.6823600000000001E-14</v>
      </c>
      <c r="J335" s="3">
        <v>2.3243E-13</v>
      </c>
      <c r="K335" s="3">
        <v>2.5189199999999999E-13</v>
      </c>
      <c r="L335" s="30">
        <v>2.2157499999999999E-13</v>
      </c>
      <c r="N335" s="6"/>
      <c r="O335" s="3">
        <v>1.75913E-14</v>
      </c>
      <c r="P335" s="3">
        <v>2.1670999999999999E-13</v>
      </c>
      <c r="Q335" s="3">
        <v>2.3467500000000001E-13</v>
      </c>
      <c r="R335" s="30">
        <v>2.4128799999999998E-13</v>
      </c>
      <c r="T335" s="6"/>
      <c r="U335" s="3">
        <v>2.2831299999999998E-14</v>
      </c>
      <c r="V335" s="3">
        <v>2.0074000000000001E-13</v>
      </c>
      <c r="W335" s="3">
        <v>2.0523199999999999E-13</v>
      </c>
      <c r="X335" s="35">
        <v>1.83024E-13</v>
      </c>
      <c r="Z335" s="6"/>
      <c r="AA335" s="3">
        <v>3.49331E-15</v>
      </c>
      <c r="AB335" s="3">
        <v>1.8813999999999999E-13</v>
      </c>
      <c r="AC335" s="3">
        <v>1.88639E-13</v>
      </c>
      <c r="AD335" s="30">
        <v>1.8027999999999999E-13</v>
      </c>
      <c r="AF335" s="6"/>
      <c r="AG335" s="3">
        <v>3.7428200000000002E-16</v>
      </c>
      <c r="AH335" s="3">
        <v>5.6142400000000003E-15</v>
      </c>
      <c r="AI335" s="3">
        <v>5.9885199999999997E-15</v>
      </c>
      <c r="AJ335" s="30">
        <v>4.3666299999999997E-15</v>
      </c>
      <c r="AL335" s="6"/>
      <c r="AM335" s="3"/>
      <c r="AN335" s="3"/>
      <c r="AO335" s="3">
        <v>1.2476E-16</v>
      </c>
      <c r="AP335" s="30"/>
      <c r="AR335" s="6"/>
      <c r="AS335" s="3">
        <v>3.2437900000000002E-15</v>
      </c>
      <c r="AT335" s="3">
        <v>3.1190300000000001E-15</v>
      </c>
      <c r="AU335" s="30">
        <v>1.8714199999999999E-15</v>
      </c>
      <c r="AV335" s="3">
        <v>2.9942599999999999E-15</v>
      </c>
    </row>
    <row r="336" spans="3:48" x14ac:dyDescent="0.25">
      <c r="C336" s="31">
        <v>9.8436499999999994E-14</v>
      </c>
      <c r="D336" s="5">
        <v>7.7988099999999998E-13</v>
      </c>
      <c r="E336" s="3">
        <v>7.9048600000000001E-13</v>
      </c>
      <c r="F336" s="30">
        <v>8.0159000000000002E-13</v>
      </c>
      <c r="H336" s="2"/>
      <c r="I336" s="3">
        <v>2.6698800000000001E-14</v>
      </c>
      <c r="J336" s="3">
        <v>2.29685E-13</v>
      </c>
      <c r="K336" s="3">
        <v>2.5164299999999999E-13</v>
      </c>
      <c r="L336" s="30">
        <v>2.2157499999999999E-13</v>
      </c>
      <c r="N336" s="6"/>
      <c r="O336" s="3">
        <v>1.75913E-14</v>
      </c>
      <c r="P336" s="3">
        <v>2.1670999999999999E-13</v>
      </c>
      <c r="Q336" s="3">
        <v>2.3417599999999998E-13</v>
      </c>
      <c r="R336" s="30">
        <v>2.4103800000000001E-13</v>
      </c>
      <c r="T336" s="6"/>
      <c r="U336" s="3">
        <v>2.25817E-14</v>
      </c>
      <c r="V336" s="3">
        <v>2.0024100000000001E-13</v>
      </c>
      <c r="W336" s="3">
        <v>2.0473299999999999E-13</v>
      </c>
      <c r="X336" s="35">
        <v>1.8227599999999999E-13</v>
      </c>
      <c r="Z336" s="6"/>
      <c r="AA336" s="3">
        <v>3.3685499999999999E-15</v>
      </c>
      <c r="AB336" s="3">
        <v>1.86268E-13</v>
      </c>
      <c r="AC336" s="3">
        <v>1.88639E-13</v>
      </c>
      <c r="AD336" s="30">
        <v>1.79656E-13</v>
      </c>
      <c r="AF336" s="6"/>
      <c r="AG336" s="3">
        <v>3.7428200000000002E-16</v>
      </c>
      <c r="AH336" s="3">
        <v>5.3647200000000001E-15</v>
      </c>
      <c r="AI336" s="3">
        <v>5.8637599999999997E-15</v>
      </c>
      <c r="AJ336" s="30">
        <v>4.3666299999999997E-15</v>
      </c>
      <c r="AL336" s="6"/>
      <c r="AM336" s="3"/>
      <c r="AN336" s="3"/>
      <c r="AO336" s="3">
        <v>1.2476E-16</v>
      </c>
      <c r="AP336" s="30"/>
      <c r="AR336" s="6"/>
      <c r="AS336" s="3">
        <v>3.1190300000000001E-15</v>
      </c>
      <c r="AT336" s="3">
        <v>3.1190300000000001E-15</v>
      </c>
      <c r="AU336" s="30">
        <v>2.4952199999999999E-16</v>
      </c>
      <c r="AV336" s="3">
        <v>2.9942599999999999E-15</v>
      </c>
    </row>
    <row r="337" spans="3:48" x14ac:dyDescent="0.25">
      <c r="C337" s="31">
        <v>9.8436499999999994E-14</v>
      </c>
      <c r="D337" s="5">
        <v>7.7538999999999999E-13</v>
      </c>
      <c r="E337" s="3">
        <v>7.90112E-13</v>
      </c>
      <c r="F337" s="30">
        <v>7.94977E-13</v>
      </c>
      <c r="H337" s="2"/>
      <c r="I337" s="3">
        <v>2.6698800000000001E-14</v>
      </c>
      <c r="J337" s="3">
        <v>2.2743900000000002E-13</v>
      </c>
      <c r="K337" s="3">
        <v>2.5126899999999998E-13</v>
      </c>
      <c r="L337" s="30">
        <v>2.1883100000000001E-13</v>
      </c>
      <c r="N337" s="6"/>
      <c r="O337" s="3">
        <v>1.7466499999999999E-14</v>
      </c>
      <c r="P337" s="3">
        <v>2.1321700000000001E-13</v>
      </c>
      <c r="Q337" s="3">
        <v>2.32679E-13</v>
      </c>
      <c r="R337" s="30">
        <v>2.3966599999999999E-13</v>
      </c>
      <c r="T337" s="6"/>
      <c r="U337" s="3">
        <v>2.25817E-14</v>
      </c>
      <c r="V337" s="3">
        <v>1.9737199999999999E-13</v>
      </c>
      <c r="W337" s="3">
        <v>2.0348499999999999E-13</v>
      </c>
      <c r="X337" s="35">
        <v>1.79656E-13</v>
      </c>
      <c r="Z337" s="6"/>
      <c r="AA337" s="3">
        <v>3.3685499999999999E-15</v>
      </c>
      <c r="AB337" s="3">
        <v>1.84771E-13</v>
      </c>
      <c r="AC337" s="3">
        <v>1.8739099999999999E-13</v>
      </c>
      <c r="AD337" s="30">
        <v>1.79407E-13</v>
      </c>
      <c r="AF337" s="6"/>
      <c r="AG337" s="3">
        <v>3.7428200000000002E-16</v>
      </c>
      <c r="AH337" s="3">
        <v>5.2399500000000003E-15</v>
      </c>
      <c r="AI337" s="3">
        <v>5.8637599999999997E-15</v>
      </c>
      <c r="AJ337" s="30">
        <v>3.9923500000000003E-15</v>
      </c>
      <c r="AL337" s="6"/>
      <c r="AM337" s="3"/>
      <c r="AN337" s="3"/>
      <c r="AO337" s="3">
        <v>1.2476E-16</v>
      </c>
      <c r="AP337" s="30"/>
      <c r="AR337" s="6"/>
      <c r="AS337" s="3">
        <v>3.1190300000000001E-15</v>
      </c>
      <c r="AT337" s="3">
        <v>2.9942599999999999E-15</v>
      </c>
      <c r="AU337" s="30">
        <v>1.24761E-16</v>
      </c>
      <c r="AV337" s="3">
        <v>2.9942599999999999E-15</v>
      </c>
    </row>
    <row r="338" spans="3:48" x14ac:dyDescent="0.25">
      <c r="C338" s="31">
        <v>9.8311699999999996E-14</v>
      </c>
      <c r="D338" s="5">
        <v>7.74517E-13</v>
      </c>
      <c r="E338" s="3">
        <v>7.8823999999999998E-13</v>
      </c>
      <c r="F338" s="30">
        <v>7.91359E-13</v>
      </c>
      <c r="H338" s="2"/>
      <c r="I338" s="3">
        <v>2.6574100000000001E-14</v>
      </c>
      <c r="J338" s="3">
        <v>2.2693999999999999E-13</v>
      </c>
      <c r="K338" s="3">
        <v>2.4565400000000001E-13</v>
      </c>
      <c r="L338" s="30">
        <v>2.1596099999999999E-13</v>
      </c>
      <c r="N338" s="6"/>
      <c r="O338" s="3">
        <v>1.7341799999999999E-14</v>
      </c>
      <c r="P338" s="3">
        <v>2.1271800000000001E-13</v>
      </c>
      <c r="Q338" s="3">
        <v>2.30683E-13</v>
      </c>
      <c r="R338" s="30">
        <v>2.39042E-13</v>
      </c>
      <c r="T338" s="6"/>
      <c r="U338" s="3">
        <v>2.2457E-14</v>
      </c>
      <c r="V338" s="3">
        <v>1.96249E-13</v>
      </c>
      <c r="W338" s="3">
        <v>2.0323599999999999E-13</v>
      </c>
      <c r="X338" s="35">
        <v>1.78658E-13</v>
      </c>
      <c r="Z338" s="6"/>
      <c r="AA338" s="3">
        <v>3.3685499999999999E-15</v>
      </c>
      <c r="AB338" s="3">
        <v>1.84272E-13</v>
      </c>
      <c r="AC338" s="3">
        <v>1.8552E-13</v>
      </c>
      <c r="AD338" s="30">
        <v>1.7878300000000001E-13</v>
      </c>
      <c r="AF338" s="6"/>
      <c r="AG338" s="3">
        <v>3.7428200000000002E-16</v>
      </c>
      <c r="AH338" s="3">
        <v>4.74091E-15</v>
      </c>
      <c r="AI338" s="3">
        <v>5.8637599999999997E-15</v>
      </c>
      <c r="AJ338" s="30">
        <v>3.7428200000000003E-15</v>
      </c>
      <c r="AL338" s="6"/>
      <c r="AM338" s="3"/>
      <c r="AN338" s="3"/>
      <c r="AO338" s="3">
        <v>1.2476E-16</v>
      </c>
      <c r="AP338" s="30"/>
      <c r="AR338" s="6"/>
      <c r="AS338" s="3">
        <v>3.1190300000000001E-15</v>
      </c>
      <c r="AT338" s="3">
        <v>2.9942599999999999E-15</v>
      </c>
      <c r="AU338" s="30">
        <v>2.1209400000000001E-15</v>
      </c>
      <c r="AV338" s="3">
        <v>2.9942599999999999E-15</v>
      </c>
    </row>
    <row r="339" spans="3:48" x14ac:dyDescent="0.25">
      <c r="C339" s="31">
        <v>9.8186899999999999E-14</v>
      </c>
      <c r="D339" s="5">
        <v>7.7364300000000004E-13</v>
      </c>
      <c r="E339" s="3">
        <v>7.8724200000000003E-13</v>
      </c>
      <c r="F339" s="30">
        <v>7.8774100000000001E-13</v>
      </c>
      <c r="H339" s="2"/>
      <c r="I339" s="3">
        <v>2.6574100000000001E-14</v>
      </c>
      <c r="J339" s="3">
        <v>2.2394600000000001E-13</v>
      </c>
      <c r="K339" s="3">
        <v>2.4490599999999998E-13</v>
      </c>
      <c r="L339" s="30">
        <v>2.14339E-13</v>
      </c>
      <c r="N339" s="6"/>
      <c r="O339" s="3">
        <v>1.6967500000000001E-14</v>
      </c>
      <c r="P339" s="3">
        <v>2.11844E-13</v>
      </c>
      <c r="Q339" s="3">
        <v>2.3005900000000001E-13</v>
      </c>
      <c r="R339" s="30">
        <v>2.3841800000000001E-13</v>
      </c>
      <c r="T339" s="6"/>
      <c r="U339" s="3">
        <v>2.2332199999999999E-14</v>
      </c>
      <c r="V339" s="3">
        <v>1.9562500000000001E-13</v>
      </c>
      <c r="W339" s="3">
        <v>2.0148900000000001E-13</v>
      </c>
      <c r="X339" s="35">
        <v>1.7828299999999999E-13</v>
      </c>
      <c r="Z339" s="6"/>
      <c r="AA339" s="3">
        <v>3.1190300000000001E-15</v>
      </c>
      <c r="AB339" s="3">
        <v>1.83524E-13</v>
      </c>
      <c r="AC339" s="3">
        <v>1.8552E-13</v>
      </c>
      <c r="AD339" s="30">
        <v>1.7703600000000001E-13</v>
      </c>
      <c r="AF339" s="6"/>
      <c r="AG339" s="3">
        <v>3.7428200000000002E-16</v>
      </c>
      <c r="AH339" s="3">
        <v>4.6161499999999999E-15</v>
      </c>
      <c r="AI339" s="3">
        <v>5.2399500000000003E-15</v>
      </c>
      <c r="AJ339" s="30">
        <v>3.1190199999999999E-15</v>
      </c>
      <c r="AL339" s="6"/>
      <c r="AM339" s="3"/>
      <c r="AN339" s="3"/>
      <c r="AO339" s="3">
        <v>1.2476E-16</v>
      </c>
      <c r="AP339" s="30"/>
      <c r="AR339" s="6"/>
      <c r="AS339" s="3">
        <v>3.1190300000000001E-15</v>
      </c>
      <c r="AT339" s="3">
        <v>2.9942599999999999E-15</v>
      </c>
      <c r="AU339" s="30">
        <v>3.7428299999999999E-16</v>
      </c>
      <c r="AV339" s="3">
        <v>2.8695000000000002E-15</v>
      </c>
    </row>
    <row r="340" spans="3:48" x14ac:dyDescent="0.25">
      <c r="C340" s="31">
        <v>9.7812699999999995E-14</v>
      </c>
      <c r="D340" s="5">
        <v>7.7002500000000004E-13</v>
      </c>
      <c r="E340" s="3">
        <v>7.8312499999999996E-13</v>
      </c>
      <c r="F340" s="30">
        <v>7.8674299999999995E-13</v>
      </c>
      <c r="H340" s="2"/>
      <c r="I340" s="3">
        <v>2.5950299999999999E-14</v>
      </c>
      <c r="J340" s="3">
        <v>2.23821E-13</v>
      </c>
      <c r="K340" s="3">
        <v>2.4490599999999998E-13</v>
      </c>
      <c r="L340" s="30">
        <v>2.1371600000000001E-13</v>
      </c>
      <c r="N340" s="6"/>
      <c r="O340" s="3">
        <v>1.6967500000000001E-14</v>
      </c>
      <c r="P340" s="3">
        <v>2.1171900000000001E-13</v>
      </c>
      <c r="Q340" s="3">
        <v>2.27814E-13</v>
      </c>
      <c r="R340" s="30">
        <v>2.33677E-13</v>
      </c>
      <c r="T340" s="6"/>
      <c r="U340" s="3">
        <v>2.22075E-14</v>
      </c>
      <c r="V340" s="3">
        <v>1.9375399999999999E-13</v>
      </c>
      <c r="W340" s="3">
        <v>2.0099000000000001E-13</v>
      </c>
      <c r="X340" s="35">
        <v>1.7728500000000001E-13</v>
      </c>
      <c r="Z340" s="6"/>
      <c r="AA340" s="3">
        <v>3.1190300000000001E-15</v>
      </c>
      <c r="AB340" s="3">
        <v>1.8339900000000001E-13</v>
      </c>
      <c r="AC340" s="3">
        <v>1.85021E-13</v>
      </c>
      <c r="AD340" s="30">
        <v>1.7628700000000001E-13</v>
      </c>
      <c r="AF340" s="6"/>
      <c r="AG340" s="3">
        <v>3.7428200000000002E-16</v>
      </c>
      <c r="AH340" s="3">
        <v>4.2418699999999996E-15</v>
      </c>
      <c r="AI340" s="3">
        <v>5.1151900000000002E-15</v>
      </c>
      <c r="AJ340" s="30">
        <v>2.9942599999999999E-15</v>
      </c>
      <c r="AL340" s="6"/>
      <c r="AM340" s="3"/>
      <c r="AN340" s="3"/>
      <c r="AO340" s="3">
        <v>1.2476E-16</v>
      </c>
      <c r="AP340" s="30"/>
      <c r="AR340" s="6"/>
      <c r="AS340" s="3">
        <v>3.1190300000000001E-15</v>
      </c>
      <c r="AT340" s="3">
        <v>2.8695000000000002E-15</v>
      </c>
      <c r="AU340" s="30">
        <v>1.3723700000000001E-15</v>
      </c>
      <c r="AV340" s="3">
        <v>2.8695000000000002E-15</v>
      </c>
    </row>
    <row r="341" spans="3:48" x14ac:dyDescent="0.25">
      <c r="C341" s="31">
        <v>9.75631E-14</v>
      </c>
      <c r="D341" s="5">
        <v>7.6952599999999997E-13</v>
      </c>
      <c r="E341" s="3">
        <v>7.8175299999999999E-13</v>
      </c>
      <c r="F341" s="30">
        <v>7.8636900000000004E-13</v>
      </c>
      <c r="H341" s="2"/>
      <c r="I341" s="3">
        <v>2.5825500000000001E-14</v>
      </c>
      <c r="J341" s="3">
        <v>2.2282299999999999E-13</v>
      </c>
      <c r="K341" s="3">
        <v>2.4403200000000001E-13</v>
      </c>
      <c r="L341" s="30">
        <v>2.1159499999999999E-13</v>
      </c>
      <c r="N341" s="6"/>
      <c r="O341" s="3">
        <v>1.6842700000000001E-14</v>
      </c>
      <c r="P341" s="3">
        <v>2.1084599999999999E-13</v>
      </c>
      <c r="Q341" s="3">
        <v>2.2344700000000001E-13</v>
      </c>
      <c r="R341" s="30">
        <v>2.30683E-13</v>
      </c>
      <c r="T341" s="6"/>
      <c r="U341" s="3">
        <v>2.22075E-14</v>
      </c>
      <c r="V341" s="3">
        <v>1.93504E-13</v>
      </c>
      <c r="W341" s="3">
        <v>2.0024100000000001E-13</v>
      </c>
      <c r="X341" s="35">
        <v>1.72295E-13</v>
      </c>
      <c r="Z341" s="6"/>
      <c r="AA341" s="3">
        <v>3.1190300000000001E-15</v>
      </c>
      <c r="AB341" s="3">
        <v>1.8265000000000001E-13</v>
      </c>
      <c r="AC341" s="3">
        <v>1.85021E-13</v>
      </c>
      <c r="AD341" s="30">
        <v>1.7504E-13</v>
      </c>
      <c r="AF341" s="6"/>
      <c r="AG341" s="3">
        <v>3.7428200000000002E-16</v>
      </c>
      <c r="AH341" s="3">
        <v>4.2418699999999996E-15</v>
      </c>
      <c r="AI341" s="3">
        <v>4.86567E-15</v>
      </c>
      <c r="AJ341" s="30">
        <v>2.9942599999999999E-15</v>
      </c>
      <c r="AL341" s="6"/>
      <c r="AM341" s="3"/>
      <c r="AN341" s="3"/>
      <c r="AO341" s="3">
        <v>1.2476E-16</v>
      </c>
      <c r="AP341" s="30"/>
      <c r="AR341" s="6"/>
      <c r="AS341" s="3">
        <v>3.1190300000000001E-15</v>
      </c>
      <c r="AT341" s="3">
        <v>2.8695000000000002E-15</v>
      </c>
      <c r="AU341" s="30">
        <v>6.2380499999999999E-16</v>
      </c>
      <c r="AV341" s="3">
        <v>2.8695000000000002E-15</v>
      </c>
    </row>
    <row r="342" spans="3:48" x14ac:dyDescent="0.25">
      <c r="C342" s="31">
        <v>9.75631E-14</v>
      </c>
      <c r="D342" s="5">
        <v>7.6553399999999996E-13</v>
      </c>
      <c r="E342" s="3">
        <v>7.7925700000000004E-13</v>
      </c>
      <c r="F342" s="30">
        <v>7.8325000000000002E-13</v>
      </c>
      <c r="H342" s="2"/>
      <c r="I342" s="3">
        <v>2.5825500000000001E-14</v>
      </c>
      <c r="J342" s="3">
        <v>2.2132599999999999E-13</v>
      </c>
      <c r="K342" s="3">
        <v>2.4303400000000001E-13</v>
      </c>
      <c r="L342" s="30">
        <v>2.09474E-13</v>
      </c>
      <c r="N342" s="6"/>
      <c r="O342" s="3">
        <v>1.6718000000000001E-14</v>
      </c>
      <c r="P342" s="3">
        <v>2.0959899999999999E-13</v>
      </c>
      <c r="Q342" s="3">
        <v>2.2182499999999999E-13</v>
      </c>
      <c r="R342" s="30">
        <v>2.2918600000000002E-13</v>
      </c>
      <c r="T342" s="6"/>
      <c r="U342" s="3">
        <v>2.2082699999999999E-14</v>
      </c>
      <c r="V342" s="3">
        <v>1.91882E-13</v>
      </c>
      <c r="W342" s="3">
        <v>1.9874400000000001E-13</v>
      </c>
      <c r="X342" s="35">
        <v>1.71796E-13</v>
      </c>
      <c r="Z342" s="6"/>
      <c r="AA342" s="3">
        <v>3.1190300000000001E-15</v>
      </c>
      <c r="AB342" s="3">
        <v>1.8190200000000001E-13</v>
      </c>
      <c r="AC342" s="3">
        <v>1.8464599999999999E-13</v>
      </c>
      <c r="AD342" s="30">
        <v>1.7491499999999999E-13</v>
      </c>
      <c r="AF342" s="6"/>
      <c r="AG342" s="3">
        <v>2.4952199999999999E-16</v>
      </c>
      <c r="AH342" s="3">
        <v>4.1171100000000004E-15</v>
      </c>
      <c r="AI342" s="3">
        <v>4.74091E-15</v>
      </c>
      <c r="AJ342" s="30">
        <v>2.8695000000000002E-15</v>
      </c>
      <c r="AL342" s="6"/>
      <c r="AM342" s="3"/>
      <c r="AN342" s="3"/>
      <c r="AO342" s="3">
        <v>1.2476E-16</v>
      </c>
      <c r="AP342" s="30"/>
      <c r="AR342" s="6"/>
      <c r="AS342" s="3">
        <v>3.1190300000000001E-15</v>
      </c>
      <c r="AT342" s="3">
        <v>2.8695000000000002E-15</v>
      </c>
      <c r="AU342" s="30">
        <v>3.7428299999999999E-16</v>
      </c>
      <c r="AV342" s="3">
        <v>2.8695000000000002E-15</v>
      </c>
    </row>
    <row r="343" spans="3:48" x14ac:dyDescent="0.25">
      <c r="C343" s="31">
        <v>9.7313599999999999E-14</v>
      </c>
      <c r="D343" s="5">
        <v>7.6391199999999997E-13</v>
      </c>
      <c r="E343" s="3">
        <v>7.7925700000000004E-13</v>
      </c>
      <c r="F343" s="30">
        <v>7.8112899999999995E-13</v>
      </c>
      <c r="H343" s="2"/>
      <c r="I343" s="3">
        <v>2.5825500000000001E-14</v>
      </c>
      <c r="J343" s="3">
        <v>2.1783300000000001E-13</v>
      </c>
      <c r="K343" s="3">
        <v>2.4203600000000001E-13</v>
      </c>
      <c r="L343" s="30">
        <v>2.0585600000000001E-13</v>
      </c>
      <c r="N343" s="6"/>
      <c r="O343" s="3">
        <v>1.65932E-14</v>
      </c>
      <c r="P343" s="3">
        <v>2.08476E-13</v>
      </c>
      <c r="Q343" s="3">
        <v>2.18706E-13</v>
      </c>
      <c r="R343" s="30">
        <v>2.2818800000000002E-13</v>
      </c>
      <c r="T343" s="6"/>
      <c r="U343" s="3">
        <v>2.2082699999999999E-14</v>
      </c>
      <c r="V343" s="3">
        <v>1.90136E-13</v>
      </c>
      <c r="W343" s="3">
        <v>1.9762099999999999E-13</v>
      </c>
      <c r="X343" s="35">
        <v>1.6979999999999999E-13</v>
      </c>
      <c r="Z343" s="6"/>
      <c r="AA343" s="3">
        <v>3.1190300000000001E-15</v>
      </c>
      <c r="AB343" s="3">
        <v>1.7978099999999999E-13</v>
      </c>
      <c r="AC343" s="3">
        <v>1.83524E-13</v>
      </c>
      <c r="AD343" s="30">
        <v>1.7217000000000001E-13</v>
      </c>
      <c r="AF343" s="6"/>
      <c r="AG343" s="3">
        <v>2.4952199999999999E-16</v>
      </c>
      <c r="AH343" s="3">
        <v>3.8675900000000002E-15</v>
      </c>
      <c r="AI343" s="3">
        <v>4.4913899999999998E-15</v>
      </c>
      <c r="AJ343" s="30">
        <v>2.8695000000000002E-15</v>
      </c>
      <c r="AL343" s="6"/>
      <c r="AM343" s="3"/>
      <c r="AN343" s="3"/>
      <c r="AO343" s="3">
        <v>1.2476E-16</v>
      </c>
      <c r="AP343" s="30"/>
      <c r="AR343" s="6"/>
      <c r="AS343" s="3">
        <v>3.1190300000000001E-15</v>
      </c>
      <c r="AT343" s="3">
        <v>2.8695000000000002E-15</v>
      </c>
      <c r="AU343" s="30">
        <v>2.4952199999999999E-16</v>
      </c>
      <c r="AV343" s="3">
        <v>2.8695000000000002E-15</v>
      </c>
    </row>
    <row r="344" spans="3:48" x14ac:dyDescent="0.25">
      <c r="C344" s="31">
        <v>9.7064099999999999E-14</v>
      </c>
      <c r="D344" s="5">
        <v>7.6054300000000002E-13</v>
      </c>
      <c r="E344" s="3">
        <v>7.7763600000000002E-13</v>
      </c>
      <c r="F344" s="30">
        <v>7.7726100000000003E-13</v>
      </c>
      <c r="H344" s="2"/>
      <c r="I344" s="3">
        <v>2.54512E-14</v>
      </c>
      <c r="J344" s="3">
        <v>2.13092E-13</v>
      </c>
      <c r="K344" s="3">
        <v>2.38044E-13</v>
      </c>
      <c r="L344" s="30">
        <v>2.0361E-13</v>
      </c>
      <c r="N344" s="6"/>
      <c r="O344" s="3">
        <v>1.6094199999999999E-14</v>
      </c>
      <c r="P344" s="3">
        <v>2.0835100000000001E-13</v>
      </c>
      <c r="Q344" s="3">
        <v>2.16835E-13</v>
      </c>
      <c r="R344" s="30">
        <v>2.2594199999999999E-13</v>
      </c>
      <c r="T344" s="6"/>
      <c r="U344" s="3">
        <v>2.2082699999999999E-14</v>
      </c>
      <c r="V344" s="3">
        <v>1.8813999999999999E-13</v>
      </c>
      <c r="W344" s="3">
        <v>1.96249E-13</v>
      </c>
      <c r="X344" s="35">
        <v>1.68677E-13</v>
      </c>
      <c r="Z344" s="6"/>
      <c r="AA344" s="3">
        <v>2.86951E-15</v>
      </c>
      <c r="AB344" s="3">
        <v>1.7853299999999999E-13</v>
      </c>
      <c r="AC344" s="3">
        <v>1.80155E-13</v>
      </c>
      <c r="AD344" s="30">
        <v>1.7042400000000001E-13</v>
      </c>
      <c r="AF344" s="6"/>
      <c r="AG344" s="3">
        <v>2.4952199999999999E-16</v>
      </c>
      <c r="AH344" s="3">
        <v>3.7428200000000003E-15</v>
      </c>
      <c r="AI344" s="3">
        <v>4.2418699999999996E-15</v>
      </c>
      <c r="AJ344" s="30">
        <v>2.7447400000000001E-15</v>
      </c>
      <c r="AL344" s="6"/>
      <c r="AM344" s="3"/>
      <c r="AN344" s="3"/>
      <c r="AO344" s="3">
        <v>1.2476E-16</v>
      </c>
      <c r="AP344" s="30"/>
      <c r="AR344" s="6"/>
      <c r="AS344" s="3">
        <v>3.1190300000000001E-15</v>
      </c>
      <c r="AT344" s="3">
        <v>2.8695000000000002E-15</v>
      </c>
      <c r="AU344" s="30">
        <v>5.39591E-13</v>
      </c>
      <c r="AV344" s="3">
        <v>2.7447400000000001E-15</v>
      </c>
    </row>
    <row r="345" spans="3:48" x14ac:dyDescent="0.25">
      <c r="C345" s="31">
        <v>9.5941200000000004E-14</v>
      </c>
      <c r="D345" s="5">
        <v>7.5954499999999997E-13</v>
      </c>
      <c r="E345" s="3">
        <v>7.7015000000000001E-13</v>
      </c>
      <c r="F345" s="30">
        <v>7.74517E-13</v>
      </c>
      <c r="H345" s="2"/>
      <c r="I345" s="3">
        <v>2.54512E-14</v>
      </c>
      <c r="J345" s="3">
        <v>2.06978E-13</v>
      </c>
      <c r="K345" s="3">
        <v>2.3280400000000001E-13</v>
      </c>
      <c r="L345" s="30">
        <v>2.0361E-13</v>
      </c>
      <c r="N345" s="6"/>
      <c r="O345" s="3">
        <v>1.6094199999999999E-14</v>
      </c>
      <c r="P345" s="3">
        <v>2.0198800000000001E-13</v>
      </c>
      <c r="Q345" s="3">
        <v>2.1621099999999999E-13</v>
      </c>
      <c r="R345" s="30">
        <v>2.25817E-13</v>
      </c>
      <c r="T345" s="6"/>
      <c r="U345" s="3">
        <v>2.1833200000000001E-14</v>
      </c>
      <c r="V345" s="3">
        <v>1.8689199999999999E-13</v>
      </c>
      <c r="W345" s="3">
        <v>1.95001E-13</v>
      </c>
      <c r="X345" s="35">
        <v>1.66182E-13</v>
      </c>
      <c r="Z345" s="6"/>
      <c r="AA345" s="3">
        <v>2.86951E-15</v>
      </c>
      <c r="AB345" s="3">
        <v>1.77909E-13</v>
      </c>
      <c r="AC345" s="3">
        <v>1.76911E-13</v>
      </c>
      <c r="AD345" s="30">
        <v>1.7017400000000001E-13</v>
      </c>
      <c r="AF345" s="6"/>
      <c r="AG345" s="3">
        <v>2.4952199999999999E-16</v>
      </c>
      <c r="AH345" s="3">
        <v>3.3685400000000001E-15</v>
      </c>
      <c r="AI345" s="3">
        <v>4.2418699999999996E-15</v>
      </c>
      <c r="AJ345" s="30">
        <v>2.61998E-15</v>
      </c>
      <c r="AL345" s="6"/>
      <c r="AM345" s="3"/>
      <c r="AN345" s="3"/>
      <c r="AO345" s="3">
        <v>1.2476E-16</v>
      </c>
      <c r="AP345" s="30"/>
      <c r="AR345" s="6"/>
      <c r="AS345" s="3">
        <v>2.9942599999999999E-15</v>
      </c>
      <c r="AT345" s="3">
        <v>2.8695000000000002E-15</v>
      </c>
      <c r="AU345" s="30">
        <v>2.4952199999999999E-16</v>
      </c>
      <c r="AV345" s="3">
        <v>2.7447400000000001E-15</v>
      </c>
    </row>
    <row r="346" spans="3:48" x14ac:dyDescent="0.25">
      <c r="C346" s="31">
        <v>9.5816500000000001E-14</v>
      </c>
      <c r="D346" s="5">
        <v>7.5892100000000003E-13</v>
      </c>
      <c r="E346" s="3">
        <v>7.7002500000000004E-13</v>
      </c>
      <c r="F346" s="30">
        <v>7.7164700000000003E-13</v>
      </c>
      <c r="H346" s="2"/>
      <c r="I346" s="3">
        <v>2.53265E-14</v>
      </c>
      <c r="J346" s="3">
        <v>2.05481E-13</v>
      </c>
      <c r="K346" s="3">
        <v>2.3255399999999999E-13</v>
      </c>
      <c r="L346" s="30">
        <v>2.01115E-13</v>
      </c>
      <c r="N346" s="6"/>
      <c r="O346" s="3">
        <v>1.5969400000000001E-14</v>
      </c>
      <c r="P346" s="3">
        <v>2.0148900000000001E-13</v>
      </c>
      <c r="Q346" s="3">
        <v>2.15837E-13</v>
      </c>
      <c r="R346" s="30">
        <v>2.2569300000000001E-13</v>
      </c>
      <c r="T346" s="6"/>
      <c r="U346" s="3">
        <v>2.1708400000000001E-14</v>
      </c>
      <c r="V346" s="3">
        <v>1.8614299999999999E-13</v>
      </c>
      <c r="W346" s="3">
        <v>1.9462700000000001E-13</v>
      </c>
      <c r="X346" s="35">
        <v>1.65184E-13</v>
      </c>
      <c r="Z346" s="6"/>
      <c r="AA346" s="3">
        <v>2.86951E-15</v>
      </c>
      <c r="AB346" s="3">
        <v>1.77161E-13</v>
      </c>
      <c r="AC346" s="3">
        <v>1.76412E-13</v>
      </c>
      <c r="AD346" s="30">
        <v>1.70049E-13</v>
      </c>
      <c r="AF346" s="6"/>
      <c r="AG346" s="3">
        <v>2.4952199999999999E-16</v>
      </c>
      <c r="AH346" s="3">
        <v>2.9942599999999999E-15</v>
      </c>
      <c r="AI346" s="3">
        <v>4.2418699999999996E-15</v>
      </c>
      <c r="AJ346" s="30">
        <v>2.1209299999999999E-15</v>
      </c>
      <c r="AL346" s="6"/>
      <c r="AM346" s="3"/>
      <c r="AN346" s="3"/>
      <c r="AO346" s="3">
        <v>1.2476E-16</v>
      </c>
      <c r="AP346" s="30"/>
      <c r="AR346" s="6"/>
      <c r="AS346" s="3">
        <v>2.9942599999999999E-15</v>
      </c>
      <c r="AT346" s="3">
        <v>2.7447400000000001E-15</v>
      </c>
      <c r="AU346" s="30">
        <v>7.4856599999999998E-16</v>
      </c>
      <c r="AV346" s="3">
        <v>2.7447400000000001E-15</v>
      </c>
    </row>
    <row r="347" spans="3:48" x14ac:dyDescent="0.25">
      <c r="C347" s="31">
        <v>9.5691700000000004E-14</v>
      </c>
      <c r="D347" s="5">
        <v>7.5655100000000001E-13</v>
      </c>
      <c r="E347" s="3">
        <v>7.68154E-13</v>
      </c>
      <c r="F347" s="30">
        <v>7.69401E-13</v>
      </c>
      <c r="H347" s="2"/>
      <c r="I347" s="3">
        <v>2.53265E-14</v>
      </c>
      <c r="J347" s="3">
        <v>2.05481E-13</v>
      </c>
      <c r="K347" s="3">
        <v>2.2981000000000001E-13</v>
      </c>
      <c r="L347" s="30">
        <v>1.9924300000000001E-13</v>
      </c>
      <c r="N347" s="6"/>
      <c r="O347" s="3">
        <v>1.5969400000000001E-14</v>
      </c>
      <c r="P347" s="3">
        <v>1.9936799999999999E-13</v>
      </c>
      <c r="Q347" s="3">
        <v>2.12842E-13</v>
      </c>
      <c r="R347" s="30">
        <v>2.2457E-13</v>
      </c>
      <c r="T347" s="6"/>
      <c r="U347" s="3">
        <v>2.1583700000000001E-14</v>
      </c>
      <c r="V347" s="3">
        <v>1.8489599999999999E-13</v>
      </c>
      <c r="W347" s="3">
        <v>1.9125899999999999E-13</v>
      </c>
      <c r="X347" s="35">
        <v>1.6281300000000001E-13</v>
      </c>
      <c r="Z347" s="6"/>
      <c r="AA347" s="3">
        <v>2.86951E-15</v>
      </c>
      <c r="AB347" s="3">
        <v>1.74541E-13</v>
      </c>
      <c r="AC347" s="3">
        <v>1.7528900000000001E-13</v>
      </c>
      <c r="AD347" s="30">
        <v>1.68927E-13</v>
      </c>
      <c r="AF347" s="6"/>
      <c r="AG347" s="3">
        <v>2.4952199999999999E-16</v>
      </c>
      <c r="AH347" s="3">
        <v>2.8695000000000002E-15</v>
      </c>
      <c r="AI347" s="3">
        <v>4.2418699999999996E-15</v>
      </c>
      <c r="AJ347" s="30">
        <v>1.9961699999999999E-15</v>
      </c>
      <c r="AL347" s="6"/>
      <c r="AM347" s="3"/>
      <c r="AN347" s="3"/>
      <c r="AO347" s="3">
        <v>1.2476E-16</v>
      </c>
      <c r="AP347" s="30"/>
      <c r="AR347" s="6"/>
      <c r="AS347" s="3">
        <v>2.9942599999999999E-15</v>
      </c>
      <c r="AT347" s="3">
        <v>2.7447400000000001E-15</v>
      </c>
      <c r="AU347" s="30">
        <v>2.4952199999999999E-16</v>
      </c>
      <c r="AV347" s="3">
        <v>2.7447400000000001E-15</v>
      </c>
    </row>
    <row r="348" spans="3:48" x14ac:dyDescent="0.25">
      <c r="C348" s="31">
        <v>9.5317400000000005E-14</v>
      </c>
      <c r="D348" s="5">
        <v>7.5168500000000004E-13</v>
      </c>
      <c r="E348" s="3">
        <v>7.6191599999999996E-13</v>
      </c>
      <c r="F348" s="30">
        <v>7.6765500000000002E-13</v>
      </c>
      <c r="H348" s="2"/>
      <c r="I348" s="3">
        <v>2.5201699999999999E-14</v>
      </c>
      <c r="J348" s="3">
        <v>2.0498199999999999E-13</v>
      </c>
      <c r="K348" s="3">
        <v>2.27314E-13</v>
      </c>
      <c r="L348" s="30">
        <v>1.9861899999999999E-13</v>
      </c>
      <c r="N348" s="6"/>
      <c r="O348" s="3">
        <v>1.58446E-14</v>
      </c>
      <c r="P348" s="3">
        <v>1.9787099999999999E-13</v>
      </c>
      <c r="Q348" s="3">
        <v>2.1271800000000001E-13</v>
      </c>
      <c r="R348" s="30">
        <v>2.2444500000000001E-13</v>
      </c>
      <c r="T348" s="6"/>
      <c r="U348" s="3">
        <v>2.1583700000000001E-14</v>
      </c>
      <c r="V348" s="3">
        <v>1.8414699999999999E-13</v>
      </c>
      <c r="W348" s="3">
        <v>1.8976099999999999E-13</v>
      </c>
      <c r="X348" s="35">
        <v>1.5707399999999999E-13</v>
      </c>
      <c r="Z348" s="6"/>
      <c r="AA348" s="3">
        <v>2.7447400000000001E-15</v>
      </c>
      <c r="AB348" s="3">
        <v>1.6930099999999999E-13</v>
      </c>
      <c r="AC348" s="3">
        <v>1.7341799999999999E-13</v>
      </c>
      <c r="AD348" s="30">
        <v>1.68677E-13</v>
      </c>
      <c r="AF348" s="6"/>
      <c r="AG348" s="3">
        <v>2.4952199999999999E-16</v>
      </c>
      <c r="AH348" s="3">
        <v>2.7447400000000001E-15</v>
      </c>
      <c r="AI348" s="3">
        <v>3.9923500000000003E-15</v>
      </c>
      <c r="AJ348" s="30">
        <v>1.8714100000000002E-15</v>
      </c>
      <c r="AL348" s="6"/>
      <c r="AM348" s="3"/>
      <c r="AN348" s="3"/>
      <c r="AO348" s="3">
        <v>1.2476E-16</v>
      </c>
      <c r="AP348" s="30"/>
      <c r="AR348" s="6"/>
      <c r="AS348" s="3">
        <v>2.9942599999999999E-15</v>
      </c>
      <c r="AT348" s="3">
        <v>2.7447400000000001E-15</v>
      </c>
      <c r="AU348" s="30">
        <v>9.9808799999999998E-16</v>
      </c>
      <c r="AV348" s="3">
        <v>2.7447400000000001E-15</v>
      </c>
    </row>
    <row r="349" spans="3:48" x14ac:dyDescent="0.25">
      <c r="C349" s="31">
        <v>9.5317400000000005E-14</v>
      </c>
      <c r="D349" s="5">
        <v>7.4719399999999996E-13</v>
      </c>
      <c r="E349" s="3">
        <v>7.57424E-13</v>
      </c>
      <c r="F349" s="30">
        <v>7.6328800000000003E-13</v>
      </c>
      <c r="H349" s="2"/>
      <c r="I349" s="3">
        <v>2.5076999999999999E-14</v>
      </c>
      <c r="J349" s="3">
        <v>2.01364E-13</v>
      </c>
      <c r="K349" s="3">
        <v>2.2195E-13</v>
      </c>
      <c r="L349" s="30">
        <v>1.92132E-13</v>
      </c>
      <c r="N349" s="6"/>
      <c r="O349" s="3">
        <v>1.55951E-14</v>
      </c>
      <c r="P349" s="3">
        <v>1.97746E-13</v>
      </c>
      <c r="Q349" s="3">
        <v>2.12593E-13</v>
      </c>
      <c r="R349" s="30">
        <v>2.2207499999999999E-13</v>
      </c>
      <c r="T349" s="6"/>
      <c r="U349" s="3">
        <v>2.1334099999999999E-14</v>
      </c>
      <c r="V349" s="3">
        <v>1.7953099999999999E-13</v>
      </c>
      <c r="W349" s="3">
        <v>1.89387E-13</v>
      </c>
      <c r="X349" s="35">
        <v>1.5582599999999999E-13</v>
      </c>
      <c r="Z349" s="6"/>
      <c r="AA349" s="3">
        <v>2.7447400000000001E-15</v>
      </c>
      <c r="AB349" s="3">
        <v>1.6905099999999999E-13</v>
      </c>
      <c r="AC349" s="3">
        <v>1.68927E-13</v>
      </c>
      <c r="AD349" s="30">
        <v>1.66431E-13</v>
      </c>
      <c r="AF349" s="6"/>
      <c r="AG349" s="3">
        <v>2.4952199999999999E-16</v>
      </c>
      <c r="AH349" s="3">
        <v>2.3704599999999999E-15</v>
      </c>
      <c r="AI349" s="3">
        <v>3.7428200000000003E-15</v>
      </c>
      <c r="AJ349" s="30">
        <v>1.7466500000000001E-15</v>
      </c>
      <c r="AL349" s="6"/>
      <c r="AM349" s="3"/>
      <c r="AN349" s="3"/>
      <c r="AO349" s="3">
        <v>1.2476E-16</v>
      </c>
      <c r="AP349" s="30"/>
      <c r="AR349" s="6"/>
      <c r="AS349" s="3">
        <v>2.9942599999999999E-15</v>
      </c>
      <c r="AT349" s="3">
        <v>2.7447400000000001E-15</v>
      </c>
      <c r="AU349" s="30">
        <v>2.4952199999999999E-16</v>
      </c>
      <c r="AV349" s="3">
        <v>2.7447400000000001E-15</v>
      </c>
    </row>
    <row r="350" spans="3:48" x14ac:dyDescent="0.25">
      <c r="C350" s="31">
        <v>9.5192700000000002E-14</v>
      </c>
      <c r="D350" s="5">
        <v>7.4232799999999998E-13</v>
      </c>
      <c r="E350" s="3">
        <v>7.5430499999999999E-13</v>
      </c>
      <c r="F350" s="30">
        <v>7.5717499999999995E-13</v>
      </c>
      <c r="H350" s="2"/>
      <c r="I350" s="3">
        <v>2.4952199999999999E-14</v>
      </c>
      <c r="J350" s="3">
        <v>1.9936799999999999E-13</v>
      </c>
      <c r="K350" s="3">
        <v>2.2182499999999999E-13</v>
      </c>
      <c r="L350" s="30">
        <v>1.8901300000000001E-13</v>
      </c>
      <c r="N350" s="6"/>
      <c r="O350" s="3">
        <v>1.55951E-14</v>
      </c>
      <c r="P350" s="3">
        <v>1.9175799999999999E-13</v>
      </c>
      <c r="Q350" s="3">
        <v>2.1147000000000001E-13</v>
      </c>
      <c r="R350" s="30">
        <v>2.2182499999999999E-13</v>
      </c>
      <c r="T350" s="6"/>
      <c r="U350" s="3">
        <v>2.1334099999999999E-14</v>
      </c>
      <c r="V350" s="3">
        <v>1.78907E-13</v>
      </c>
      <c r="W350" s="3">
        <v>1.8826400000000001E-13</v>
      </c>
      <c r="X350" s="35">
        <v>1.5432899999999999E-13</v>
      </c>
      <c r="Z350" s="6"/>
      <c r="AA350" s="3">
        <v>2.7447400000000001E-15</v>
      </c>
      <c r="AB350" s="3">
        <v>1.6880199999999999E-13</v>
      </c>
      <c r="AC350" s="3">
        <v>1.68178E-13</v>
      </c>
      <c r="AD350" s="30">
        <v>1.6406100000000001E-13</v>
      </c>
      <c r="AF350" s="6"/>
      <c r="AG350" s="3">
        <v>2.4952199999999999E-16</v>
      </c>
      <c r="AH350" s="3">
        <v>2.3704599999999999E-15</v>
      </c>
      <c r="AI350" s="3">
        <v>3.6180600000000003E-15</v>
      </c>
      <c r="AJ350" s="30">
        <v>1.7466500000000001E-15</v>
      </c>
      <c r="AL350" s="6"/>
      <c r="AM350" s="3"/>
      <c r="AN350" s="3"/>
      <c r="AO350" s="3">
        <v>1.2476E-16</v>
      </c>
      <c r="AP350" s="30"/>
      <c r="AR350" s="6"/>
      <c r="AS350" s="3">
        <v>2.8695000000000002E-15</v>
      </c>
      <c r="AT350" s="3">
        <v>2.7447400000000001E-15</v>
      </c>
      <c r="AU350" s="30">
        <v>6.9491900000000001E-14</v>
      </c>
      <c r="AV350" s="3">
        <v>2.7447400000000001E-15</v>
      </c>
    </row>
    <row r="351" spans="3:48" x14ac:dyDescent="0.25">
      <c r="C351" s="31">
        <v>9.5192700000000002E-14</v>
      </c>
      <c r="D351" s="5">
        <v>7.4045700000000004E-13</v>
      </c>
      <c r="E351" s="3">
        <v>7.5056200000000003E-13</v>
      </c>
      <c r="F351" s="30">
        <v>7.5393099999999997E-13</v>
      </c>
      <c r="H351" s="2"/>
      <c r="I351" s="3">
        <v>2.4952199999999999E-14</v>
      </c>
      <c r="J351" s="3">
        <v>1.96748E-13</v>
      </c>
      <c r="K351" s="3">
        <v>2.19205E-13</v>
      </c>
      <c r="L351" s="30">
        <v>1.88639E-13</v>
      </c>
      <c r="N351" s="6"/>
      <c r="O351" s="3">
        <v>1.54704E-14</v>
      </c>
      <c r="P351" s="3">
        <v>1.9175799999999999E-13</v>
      </c>
      <c r="Q351" s="3">
        <v>2.0598E-13</v>
      </c>
      <c r="R351" s="30">
        <v>2.21201E-13</v>
      </c>
      <c r="T351" s="6"/>
      <c r="U351" s="3">
        <v>2.1209399999999999E-14</v>
      </c>
      <c r="V351" s="3">
        <v>1.7753500000000001E-13</v>
      </c>
      <c r="W351" s="3">
        <v>1.8776500000000001E-13</v>
      </c>
      <c r="X351" s="35">
        <v>1.51709E-13</v>
      </c>
      <c r="Z351" s="6"/>
      <c r="AA351" s="3">
        <v>2.61998E-15</v>
      </c>
      <c r="AB351" s="3">
        <v>1.6855199999999999E-13</v>
      </c>
      <c r="AC351" s="3">
        <v>1.6693E-13</v>
      </c>
      <c r="AD351" s="30">
        <v>1.6281300000000001E-13</v>
      </c>
      <c r="AF351" s="6"/>
      <c r="AG351" s="3">
        <v>2.4952199999999999E-16</v>
      </c>
      <c r="AH351" s="3">
        <v>2.24569E-15</v>
      </c>
      <c r="AI351" s="3">
        <v>3.6180600000000003E-15</v>
      </c>
      <c r="AJ351" s="30">
        <v>1.62189E-15</v>
      </c>
      <c r="AL351" s="6"/>
      <c r="AM351" s="3"/>
      <c r="AN351" s="3"/>
      <c r="AO351" s="3">
        <v>1.2476E-16</v>
      </c>
      <c r="AP351" s="30"/>
      <c r="AR351" s="6"/>
      <c r="AS351" s="3">
        <v>2.8695000000000002E-15</v>
      </c>
      <c r="AT351" s="3">
        <v>2.7447400000000001E-15</v>
      </c>
      <c r="AU351" s="30">
        <v>1.24761E-16</v>
      </c>
      <c r="AV351" s="3">
        <v>2.61998E-15</v>
      </c>
    </row>
    <row r="352" spans="3:48" x14ac:dyDescent="0.25">
      <c r="C352" s="31">
        <v>9.4818400000000004E-14</v>
      </c>
      <c r="D352" s="5">
        <v>7.3821100000000001E-13</v>
      </c>
      <c r="E352" s="3">
        <v>7.4819200000000001E-13</v>
      </c>
      <c r="F352" s="30">
        <v>7.52559E-13</v>
      </c>
      <c r="H352" s="2"/>
      <c r="I352" s="3">
        <v>2.4827400000000001E-14</v>
      </c>
      <c r="J352" s="3">
        <v>1.9125899999999999E-13</v>
      </c>
      <c r="K352" s="3">
        <v>2.1883100000000001E-13</v>
      </c>
      <c r="L352" s="30">
        <v>1.8751600000000001E-13</v>
      </c>
      <c r="N352" s="6"/>
      <c r="O352" s="3">
        <v>1.5345599999999999E-14</v>
      </c>
      <c r="P352" s="3">
        <v>1.89886E-13</v>
      </c>
      <c r="Q352" s="3">
        <v>2.0510700000000001E-13</v>
      </c>
      <c r="R352" s="30">
        <v>2.20702E-13</v>
      </c>
      <c r="T352" s="6"/>
      <c r="U352" s="3">
        <v>2.1209399999999999E-14</v>
      </c>
      <c r="V352" s="3">
        <v>1.72544E-13</v>
      </c>
      <c r="W352" s="3">
        <v>1.8115300000000001E-13</v>
      </c>
      <c r="X352" s="35">
        <v>1.4884E-13</v>
      </c>
      <c r="Z352" s="6"/>
      <c r="AA352" s="3">
        <v>2.4952199999999999E-15</v>
      </c>
      <c r="AB352" s="3">
        <v>1.6393599999999999E-13</v>
      </c>
      <c r="AC352" s="3">
        <v>1.6680600000000001E-13</v>
      </c>
      <c r="AD352" s="30">
        <v>1.62564E-13</v>
      </c>
      <c r="AF352" s="6"/>
      <c r="AG352" s="3">
        <v>2.4952199999999999E-16</v>
      </c>
      <c r="AH352" s="3">
        <v>2.1209299999999999E-15</v>
      </c>
      <c r="AI352" s="3">
        <v>3.24378E-15</v>
      </c>
      <c r="AJ352" s="30">
        <v>1.4971299999999999E-15</v>
      </c>
      <c r="AL352" s="6"/>
      <c r="AM352" s="3"/>
      <c r="AN352" s="3"/>
      <c r="AO352" s="3">
        <v>1.2476E-16</v>
      </c>
      <c r="AP352" s="30"/>
      <c r="AR352" s="6"/>
      <c r="AS352" s="3">
        <v>2.8695000000000002E-15</v>
      </c>
      <c r="AT352" s="3">
        <v>2.7447400000000001E-15</v>
      </c>
      <c r="AU352" s="30">
        <v>3.49331E-15</v>
      </c>
      <c r="AV352" s="3">
        <v>2.61998E-15</v>
      </c>
    </row>
    <row r="353" spans="3:48" x14ac:dyDescent="0.25">
      <c r="C353" s="31">
        <v>9.4818400000000004E-14</v>
      </c>
      <c r="D353" s="5">
        <v>7.3334500000000004E-13</v>
      </c>
      <c r="E353" s="3">
        <v>7.4295200000000002E-13</v>
      </c>
      <c r="F353" s="30">
        <v>7.4993899999999996E-13</v>
      </c>
      <c r="H353" s="2"/>
      <c r="I353" s="3">
        <v>2.4702700000000001E-14</v>
      </c>
      <c r="J353" s="3">
        <v>1.9050999999999999E-13</v>
      </c>
      <c r="K353" s="3">
        <v>2.1633500000000001E-13</v>
      </c>
      <c r="L353" s="30">
        <v>1.8589399999999999E-13</v>
      </c>
      <c r="N353" s="6"/>
      <c r="O353" s="3">
        <v>1.5096099999999999E-14</v>
      </c>
      <c r="P353" s="3">
        <v>1.8801500000000001E-13</v>
      </c>
      <c r="Q353" s="3">
        <v>2.04858E-13</v>
      </c>
      <c r="R353" s="30">
        <v>2.1695899999999999E-13</v>
      </c>
      <c r="T353" s="6"/>
      <c r="U353" s="3">
        <v>2.1084599999999999E-14</v>
      </c>
      <c r="V353" s="3">
        <v>1.71546E-13</v>
      </c>
      <c r="W353" s="3">
        <v>1.7741E-13</v>
      </c>
      <c r="X353" s="35">
        <v>1.47343E-13</v>
      </c>
      <c r="Z353" s="6"/>
      <c r="AA353" s="3">
        <v>2.4952199999999999E-15</v>
      </c>
      <c r="AB353" s="3">
        <v>1.6268899999999999E-13</v>
      </c>
      <c r="AC353" s="3">
        <v>1.6580800000000001E-13</v>
      </c>
      <c r="AD353" s="30">
        <v>1.62065E-13</v>
      </c>
      <c r="AF353" s="6"/>
      <c r="AG353" s="3">
        <v>2.4952199999999999E-16</v>
      </c>
      <c r="AH353" s="3">
        <v>1.9961699999999999E-15</v>
      </c>
      <c r="AI353" s="3">
        <v>3.1190199999999999E-15</v>
      </c>
      <c r="AJ353" s="30">
        <v>1.4971299999999999E-15</v>
      </c>
      <c r="AL353" s="6"/>
      <c r="AM353" s="3"/>
      <c r="AN353" s="3"/>
      <c r="AO353" s="3">
        <v>1.2476E-16</v>
      </c>
      <c r="AP353" s="30"/>
      <c r="AR353" s="6"/>
      <c r="AS353" s="3">
        <v>2.8695000000000002E-15</v>
      </c>
      <c r="AT353" s="3">
        <v>2.61998E-15</v>
      </c>
      <c r="AU353" s="30">
        <v>2.4952199999999999E-16</v>
      </c>
      <c r="AV353" s="3">
        <v>2.61998E-15</v>
      </c>
    </row>
    <row r="354" spans="3:48" x14ac:dyDescent="0.25">
      <c r="C354" s="31">
        <v>9.4693599999999994E-14</v>
      </c>
      <c r="D354" s="5">
        <v>7.3259700000000001E-13</v>
      </c>
      <c r="E354" s="3">
        <v>7.3234699999999999E-13</v>
      </c>
      <c r="F354" s="30">
        <v>7.4869099999999999E-13</v>
      </c>
      <c r="H354" s="2"/>
      <c r="I354" s="3">
        <v>2.45779E-14</v>
      </c>
      <c r="J354" s="3">
        <v>1.88888E-13</v>
      </c>
      <c r="K354" s="3">
        <v>2.10472E-13</v>
      </c>
      <c r="L354" s="30">
        <v>1.84521E-13</v>
      </c>
      <c r="N354" s="6"/>
      <c r="O354" s="3">
        <v>1.5096099999999999E-14</v>
      </c>
      <c r="P354" s="3">
        <v>1.84022E-13</v>
      </c>
      <c r="Q354" s="3">
        <v>2.0336E-13</v>
      </c>
      <c r="R354" s="30">
        <v>2.16336E-13</v>
      </c>
      <c r="T354" s="6"/>
      <c r="U354" s="3">
        <v>2.0959800000000001E-14</v>
      </c>
      <c r="V354" s="3">
        <v>1.6705499999999999E-13</v>
      </c>
      <c r="W354" s="3">
        <v>1.76412E-13</v>
      </c>
      <c r="X354" s="35">
        <v>1.4509699999999999E-13</v>
      </c>
      <c r="Z354" s="6"/>
      <c r="AA354" s="3">
        <v>2.4952199999999999E-15</v>
      </c>
      <c r="AB354" s="3">
        <v>1.6193999999999999E-13</v>
      </c>
      <c r="AC354" s="3">
        <v>1.6456000000000001E-13</v>
      </c>
      <c r="AD354" s="30">
        <v>1.60318E-13</v>
      </c>
      <c r="AF354" s="6"/>
      <c r="AG354" s="3">
        <v>2.4952199999999999E-16</v>
      </c>
      <c r="AH354" s="3">
        <v>1.8714100000000002E-15</v>
      </c>
      <c r="AI354" s="3">
        <v>2.9942599999999999E-15</v>
      </c>
      <c r="AJ354" s="30">
        <v>1.3723700000000001E-15</v>
      </c>
      <c r="AL354" s="6"/>
      <c r="AM354" s="3"/>
      <c r="AN354" s="3"/>
      <c r="AO354" s="3">
        <v>1.2476E-16</v>
      </c>
      <c r="AP354" s="30"/>
      <c r="AR354" s="6"/>
      <c r="AS354" s="3">
        <v>2.8695000000000002E-15</v>
      </c>
      <c r="AT354" s="3">
        <v>2.61998E-15</v>
      </c>
      <c r="AU354" s="30">
        <v>1.24761E-16</v>
      </c>
      <c r="AV354" s="3">
        <v>2.61998E-15</v>
      </c>
    </row>
    <row r="355" spans="3:48" x14ac:dyDescent="0.25">
      <c r="C355" s="31">
        <v>9.4568900000000004E-14</v>
      </c>
      <c r="D355" s="5">
        <v>7.3010200000000003E-13</v>
      </c>
      <c r="E355" s="3">
        <v>7.2860400000000003E-13</v>
      </c>
      <c r="F355" s="30">
        <v>7.4769300000000003E-13</v>
      </c>
      <c r="H355" s="2"/>
      <c r="I355" s="3">
        <v>2.45779E-14</v>
      </c>
      <c r="J355" s="3">
        <v>1.83274E-13</v>
      </c>
      <c r="K355" s="3">
        <v>2.10472E-13</v>
      </c>
      <c r="L355" s="30">
        <v>1.83523E-13</v>
      </c>
      <c r="N355" s="6"/>
      <c r="O355" s="3">
        <v>1.4971300000000001E-14</v>
      </c>
      <c r="P355" s="3">
        <v>1.8389800000000001E-13</v>
      </c>
      <c r="Q355" s="3">
        <v>1.9961799999999999E-13</v>
      </c>
      <c r="R355" s="30">
        <v>2.11844E-13</v>
      </c>
      <c r="T355" s="6"/>
      <c r="U355" s="3">
        <v>2.0835100000000001E-14</v>
      </c>
      <c r="V355" s="3">
        <v>1.66681E-13</v>
      </c>
      <c r="W355" s="3">
        <v>1.7466499999999999E-13</v>
      </c>
      <c r="X355" s="35">
        <v>1.43475E-13</v>
      </c>
      <c r="Z355" s="6"/>
      <c r="AA355" s="3">
        <v>2.4952199999999999E-15</v>
      </c>
      <c r="AB355" s="3">
        <v>1.5932E-13</v>
      </c>
      <c r="AC355" s="3">
        <v>1.6393599999999999E-13</v>
      </c>
      <c r="AD355" s="30">
        <v>1.58821E-13</v>
      </c>
      <c r="AF355" s="6"/>
      <c r="AG355" s="3">
        <v>2.4952199999999999E-16</v>
      </c>
      <c r="AH355" s="3">
        <v>1.8714100000000002E-15</v>
      </c>
      <c r="AI355" s="3">
        <v>2.8695000000000002E-15</v>
      </c>
      <c r="AJ355" s="30">
        <v>1.24761E-15</v>
      </c>
      <c r="AL355" s="6"/>
      <c r="AM355" s="3"/>
      <c r="AN355" s="3"/>
      <c r="AO355" s="3">
        <v>1.2476E-16</v>
      </c>
      <c r="AP355" s="30"/>
      <c r="AR355" s="6"/>
      <c r="AS355" s="3">
        <v>2.8695000000000002E-15</v>
      </c>
      <c r="AT355" s="3">
        <v>2.61998E-15</v>
      </c>
      <c r="AU355" s="30">
        <v>2.4952199999999999E-16</v>
      </c>
      <c r="AV355" s="3">
        <v>2.61998E-15</v>
      </c>
    </row>
    <row r="356" spans="3:48" x14ac:dyDescent="0.25">
      <c r="C356" s="31">
        <v>9.4568900000000004E-14</v>
      </c>
      <c r="D356" s="5">
        <v>7.3010200000000003E-13</v>
      </c>
      <c r="E356" s="3">
        <v>7.27856E-13</v>
      </c>
      <c r="F356" s="30">
        <v>7.4195399999999997E-13</v>
      </c>
      <c r="H356" s="2"/>
      <c r="I356" s="3">
        <v>2.44531E-14</v>
      </c>
      <c r="J356" s="3">
        <v>1.8290000000000001E-13</v>
      </c>
      <c r="K356" s="3">
        <v>2.0635500000000001E-13</v>
      </c>
      <c r="L356" s="30">
        <v>1.7803400000000001E-13</v>
      </c>
      <c r="N356" s="6"/>
      <c r="O356" s="3">
        <v>1.47218E-14</v>
      </c>
      <c r="P356" s="3">
        <v>1.83523E-13</v>
      </c>
      <c r="Q356" s="3">
        <v>1.97996E-13</v>
      </c>
      <c r="R356" s="30">
        <v>2.08725E-13</v>
      </c>
      <c r="T356" s="6"/>
      <c r="U356" s="3">
        <v>2.0835100000000001E-14</v>
      </c>
      <c r="V356" s="3">
        <v>1.65932E-13</v>
      </c>
      <c r="W356" s="3">
        <v>1.7466499999999999E-13</v>
      </c>
      <c r="X356" s="35">
        <v>1.4310099999999999E-13</v>
      </c>
      <c r="Z356" s="6"/>
      <c r="AA356" s="3">
        <v>2.3704599999999999E-15</v>
      </c>
      <c r="AB356" s="3">
        <v>1.58821E-13</v>
      </c>
      <c r="AC356" s="3">
        <v>1.61815E-13</v>
      </c>
      <c r="AD356" s="30">
        <v>1.5507799999999999E-13</v>
      </c>
      <c r="AF356" s="6"/>
      <c r="AG356" s="3">
        <v>2.4952199999999999E-16</v>
      </c>
      <c r="AH356" s="3">
        <v>1.8714100000000002E-15</v>
      </c>
      <c r="AI356" s="3">
        <v>2.61998E-15</v>
      </c>
      <c r="AJ356" s="30">
        <v>1.24761E-15</v>
      </c>
      <c r="AL356" s="6"/>
      <c r="AM356" s="3"/>
      <c r="AN356" s="3"/>
      <c r="AO356" s="3">
        <v>1.2476E-16</v>
      </c>
      <c r="AP356" s="30"/>
      <c r="AR356" s="6"/>
      <c r="AS356" s="3">
        <v>2.7447400000000001E-15</v>
      </c>
      <c r="AT356" s="3">
        <v>2.61998E-15</v>
      </c>
      <c r="AU356" s="30">
        <v>3.7428300000000001E-15</v>
      </c>
      <c r="AV356" s="3">
        <v>2.4952199999999999E-15</v>
      </c>
    </row>
    <row r="357" spans="3:48" x14ac:dyDescent="0.25">
      <c r="C357" s="31">
        <v>9.3945100000000005E-14</v>
      </c>
      <c r="D357" s="5">
        <v>7.2773100000000004E-13</v>
      </c>
      <c r="E357" s="3">
        <v>7.2249099999999996E-13</v>
      </c>
      <c r="F357" s="30">
        <v>7.3683900000000005E-13</v>
      </c>
      <c r="H357" s="2"/>
      <c r="I357" s="3">
        <v>2.44531E-14</v>
      </c>
      <c r="J357" s="3">
        <v>1.8077899999999999E-13</v>
      </c>
      <c r="K357" s="3">
        <v>2.0348499999999999E-13</v>
      </c>
      <c r="L357" s="30">
        <v>1.7678600000000001E-13</v>
      </c>
      <c r="N357" s="6"/>
      <c r="O357" s="3">
        <v>1.47218E-14</v>
      </c>
      <c r="P357" s="3">
        <v>1.82775E-13</v>
      </c>
      <c r="Q357" s="3">
        <v>1.9662299999999999E-13</v>
      </c>
      <c r="R357" s="30">
        <v>2.0535700000000001E-13</v>
      </c>
      <c r="T357" s="6"/>
      <c r="U357" s="3">
        <v>2.0835100000000001E-14</v>
      </c>
      <c r="V357" s="3">
        <v>1.65184E-13</v>
      </c>
      <c r="W357" s="3">
        <v>1.73293E-13</v>
      </c>
      <c r="X357" s="35">
        <v>1.4098E-13</v>
      </c>
      <c r="Z357" s="6"/>
      <c r="AA357" s="3">
        <v>2.3704599999999999E-15</v>
      </c>
      <c r="AB357" s="3">
        <v>1.5333100000000001E-13</v>
      </c>
      <c r="AC357" s="3">
        <v>1.60817E-13</v>
      </c>
      <c r="AD357" s="30">
        <v>1.5433000000000001E-13</v>
      </c>
      <c r="AF357" s="6"/>
      <c r="AG357" s="3">
        <v>2.4952199999999999E-16</v>
      </c>
      <c r="AH357" s="3">
        <v>1.7466500000000001E-15</v>
      </c>
      <c r="AI357" s="3">
        <v>2.61998E-15</v>
      </c>
      <c r="AJ357" s="30">
        <v>1.24761E-15</v>
      </c>
      <c r="AL357" s="6"/>
      <c r="AM357" s="3"/>
      <c r="AN357" s="3"/>
      <c r="AO357" s="3">
        <v>1.2476E-16</v>
      </c>
      <c r="AP357" s="30"/>
      <c r="AR357" s="6"/>
      <c r="AS357" s="3">
        <v>2.7447400000000001E-15</v>
      </c>
      <c r="AT357" s="3">
        <v>2.61998E-15</v>
      </c>
      <c r="AU357" s="30">
        <v>6.2380499999999999E-16</v>
      </c>
      <c r="AV357" s="3">
        <v>2.4952199999999999E-15</v>
      </c>
    </row>
    <row r="358" spans="3:48" x14ac:dyDescent="0.25">
      <c r="C358" s="31">
        <v>9.3820299999999995E-14</v>
      </c>
      <c r="D358" s="5">
        <v>7.2623400000000001E-13</v>
      </c>
      <c r="E358" s="3">
        <v>7.2062000000000001E-13</v>
      </c>
      <c r="F358" s="30">
        <v>7.3409400000000004E-13</v>
      </c>
      <c r="H358" s="2"/>
      <c r="I358" s="3">
        <v>2.4203599999999999E-14</v>
      </c>
      <c r="J358" s="3">
        <v>1.7953099999999999E-13</v>
      </c>
      <c r="K358" s="3">
        <v>2.0148900000000001E-13</v>
      </c>
      <c r="L358" s="30">
        <v>1.7504E-13</v>
      </c>
      <c r="N358" s="6"/>
      <c r="O358" s="3">
        <v>1.4597E-14</v>
      </c>
      <c r="P358" s="3">
        <v>1.7953099999999999E-13</v>
      </c>
      <c r="Q358" s="3">
        <v>1.95251E-13</v>
      </c>
      <c r="R358" s="30">
        <v>2.0510700000000001E-13</v>
      </c>
      <c r="T358" s="6"/>
      <c r="U358" s="3">
        <v>2.07103E-14</v>
      </c>
      <c r="V358" s="3">
        <v>1.6343699999999999E-13</v>
      </c>
      <c r="W358" s="3">
        <v>1.7316799999999999E-13</v>
      </c>
      <c r="X358" s="35">
        <v>1.3998199999999999E-13</v>
      </c>
      <c r="Z358" s="6"/>
      <c r="AA358" s="3">
        <v>2.2457000000000002E-15</v>
      </c>
      <c r="AB358" s="3">
        <v>1.5270799999999999E-13</v>
      </c>
      <c r="AC358" s="3">
        <v>1.5844700000000001E-13</v>
      </c>
      <c r="AD358" s="30">
        <v>1.5383000000000001E-13</v>
      </c>
      <c r="AF358" s="6"/>
      <c r="AG358" s="3">
        <v>2.4952199999999999E-16</v>
      </c>
      <c r="AH358" s="3">
        <v>1.62189E-15</v>
      </c>
      <c r="AI358" s="3">
        <v>2.4952199999999999E-15</v>
      </c>
      <c r="AJ358" s="30">
        <v>1.1228500000000001E-15</v>
      </c>
      <c r="AL358" s="6"/>
      <c r="AM358" s="3"/>
      <c r="AN358" s="3"/>
      <c r="AO358" s="3">
        <v>1.2476E-16</v>
      </c>
      <c r="AP358" s="30"/>
      <c r="AR358" s="6"/>
      <c r="AS358" s="3">
        <v>2.61998E-15</v>
      </c>
      <c r="AT358" s="3">
        <v>2.61998E-15</v>
      </c>
      <c r="AU358" s="30">
        <v>7.4856599999999998E-16</v>
      </c>
      <c r="AV358" s="3">
        <v>2.4952199999999999E-15</v>
      </c>
    </row>
    <row r="359" spans="3:48" x14ac:dyDescent="0.25">
      <c r="C359" s="31">
        <v>9.3695499999999997E-14</v>
      </c>
      <c r="D359" s="5">
        <v>7.2523599999999996E-13</v>
      </c>
      <c r="E359" s="3">
        <v>7.1974599999999995E-13</v>
      </c>
      <c r="F359" s="30">
        <v>7.3159899999999996E-13</v>
      </c>
      <c r="H359" s="2"/>
      <c r="I359" s="3">
        <v>2.4203599999999999E-14</v>
      </c>
      <c r="J359" s="3">
        <v>1.78907E-13</v>
      </c>
      <c r="K359" s="3">
        <v>2.00865E-13</v>
      </c>
      <c r="L359" s="30">
        <v>1.72045E-13</v>
      </c>
      <c r="N359" s="6"/>
      <c r="O359" s="3">
        <v>1.4597E-14</v>
      </c>
      <c r="P359" s="3">
        <v>1.79406E-13</v>
      </c>
      <c r="Q359" s="3">
        <v>1.9001100000000001E-13</v>
      </c>
      <c r="R359" s="30">
        <v>2.0385900000000001E-13</v>
      </c>
      <c r="T359" s="6"/>
      <c r="U359" s="3">
        <v>2.0585600000000001E-14</v>
      </c>
      <c r="V359" s="3">
        <v>1.62065E-13</v>
      </c>
      <c r="W359" s="3">
        <v>1.72544E-13</v>
      </c>
      <c r="X359" s="35">
        <v>1.3898399999999999E-13</v>
      </c>
      <c r="Z359" s="6"/>
      <c r="AA359" s="3">
        <v>2.2457000000000002E-15</v>
      </c>
      <c r="AB359" s="3">
        <v>1.49838E-13</v>
      </c>
      <c r="AC359" s="3">
        <v>1.5632599999999999E-13</v>
      </c>
      <c r="AD359" s="30">
        <v>1.5046199999999999E-13</v>
      </c>
      <c r="AF359" s="6"/>
      <c r="AG359" s="3">
        <v>2.4952199999999999E-16</v>
      </c>
      <c r="AH359" s="3">
        <v>1.3723700000000001E-15</v>
      </c>
      <c r="AI359" s="3">
        <v>2.3704599999999999E-15</v>
      </c>
      <c r="AJ359" s="30">
        <v>1.1228500000000001E-15</v>
      </c>
      <c r="AL359" s="6"/>
      <c r="AM359" s="3"/>
      <c r="AN359" s="3"/>
      <c r="AO359" s="3">
        <v>1.2476E-16</v>
      </c>
      <c r="AP359" s="30"/>
      <c r="AR359" s="6"/>
      <c r="AS359" s="3">
        <v>2.61998E-15</v>
      </c>
      <c r="AT359" s="3">
        <v>2.4952199999999999E-15</v>
      </c>
      <c r="AU359" s="30">
        <v>3.7428299999999999E-16</v>
      </c>
      <c r="AV359" s="3">
        <v>2.4952199999999999E-15</v>
      </c>
    </row>
    <row r="360" spans="3:48" x14ac:dyDescent="0.25">
      <c r="C360" s="31">
        <v>9.3570799999999994E-14</v>
      </c>
      <c r="D360" s="5">
        <v>7.2436299999999997E-13</v>
      </c>
      <c r="E360" s="3">
        <v>7.1725099999999997E-13</v>
      </c>
      <c r="F360" s="30">
        <v>7.2735700000000003E-13</v>
      </c>
      <c r="H360" s="2"/>
      <c r="I360" s="3">
        <v>2.4078899999999999E-14</v>
      </c>
      <c r="J360" s="3">
        <v>1.78907E-13</v>
      </c>
      <c r="K360" s="3">
        <v>1.94502E-13</v>
      </c>
      <c r="L360" s="30">
        <v>1.71796E-13</v>
      </c>
      <c r="N360" s="6"/>
      <c r="O360" s="3">
        <v>1.4597E-14</v>
      </c>
      <c r="P360" s="3">
        <v>1.7491499999999999E-13</v>
      </c>
      <c r="Q360" s="3">
        <v>1.8876300000000001E-13</v>
      </c>
      <c r="R360" s="30">
        <v>2.01364E-13</v>
      </c>
      <c r="T360" s="6"/>
      <c r="U360" s="3">
        <v>2.0585600000000001E-14</v>
      </c>
      <c r="V360" s="3">
        <v>1.5645E-13</v>
      </c>
      <c r="W360" s="3">
        <v>1.68178E-13</v>
      </c>
      <c r="X360" s="35">
        <v>1.38859E-13</v>
      </c>
      <c r="Z360" s="6"/>
      <c r="AA360" s="3">
        <v>2.2457000000000002E-15</v>
      </c>
      <c r="AB360" s="3">
        <v>1.4946399999999999E-13</v>
      </c>
      <c r="AC360" s="3">
        <v>1.5283200000000001E-13</v>
      </c>
      <c r="AD360" s="30">
        <v>1.4896500000000001E-13</v>
      </c>
      <c r="AF360" s="6"/>
      <c r="AG360" s="3">
        <v>2.4952199999999999E-16</v>
      </c>
      <c r="AH360" s="3">
        <v>1.3723700000000001E-15</v>
      </c>
      <c r="AI360" s="3">
        <v>2.24569E-15</v>
      </c>
      <c r="AJ360" s="30">
        <v>1.1228500000000001E-15</v>
      </c>
      <c r="AL360" s="6"/>
      <c r="AM360" s="3"/>
      <c r="AN360" s="3"/>
      <c r="AO360" s="3">
        <v>1.2476E-16</v>
      </c>
      <c r="AP360" s="30"/>
      <c r="AR360" s="6"/>
      <c r="AS360" s="3">
        <v>2.61998E-15</v>
      </c>
      <c r="AT360" s="3">
        <v>2.4952199999999999E-15</v>
      </c>
      <c r="AU360" s="30">
        <v>6.2380499999999999E-16</v>
      </c>
      <c r="AV360" s="3">
        <v>2.4952199999999999E-15</v>
      </c>
    </row>
    <row r="361" spans="3:48" x14ac:dyDescent="0.25">
      <c r="C361" s="31">
        <v>9.2323199999999996E-14</v>
      </c>
      <c r="D361" s="5">
        <v>7.2186700000000002E-13</v>
      </c>
      <c r="E361" s="3">
        <v>7.1612799999999996E-13</v>
      </c>
      <c r="F361" s="30">
        <v>7.2523599999999996E-13</v>
      </c>
      <c r="H361" s="2"/>
      <c r="I361" s="3">
        <v>2.4078899999999999E-14</v>
      </c>
      <c r="J361" s="3">
        <v>1.7591299999999999E-13</v>
      </c>
      <c r="K361" s="3">
        <v>1.9362900000000001E-13</v>
      </c>
      <c r="L361" s="30">
        <v>1.68677E-13</v>
      </c>
      <c r="N361" s="6"/>
      <c r="O361" s="3">
        <v>1.44723E-14</v>
      </c>
      <c r="P361" s="3">
        <v>1.7366699999999999E-13</v>
      </c>
      <c r="Q361" s="3">
        <v>1.86268E-13</v>
      </c>
      <c r="R361" s="30">
        <v>1.97247E-13</v>
      </c>
      <c r="T361" s="6"/>
      <c r="U361" s="3">
        <v>2.0211299999999999E-14</v>
      </c>
      <c r="V361" s="3">
        <v>1.55203E-13</v>
      </c>
      <c r="W361" s="3">
        <v>1.6705499999999999E-13</v>
      </c>
      <c r="X361" s="35">
        <v>1.3798599999999999E-13</v>
      </c>
      <c r="Z361" s="6"/>
      <c r="AA361" s="3">
        <v>2.1209400000000001E-15</v>
      </c>
      <c r="AB361" s="3">
        <v>1.4909E-13</v>
      </c>
      <c r="AC361" s="3">
        <v>1.5283200000000001E-13</v>
      </c>
      <c r="AD361" s="30">
        <v>1.4846600000000001E-13</v>
      </c>
      <c r="AF361" s="6"/>
      <c r="AG361" s="3">
        <v>2.4952199999999999E-16</v>
      </c>
      <c r="AH361" s="3">
        <v>1.3723700000000001E-15</v>
      </c>
      <c r="AI361" s="3">
        <v>2.1209299999999999E-15</v>
      </c>
      <c r="AJ361" s="30">
        <v>1.1228500000000001E-15</v>
      </c>
      <c r="AL361" s="6"/>
      <c r="AM361" s="3"/>
      <c r="AN361" s="3"/>
      <c r="AO361" s="3">
        <v>1.2476E-16</v>
      </c>
      <c r="AP361" s="30"/>
      <c r="AR361" s="6"/>
      <c r="AS361" s="3">
        <v>2.61998E-15</v>
      </c>
      <c r="AT361" s="3">
        <v>2.4952199999999999E-15</v>
      </c>
      <c r="AU361" s="30">
        <v>1.24761E-16</v>
      </c>
      <c r="AV361" s="3">
        <v>2.4952199999999999E-15</v>
      </c>
    </row>
    <row r="362" spans="3:48" x14ac:dyDescent="0.25">
      <c r="C362" s="31">
        <v>9.2198399999999999E-14</v>
      </c>
      <c r="D362" s="5">
        <v>7.1812500000000003E-13</v>
      </c>
      <c r="E362" s="3">
        <v>7.1513E-13</v>
      </c>
      <c r="F362" s="30">
        <v>7.2286499999999997E-13</v>
      </c>
      <c r="H362" s="2"/>
      <c r="I362" s="3">
        <v>2.3829300000000001E-14</v>
      </c>
      <c r="J362" s="3">
        <v>1.7504E-13</v>
      </c>
      <c r="K362" s="3">
        <v>1.9313000000000001E-13</v>
      </c>
      <c r="L362" s="30">
        <v>1.6655600000000001E-13</v>
      </c>
      <c r="N362" s="6"/>
      <c r="O362" s="3">
        <v>1.4347499999999999E-14</v>
      </c>
      <c r="P362" s="3">
        <v>1.73044E-13</v>
      </c>
      <c r="Q362" s="3">
        <v>1.8614299999999999E-13</v>
      </c>
      <c r="R362" s="30">
        <v>1.9637400000000001E-13</v>
      </c>
      <c r="T362" s="6"/>
      <c r="U362" s="3">
        <v>1.9961799999999999E-14</v>
      </c>
      <c r="V362" s="3">
        <v>1.5507799999999999E-13</v>
      </c>
      <c r="W362" s="3">
        <v>1.66431E-13</v>
      </c>
      <c r="X362" s="35">
        <v>1.3436799999999999E-13</v>
      </c>
      <c r="Z362" s="6"/>
      <c r="AA362" s="3">
        <v>2.1209400000000001E-15</v>
      </c>
      <c r="AB362" s="3">
        <v>1.4559599999999999E-13</v>
      </c>
      <c r="AC362" s="3">
        <v>1.4909E-13</v>
      </c>
      <c r="AD362" s="30">
        <v>1.46844E-13</v>
      </c>
      <c r="AF362" s="6"/>
      <c r="AG362" s="3">
        <v>2.4952199999999999E-16</v>
      </c>
      <c r="AH362" s="3">
        <v>1.24761E-15</v>
      </c>
      <c r="AI362" s="3">
        <v>1.9961699999999999E-15</v>
      </c>
      <c r="AJ362" s="30">
        <v>9.9808699999999996E-16</v>
      </c>
      <c r="AL362" s="6"/>
      <c r="AM362" s="3"/>
      <c r="AN362" s="3"/>
      <c r="AO362" s="3">
        <v>1.2476E-16</v>
      </c>
      <c r="AP362" s="30"/>
      <c r="AR362" s="6"/>
      <c r="AS362" s="3">
        <v>2.61998E-15</v>
      </c>
      <c r="AT362" s="3">
        <v>2.3704599999999999E-15</v>
      </c>
      <c r="AU362" s="30">
        <v>6.2380499999999999E-16</v>
      </c>
      <c r="AV362" s="3">
        <v>2.4952199999999999E-15</v>
      </c>
    </row>
    <row r="363" spans="3:48" x14ac:dyDescent="0.25">
      <c r="C363" s="31">
        <v>9.2073600000000001E-14</v>
      </c>
      <c r="D363" s="5">
        <v>7.1488099999999995E-13</v>
      </c>
      <c r="E363" s="3">
        <v>7.1263500000000002E-13</v>
      </c>
      <c r="F363" s="30">
        <v>7.2274099999999998E-13</v>
      </c>
      <c r="H363" s="2"/>
      <c r="I363" s="3">
        <v>2.3704600000000001E-14</v>
      </c>
      <c r="J363" s="3">
        <v>1.7142200000000001E-13</v>
      </c>
      <c r="K363" s="3">
        <v>1.89387E-13</v>
      </c>
      <c r="L363" s="30">
        <v>1.65683E-13</v>
      </c>
      <c r="N363" s="6"/>
      <c r="O363" s="3">
        <v>1.4347499999999999E-14</v>
      </c>
      <c r="P363" s="3">
        <v>1.70049E-13</v>
      </c>
      <c r="Q363" s="3">
        <v>1.8539499999999999E-13</v>
      </c>
      <c r="R363" s="30">
        <v>1.92631E-13</v>
      </c>
      <c r="T363" s="6"/>
      <c r="U363" s="3">
        <v>1.9961799999999999E-14</v>
      </c>
      <c r="V363" s="3">
        <v>1.5457900000000001E-13</v>
      </c>
      <c r="W363" s="3">
        <v>1.64185E-13</v>
      </c>
      <c r="X363" s="35">
        <v>1.3411799999999999E-13</v>
      </c>
      <c r="Z363" s="6"/>
      <c r="AA363" s="3">
        <v>2.1209400000000001E-15</v>
      </c>
      <c r="AB363" s="3">
        <v>1.43226E-13</v>
      </c>
      <c r="AC363" s="3">
        <v>1.47343E-13</v>
      </c>
      <c r="AD363" s="30">
        <v>1.4634499999999999E-13</v>
      </c>
      <c r="AF363" s="6"/>
      <c r="AG363" s="3">
        <v>2.4952199999999999E-16</v>
      </c>
      <c r="AH363" s="3">
        <v>1.1228500000000001E-15</v>
      </c>
      <c r="AI363" s="3">
        <v>1.9961699999999999E-15</v>
      </c>
      <c r="AJ363" s="30">
        <v>8.7332599999999996E-16</v>
      </c>
      <c r="AL363" s="6"/>
      <c r="AM363" s="3"/>
      <c r="AN363" s="3"/>
      <c r="AO363" s="3">
        <v>1.2476E-16</v>
      </c>
      <c r="AP363" s="30"/>
      <c r="AR363" s="6"/>
      <c r="AS363" s="3">
        <v>2.61998E-15</v>
      </c>
      <c r="AT363" s="3">
        <v>2.3704599999999999E-15</v>
      </c>
      <c r="AU363" s="30">
        <v>1.24761E-16</v>
      </c>
      <c r="AV363" s="3">
        <v>2.3704599999999999E-15</v>
      </c>
    </row>
    <row r="364" spans="3:48" x14ac:dyDescent="0.25">
      <c r="C364" s="31">
        <v>9.18241E-14</v>
      </c>
      <c r="D364" s="5">
        <v>7.1425700000000001E-13</v>
      </c>
      <c r="E364" s="3">
        <v>7.1213600000000005E-13</v>
      </c>
      <c r="F364" s="30">
        <v>7.2261600000000002E-13</v>
      </c>
      <c r="H364" s="2"/>
      <c r="I364" s="3">
        <v>2.3704600000000001E-14</v>
      </c>
      <c r="J364" s="3">
        <v>1.7117200000000001E-13</v>
      </c>
      <c r="K364" s="3">
        <v>1.89387E-13</v>
      </c>
      <c r="L364" s="30">
        <v>1.6555800000000001E-13</v>
      </c>
      <c r="N364" s="6"/>
      <c r="O364" s="3">
        <v>1.3973200000000001E-14</v>
      </c>
      <c r="P364" s="3">
        <v>1.6855199999999999E-13</v>
      </c>
      <c r="Q364" s="3">
        <v>1.80654E-13</v>
      </c>
      <c r="R364" s="30">
        <v>1.91882E-13</v>
      </c>
      <c r="T364" s="6"/>
      <c r="U364" s="3">
        <v>1.9837000000000001E-14</v>
      </c>
      <c r="V364" s="3">
        <v>1.53206E-13</v>
      </c>
      <c r="W364" s="3">
        <v>1.6268799999999999E-13</v>
      </c>
      <c r="X364" s="35">
        <v>1.32247E-13</v>
      </c>
      <c r="Z364" s="6"/>
      <c r="AA364" s="3">
        <v>1.99618E-15</v>
      </c>
      <c r="AB364" s="3">
        <v>1.42727E-13</v>
      </c>
      <c r="AC364" s="3">
        <v>1.4671900000000001E-13</v>
      </c>
      <c r="AD364" s="30">
        <v>1.4185300000000001E-13</v>
      </c>
      <c r="AF364" s="6"/>
      <c r="AG364" s="3">
        <v>2.4952199999999999E-16</v>
      </c>
      <c r="AH364" s="3">
        <v>1.1228500000000001E-15</v>
      </c>
      <c r="AI364" s="3">
        <v>1.8714100000000002E-15</v>
      </c>
      <c r="AJ364" s="30">
        <v>8.7332599999999996E-16</v>
      </c>
      <c r="AL364" s="6"/>
      <c r="AM364" s="3"/>
      <c r="AN364" s="3"/>
      <c r="AO364" s="3">
        <v>1.2476E-16</v>
      </c>
      <c r="AP364" s="30"/>
      <c r="AR364" s="6"/>
      <c r="AS364" s="3">
        <v>2.4952199999999999E-15</v>
      </c>
      <c r="AT364" s="3">
        <v>2.3704599999999999E-15</v>
      </c>
      <c r="AU364" s="30">
        <v>2.1209400000000001E-15</v>
      </c>
      <c r="AV364" s="3">
        <v>2.3704599999999999E-15</v>
      </c>
    </row>
    <row r="365" spans="3:48" x14ac:dyDescent="0.25">
      <c r="C365" s="31">
        <v>9.15746E-14</v>
      </c>
      <c r="D365" s="5">
        <v>7.1226100000000001E-13</v>
      </c>
      <c r="E365" s="3">
        <v>7.03153E-13</v>
      </c>
      <c r="F365" s="30">
        <v>7.22242E-13</v>
      </c>
      <c r="H365" s="2"/>
      <c r="I365" s="3">
        <v>2.34551E-14</v>
      </c>
      <c r="J365" s="3">
        <v>1.6730399999999999E-13</v>
      </c>
      <c r="K365" s="3">
        <v>1.8801500000000001E-13</v>
      </c>
      <c r="L365" s="30">
        <v>1.6480900000000001E-13</v>
      </c>
      <c r="N365" s="6"/>
      <c r="O365" s="3">
        <v>1.3973200000000001E-14</v>
      </c>
      <c r="P365" s="3">
        <v>1.6718E-13</v>
      </c>
      <c r="Q365" s="3">
        <v>1.8040400000000001E-13</v>
      </c>
      <c r="R365" s="30">
        <v>1.9150799999999999E-13</v>
      </c>
      <c r="T365" s="6"/>
      <c r="U365" s="3">
        <v>1.97122E-14</v>
      </c>
      <c r="V365" s="3">
        <v>1.5283200000000001E-13</v>
      </c>
      <c r="W365" s="3">
        <v>1.62314E-13</v>
      </c>
      <c r="X365" s="35">
        <v>1.3087399999999999E-13</v>
      </c>
      <c r="Z365" s="6"/>
      <c r="AA365" s="3">
        <v>1.8714199999999999E-15</v>
      </c>
      <c r="AB365" s="3">
        <v>1.4135400000000001E-13</v>
      </c>
      <c r="AC365" s="3">
        <v>1.4484799999999999E-13</v>
      </c>
      <c r="AD365" s="30">
        <v>1.41729E-13</v>
      </c>
      <c r="AF365" s="6"/>
      <c r="AG365" s="3">
        <v>2.4952199999999999E-16</v>
      </c>
      <c r="AH365" s="3">
        <v>9.9808699999999996E-16</v>
      </c>
      <c r="AI365" s="3">
        <v>1.7466500000000001E-15</v>
      </c>
      <c r="AJ365" s="30">
        <v>8.7332599999999996E-16</v>
      </c>
      <c r="AL365" s="6"/>
      <c r="AM365" s="3"/>
      <c r="AN365" s="3"/>
      <c r="AO365" s="3">
        <v>1.2476E-16</v>
      </c>
      <c r="AP365" s="30"/>
      <c r="AR365" s="6"/>
      <c r="AS365" s="3">
        <v>2.4952199999999999E-15</v>
      </c>
      <c r="AT365" s="3">
        <v>2.2457000000000002E-15</v>
      </c>
      <c r="AU365" s="30">
        <v>1.24761E-16</v>
      </c>
      <c r="AV365" s="3">
        <v>2.3704599999999999E-15</v>
      </c>
    </row>
    <row r="366" spans="3:48" x14ac:dyDescent="0.25">
      <c r="C366" s="31">
        <v>9.0950800000000001E-14</v>
      </c>
      <c r="D366" s="5">
        <v>7.0153100000000001E-13</v>
      </c>
      <c r="E366" s="3">
        <v>7.0178100000000004E-13</v>
      </c>
      <c r="F366" s="30">
        <v>7.2012100000000004E-13</v>
      </c>
      <c r="H366" s="2"/>
      <c r="I366" s="3">
        <v>2.34551E-14</v>
      </c>
      <c r="J366" s="3">
        <v>1.6718E-13</v>
      </c>
      <c r="K366" s="3">
        <v>1.86268E-13</v>
      </c>
      <c r="L366" s="30">
        <v>1.6119099999999999E-13</v>
      </c>
      <c r="N366" s="6"/>
      <c r="O366" s="3">
        <v>1.3599E-14</v>
      </c>
      <c r="P366" s="3">
        <v>1.66182E-13</v>
      </c>
      <c r="Q366" s="3">
        <v>1.8027999999999999E-13</v>
      </c>
      <c r="R366" s="30">
        <v>1.9125899999999999E-13</v>
      </c>
      <c r="T366" s="6"/>
      <c r="U366" s="3">
        <v>1.97122E-14</v>
      </c>
      <c r="V366" s="3">
        <v>1.52707E-13</v>
      </c>
      <c r="W366" s="3">
        <v>1.6193999999999999E-13</v>
      </c>
      <c r="X366" s="35">
        <v>1.3012600000000001E-13</v>
      </c>
      <c r="Z366" s="6"/>
      <c r="AA366" s="3">
        <v>1.8714199999999999E-15</v>
      </c>
      <c r="AB366" s="3">
        <v>1.4035600000000001E-13</v>
      </c>
      <c r="AC366" s="3">
        <v>1.43475E-13</v>
      </c>
      <c r="AD366" s="30">
        <v>1.4035600000000001E-13</v>
      </c>
      <c r="AF366" s="6"/>
      <c r="AG366" s="3">
        <v>2.4952199999999999E-16</v>
      </c>
      <c r="AH366" s="3">
        <v>9.9808699999999996E-16</v>
      </c>
      <c r="AI366" s="3">
        <v>1.62189E-15</v>
      </c>
      <c r="AJ366" s="30">
        <v>7.4856499999999997E-16</v>
      </c>
      <c r="AL366" s="6"/>
      <c r="AM366" s="3"/>
      <c r="AN366" s="3"/>
      <c r="AO366" s="3">
        <v>1.2476E-16</v>
      </c>
      <c r="AP366" s="30"/>
      <c r="AR366" s="6"/>
      <c r="AS366" s="3">
        <v>2.4952199999999999E-15</v>
      </c>
      <c r="AT366" s="3">
        <v>2.2457000000000002E-15</v>
      </c>
      <c r="AU366" s="30">
        <v>6.1132900000000004E-15</v>
      </c>
      <c r="AV366" s="3">
        <v>2.3704599999999999E-15</v>
      </c>
    </row>
    <row r="367" spans="3:48" x14ac:dyDescent="0.25">
      <c r="C367" s="31">
        <v>9.0826000000000003E-14</v>
      </c>
      <c r="D367" s="5">
        <v>7.0128199999999996E-13</v>
      </c>
      <c r="E367" s="3">
        <v>7.0090800000000005E-13</v>
      </c>
      <c r="F367" s="30">
        <v>7.1425700000000001E-13</v>
      </c>
      <c r="H367" s="2"/>
      <c r="I367" s="3">
        <v>2.3205499999999999E-14</v>
      </c>
      <c r="J367" s="3">
        <v>1.6705499999999999E-13</v>
      </c>
      <c r="K367" s="3">
        <v>1.8464599999999999E-13</v>
      </c>
      <c r="L367" s="30">
        <v>1.6069199999999999E-13</v>
      </c>
      <c r="N367" s="6"/>
      <c r="O367" s="3">
        <v>1.33494E-14</v>
      </c>
      <c r="P367" s="3">
        <v>1.6605700000000001E-13</v>
      </c>
      <c r="Q367" s="3">
        <v>1.80155E-13</v>
      </c>
      <c r="R367" s="30">
        <v>1.90136E-13</v>
      </c>
      <c r="T367" s="6"/>
      <c r="U367" s="3">
        <v>1.95875E-14</v>
      </c>
      <c r="V367" s="3">
        <v>1.52458E-13</v>
      </c>
      <c r="W367" s="3">
        <v>1.5819700000000001E-13</v>
      </c>
      <c r="X367" s="35">
        <v>1.29003E-13</v>
      </c>
      <c r="Z367" s="6"/>
      <c r="AA367" s="3">
        <v>1.7466600000000001E-15</v>
      </c>
      <c r="AB367" s="3">
        <v>1.4035600000000001E-13</v>
      </c>
      <c r="AC367" s="3">
        <v>1.4185300000000001E-13</v>
      </c>
      <c r="AD367" s="30">
        <v>1.3723699999999999E-13</v>
      </c>
      <c r="AF367" s="6"/>
      <c r="AG367" s="3">
        <v>2.4952199999999999E-16</v>
      </c>
      <c r="AH367" s="3">
        <v>9.9808699999999996E-16</v>
      </c>
      <c r="AI367" s="3">
        <v>1.62189E-15</v>
      </c>
      <c r="AJ367" s="30">
        <v>7.4856499999999997E-16</v>
      </c>
      <c r="AL367" s="6"/>
      <c r="AM367" s="3"/>
      <c r="AN367" s="3"/>
      <c r="AO367" s="3">
        <v>1.2476E-16</v>
      </c>
      <c r="AP367" s="30"/>
      <c r="AR367" s="6"/>
      <c r="AS367" s="3">
        <v>2.4952199999999999E-15</v>
      </c>
      <c r="AT367" s="3">
        <v>2.2457000000000002E-15</v>
      </c>
      <c r="AU367" s="30">
        <v>3.3685499999999999E-15</v>
      </c>
      <c r="AV367" s="3">
        <v>2.2457000000000002E-15</v>
      </c>
    </row>
    <row r="368" spans="3:48" x14ac:dyDescent="0.25">
      <c r="C368" s="31">
        <v>9.0826000000000003E-14</v>
      </c>
      <c r="D368" s="5">
        <v>6.9853699999999995E-13</v>
      </c>
      <c r="E368" s="3">
        <v>6.9853699999999995E-13</v>
      </c>
      <c r="F368" s="30">
        <v>7.1375800000000004E-13</v>
      </c>
      <c r="H368" s="2"/>
      <c r="I368" s="3">
        <v>2.3080799999999999E-14</v>
      </c>
      <c r="J368" s="3">
        <v>1.6680499999999999E-13</v>
      </c>
      <c r="K368" s="3">
        <v>1.8265000000000001E-13</v>
      </c>
      <c r="L368" s="30">
        <v>1.5907E-13</v>
      </c>
      <c r="N368" s="6"/>
      <c r="O368" s="3">
        <v>1.33494E-14</v>
      </c>
      <c r="P368" s="3">
        <v>1.65932E-13</v>
      </c>
      <c r="Q368" s="3">
        <v>1.80155E-13</v>
      </c>
      <c r="R368" s="30">
        <v>1.8876300000000001E-13</v>
      </c>
      <c r="T368" s="6"/>
      <c r="U368" s="3">
        <v>1.9338E-14</v>
      </c>
      <c r="V368" s="3">
        <v>1.5195899999999999E-13</v>
      </c>
      <c r="W368" s="3">
        <v>1.5607599999999999E-13</v>
      </c>
      <c r="X368" s="35">
        <v>1.2426200000000001E-13</v>
      </c>
      <c r="Z368" s="6"/>
      <c r="AA368" s="3">
        <v>1.7466600000000001E-15</v>
      </c>
      <c r="AB368" s="3">
        <v>1.3823499999999999E-13</v>
      </c>
      <c r="AC368" s="3">
        <v>1.3985700000000001E-13</v>
      </c>
      <c r="AD368" s="30">
        <v>1.3623900000000001E-13</v>
      </c>
      <c r="AF368" s="6"/>
      <c r="AG368" s="3">
        <v>2.4952199999999999E-16</v>
      </c>
      <c r="AH368" s="3">
        <v>9.9808699999999996E-16</v>
      </c>
      <c r="AI368" s="3">
        <v>1.4971299999999999E-15</v>
      </c>
      <c r="AJ368" s="30">
        <v>7.4856499999999997E-16</v>
      </c>
      <c r="AL368" s="6"/>
      <c r="AM368" s="3"/>
      <c r="AN368" s="3"/>
      <c r="AO368" s="3">
        <v>1.2476E-16</v>
      </c>
      <c r="AP368" s="30"/>
      <c r="AR368" s="6"/>
      <c r="AS368" s="3">
        <v>2.4952199999999999E-15</v>
      </c>
      <c r="AT368" s="3">
        <v>2.2457000000000002E-15</v>
      </c>
      <c r="AU368" s="30">
        <v>3.32613E-13</v>
      </c>
      <c r="AV368" s="3">
        <v>2.2457000000000002E-15</v>
      </c>
    </row>
    <row r="369" spans="3:48" x14ac:dyDescent="0.25">
      <c r="C369" s="31">
        <v>8.9703200000000003E-14</v>
      </c>
      <c r="D369" s="5">
        <v>6.9242399999999998E-13</v>
      </c>
      <c r="E369" s="3">
        <v>6.9841199999999999E-13</v>
      </c>
      <c r="F369" s="30">
        <v>7.0964099999999996E-13</v>
      </c>
      <c r="H369" s="2"/>
      <c r="I369" s="3">
        <v>2.3080799999999999E-14</v>
      </c>
      <c r="J369" s="3">
        <v>1.65433E-13</v>
      </c>
      <c r="K369" s="3">
        <v>1.8127799999999999E-13</v>
      </c>
      <c r="L369" s="30">
        <v>1.5632499999999999E-13</v>
      </c>
      <c r="N369" s="6"/>
      <c r="O369" s="3">
        <v>1.30999E-14</v>
      </c>
      <c r="P369" s="3">
        <v>1.6530800000000001E-13</v>
      </c>
      <c r="Q369" s="3">
        <v>1.77161E-13</v>
      </c>
      <c r="R369" s="30">
        <v>1.8639299999999999E-13</v>
      </c>
      <c r="T369" s="6"/>
      <c r="U369" s="3">
        <v>1.9338E-14</v>
      </c>
      <c r="V369" s="3">
        <v>1.4946399999999999E-13</v>
      </c>
      <c r="W369" s="3">
        <v>1.55951E-13</v>
      </c>
      <c r="X369" s="35">
        <v>1.2326400000000001E-13</v>
      </c>
      <c r="Z369" s="6"/>
      <c r="AA369" s="3">
        <v>1.7466600000000001E-15</v>
      </c>
      <c r="AB369" s="3">
        <v>1.38111E-13</v>
      </c>
      <c r="AC369" s="3">
        <v>1.3973199999999999E-13</v>
      </c>
      <c r="AD369" s="30">
        <v>1.35865E-13</v>
      </c>
      <c r="AF369" s="6"/>
      <c r="AG369" s="3">
        <v>2.4952199999999999E-16</v>
      </c>
      <c r="AH369" s="3">
        <v>7.4856499999999997E-16</v>
      </c>
      <c r="AI369" s="3">
        <v>1.4971299999999999E-15</v>
      </c>
      <c r="AJ369" s="30">
        <v>7.4856499999999997E-16</v>
      </c>
      <c r="AL369" s="6"/>
      <c r="AM369" s="3"/>
      <c r="AN369" s="3"/>
      <c r="AO369" s="3"/>
      <c r="AP369" s="30"/>
      <c r="AR369" s="6"/>
      <c r="AS369" s="3">
        <v>2.4952199999999999E-15</v>
      </c>
      <c r="AT369" s="3">
        <v>2.2457000000000002E-15</v>
      </c>
      <c r="AU369" s="30">
        <v>3.7428299999999999E-16</v>
      </c>
      <c r="AV369" s="3">
        <v>2.2457000000000002E-15</v>
      </c>
    </row>
    <row r="370" spans="3:48" x14ac:dyDescent="0.25">
      <c r="C370" s="31">
        <v>8.9079400000000005E-14</v>
      </c>
      <c r="D370" s="5">
        <v>6.9155000000000002E-13</v>
      </c>
      <c r="E370" s="3">
        <v>6.9504400000000002E-13</v>
      </c>
      <c r="F370" s="30">
        <v>7.08767E-13</v>
      </c>
      <c r="H370" s="2"/>
      <c r="I370" s="3">
        <v>2.2831299999999998E-14</v>
      </c>
      <c r="J370" s="3">
        <v>1.65184E-13</v>
      </c>
      <c r="K370" s="3">
        <v>1.8052899999999999E-13</v>
      </c>
      <c r="L370" s="30">
        <v>1.55951E-13</v>
      </c>
      <c r="N370" s="6"/>
      <c r="O370" s="3">
        <v>1.2850400000000001E-14</v>
      </c>
      <c r="P370" s="3">
        <v>1.64934E-13</v>
      </c>
      <c r="Q370" s="3">
        <v>1.7591299999999999E-13</v>
      </c>
      <c r="R370" s="30">
        <v>1.8589399999999999E-13</v>
      </c>
      <c r="T370" s="6"/>
      <c r="U370" s="3">
        <v>1.8963699999999999E-14</v>
      </c>
      <c r="V370" s="3">
        <v>1.4921399999999999E-13</v>
      </c>
      <c r="W370" s="3">
        <v>1.5383000000000001E-13</v>
      </c>
      <c r="X370" s="35">
        <v>1.2301400000000001E-13</v>
      </c>
      <c r="Z370" s="6"/>
      <c r="AA370" s="3">
        <v>1.7466600000000001E-15</v>
      </c>
      <c r="AB370" s="3">
        <v>1.36613E-13</v>
      </c>
      <c r="AC370" s="3">
        <v>1.3973199999999999E-13</v>
      </c>
      <c r="AD370" s="30">
        <v>1.3012600000000001E-13</v>
      </c>
      <c r="AF370" s="6"/>
      <c r="AG370" s="3">
        <v>2.4952199999999999E-16</v>
      </c>
      <c r="AH370" s="3">
        <v>7.4856499999999997E-16</v>
      </c>
      <c r="AI370" s="3">
        <v>1.3723700000000001E-15</v>
      </c>
      <c r="AJ370" s="30">
        <v>7.4856499999999997E-16</v>
      </c>
      <c r="AL370" s="6"/>
      <c r="AM370" s="3"/>
      <c r="AN370" s="3"/>
      <c r="AO370" s="3"/>
      <c r="AP370" s="30"/>
      <c r="AR370" s="6"/>
      <c r="AS370" s="3">
        <v>2.4952199999999999E-15</v>
      </c>
      <c r="AT370" s="3">
        <v>2.1209400000000001E-15</v>
      </c>
      <c r="AU370" s="30">
        <v>1.4971299999999999E-15</v>
      </c>
      <c r="AV370" s="3">
        <v>2.2457000000000002E-15</v>
      </c>
    </row>
    <row r="371" spans="3:48" x14ac:dyDescent="0.25">
      <c r="C371" s="31">
        <v>8.7706999999999997E-14</v>
      </c>
      <c r="D371" s="5">
        <v>6.8942900000000005E-13</v>
      </c>
      <c r="E371" s="3">
        <v>6.9242399999999998E-13</v>
      </c>
      <c r="F371" s="30">
        <v>7.0702100000000002E-13</v>
      </c>
      <c r="H371" s="2"/>
      <c r="I371" s="3">
        <v>2.2831299999999998E-14</v>
      </c>
      <c r="J371" s="3">
        <v>1.61066E-13</v>
      </c>
      <c r="K371" s="3">
        <v>1.7903199999999999E-13</v>
      </c>
      <c r="L371" s="30">
        <v>1.5258300000000001E-13</v>
      </c>
      <c r="N371" s="6"/>
      <c r="O371" s="3">
        <v>1.26009E-14</v>
      </c>
      <c r="P371" s="3">
        <v>1.64185E-13</v>
      </c>
      <c r="Q371" s="3">
        <v>1.7491499999999999E-13</v>
      </c>
      <c r="R371" s="30">
        <v>1.8552E-13</v>
      </c>
      <c r="T371" s="6"/>
      <c r="U371" s="3">
        <v>1.87141E-14</v>
      </c>
      <c r="V371" s="3">
        <v>1.4497200000000001E-13</v>
      </c>
      <c r="W371" s="3">
        <v>1.50836E-13</v>
      </c>
      <c r="X371" s="35">
        <v>1.21891E-13</v>
      </c>
      <c r="Z371" s="6"/>
      <c r="AA371" s="3">
        <v>1.62189E-15</v>
      </c>
      <c r="AB371" s="3">
        <v>1.3648900000000001E-13</v>
      </c>
      <c r="AC371" s="3">
        <v>1.37112E-13</v>
      </c>
      <c r="AD371" s="30">
        <v>1.2925299999999999E-13</v>
      </c>
      <c r="AF371" s="6"/>
      <c r="AG371" s="3">
        <v>2.4952199999999999E-16</v>
      </c>
      <c r="AH371" s="3">
        <v>7.4856499999999997E-16</v>
      </c>
      <c r="AI371" s="3">
        <v>1.3723700000000001E-15</v>
      </c>
      <c r="AJ371" s="30">
        <v>7.4856499999999997E-16</v>
      </c>
      <c r="AL371" s="6"/>
      <c r="AM371" s="3"/>
      <c r="AN371" s="3"/>
      <c r="AO371" s="3"/>
      <c r="AP371" s="30"/>
      <c r="AR371" s="6"/>
      <c r="AS371" s="3">
        <v>2.4952199999999999E-15</v>
      </c>
      <c r="AT371" s="3">
        <v>2.1209400000000001E-15</v>
      </c>
      <c r="AU371" s="30">
        <v>4.9904399999999999E-16</v>
      </c>
      <c r="AV371" s="3">
        <v>2.2457000000000002E-15</v>
      </c>
    </row>
    <row r="372" spans="3:48" x14ac:dyDescent="0.25">
      <c r="C372" s="31">
        <v>8.7706999999999997E-14</v>
      </c>
      <c r="D372" s="5">
        <v>6.8680999999999998E-13</v>
      </c>
      <c r="E372" s="3">
        <v>6.9155000000000002E-13</v>
      </c>
      <c r="F372" s="30">
        <v>7.0228000000000001E-13</v>
      </c>
      <c r="H372" s="2"/>
      <c r="I372" s="3">
        <v>2.2706500000000001E-14</v>
      </c>
      <c r="J372" s="3">
        <v>1.6019300000000001E-13</v>
      </c>
      <c r="K372" s="3">
        <v>1.7703600000000001E-13</v>
      </c>
      <c r="L372" s="30">
        <v>1.5233300000000001E-13</v>
      </c>
      <c r="N372" s="6"/>
      <c r="O372" s="3">
        <v>1.26009E-14</v>
      </c>
      <c r="P372" s="3">
        <v>1.6243899999999999E-13</v>
      </c>
      <c r="Q372" s="3">
        <v>1.74541E-13</v>
      </c>
      <c r="R372" s="30">
        <v>1.84272E-13</v>
      </c>
      <c r="T372" s="6"/>
      <c r="U372" s="3">
        <v>1.87141E-14</v>
      </c>
      <c r="V372" s="3">
        <v>1.4434799999999999E-13</v>
      </c>
      <c r="W372" s="3">
        <v>1.50337E-13</v>
      </c>
      <c r="X372" s="35">
        <v>1.2089299999999999E-13</v>
      </c>
      <c r="Z372" s="6"/>
      <c r="AA372" s="3">
        <v>1.62189E-15</v>
      </c>
      <c r="AB372" s="3">
        <v>1.3623900000000001E-13</v>
      </c>
      <c r="AC372" s="3">
        <v>1.35366E-13</v>
      </c>
      <c r="AD372" s="30">
        <v>1.2525999999999999E-13</v>
      </c>
      <c r="AF372" s="6"/>
      <c r="AG372" s="3">
        <v>2.4952199999999999E-16</v>
      </c>
      <c r="AH372" s="3">
        <v>6.2380399999999997E-16</v>
      </c>
      <c r="AI372" s="3">
        <v>1.3723700000000001E-15</v>
      </c>
      <c r="AJ372" s="30">
        <v>7.4856499999999997E-16</v>
      </c>
      <c r="AL372" s="6"/>
      <c r="AM372" s="3"/>
      <c r="AN372" s="3"/>
      <c r="AO372" s="3"/>
      <c r="AP372" s="30"/>
      <c r="AR372" s="6"/>
      <c r="AS372" s="3">
        <v>2.4952199999999999E-15</v>
      </c>
      <c r="AT372" s="3">
        <v>2.1209400000000001E-15</v>
      </c>
      <c r="AU372" s="30">
        <v>1.24761E-16</v>
      </c>
      <c r="AV372" s="3">
        <v>2.2457000000000002E-15</v>
      </c>
    </row>
    <row r="373" spans="3:48" x14ac:dyDescent="0.25">
      <c r="C373" s="31">
        <v>8.7207999999999996E-14</v>
      </c>
      <c r="D373" s="5">
        <v>6.8568699999999996E-13</v>
      </c>
      <c r="E373" s="3">
        <v>6.8942900000000005E-13</v>
      </c>
      <c r="F373" s="30">
        <v>7.0053299999999996E-13</v>
      </c>
      <c r="H373" s="2"/>
      <c r="I373" s="3">
        <v>2.2332199999999999E-14</v>
      </c>
      <c r="J373" s="3">
        <v>1.5769800000000001E-13</v>
      </c>
      <c r="K373" s="3">
        <v>1.7316799999999999E-13</v>
      </c>
      <c r="L373" s="30">
        <v>1.4946399999999999E-13</v>
      </c>
      <c r="N373" s="6"/>
      <c r="O373" s="3">
        <v>1.26009E-14</v>
      </c>
      <c r="P373" s="3">
        <v>1.61066E-13</v>
      </c>
      <c r="Q373" s="3">
        <v>1.73543E-13</v>
      </c>
      <c r="R373" s="30">
        <v>1.8389800000000001E-13</v>
      </c>
      <c r="T373" s="6"/>
      <c r="U373" s="3">
        <v>1.87141E-14</v>
      </c>
      <c r="V373" s="3">
        <v>1.4110500000000001E-13</v>
      </c>
      <c r="W373" s="3">
        <v>1.43475E-13</v>
      </c>
      <c r="X373" s="35">
        <v>1.2064399999999999E-13</v>
      </c>
      <c r="Z373" s="6"/>
      <c r="AA373" s="3">
        <v>1.62189E-15</v>
      </c>
      <c r="AB373" s="3">
        <v>1.3237199999999999E-13</v>
      </c>
      <c r="AC373" s="3">
        <v>1.3486699999999999E-13</v>
      </c>
      <c r="AD373" s="30">
        <v>1.24886E-13</v>
      </c>
      <c r="AF373" s="6"/>
      <c r="AG373" s="3">
        <v>2.4952199999999999E-16</v>
      </c>
      <c r="AH373" s="3">
        <v>6.2380399999999997E-16</v>
      </c>
      <c r="AI373" s="3">
        <v>1.3723700000000001E-15</v>
      </c>
      <c r="AJ373" s="30">
        <v>7.4856499999999997E-16</v>
      </c>
      <c r="AL373" s="6"/>
      <c r="AM373" s="3"/>
      <c r="AN373" s="3"/>
      <c r="AO373" s="3"/>
      <c r="AP373" s="30"/>
      <c r="AR373" s="6"/>
      <c r="AS373" s="3">
        <v>2.3704599999999999E-15</v>
      </c>
      <c r="AT373" s="3">
        <v>2.1209400000000001E-15</v>
      </c>
      <c r="AU373" s="30">
        <v>2.4952199999999999E-16</v>
      </c>
      <c r="AV373" s="3">
        <v>2.2457000000000002E-15</v>
      </c>
    </row>
    <row r="374" spans="3:48" x14ac:dyDescent="0.25">
      <c r="C374" s="31">
        <v>8.6459399999999999E-14</v>
      </c>
      <c r="D374" s="5">
        <v>6.8531199999999998E-13</v>
      </c>
      <c r="E374" s="3">
        <v>6.8755800000000001E-13</v>
      </c>
      <c r="F374" s="30">
        <v>6.9778799999999995E-13</v>
      </c>
      <c r="H374" s="2"/>
      <c r="I374" s="3">
        <v>2.2332199999999999E-14</v>
      </c>
      <c r="J374" s="3">
        <v>1.5757299999999999E-13</v>
      </c>
      <c r="K374" s="3">
        <v>1.7316799999999999E-13</v>
      </c>
      <c r="L374" s="30">
        <v>1.49339E-13</v>
      </c>
      <c r="N374" s="6"/>
      <c r="O374" s="3">
        <v>1.26009E-14</v>
      </c>
      <c r="P374" s="3">
        <v>1.60068E-13</v>
      </c>
      <c r="Q374" s="3">
        <v>1.73044E-13</v>
      </c>
      <c r="R374" s="30">
        <v>1.8127799999999999E-13</v>
      </c>
      <c r="T374" s="6"/>
      <c r="U374" s="3">
        <v>1.87141E-14</v>
      </c>
      <c r="V374" s="3">
        <v>1.4010700000000001E-13</v>
      </c>
      <c r="W374" s="3">
        <v>1.42976E-13</v>
      </c>
      <c r="X374" s="35">
        <v>1.20519E-13</v>
      </c>
      <c r="Z374" s="6"/>
      <c r="AA374" s="3">
        <v>1.62189E-15</v>
      </c>
      <c r="AB374" s="3">
        <v>1.29003E-13</v>
      </c>
      <c r="AC374" s="3">
        <v>1.34617E-13</v>
      </c>
      <c r="AD374" s="30">
        <v>1.2401300000000001E-13</v>
      </c>
      <c r="AF374" s="6"/>
      <c r="AG374" s="3">
        <v>2.4952199999999999E-16</v>
      </c>
      <c r="AH374" s="3">
        <v>6.2380399999999997E-16</v>
      </c>
      <c r="AI374" s="3">
        <v>1.3723700000000001E-15</v>
      </c>
      <c r="AJ374" s="30">
        <v>6.2380399999999997E-16</v>
      </c>
      <c r="AL374" s="6"/>
      <c r="AM374" s="3"/>
      <c r="AN374" s="3"/>
      <c r="AO374" s="3"/>
      <c r="AP374" s="30"/>
      <c r="AR374" s="6"/>
      <c r="AS374" s="3">
        <v>2.3704599999999999E-15</v>
      </c>
      <c r="AT374" s="3">
        <v>2.1209400000000001E-15</v>
      </c>
      <c r="AU374" s="30">
        <v>3.7428299999999999E-16</v>
      </c>
      <c r="AV374" s="3">
        <v>2.2457000000000002E-15</v>
      </c>
    </row>
    <row r="375" spans="3:48" x14ac:dyDescent="0.25">
      <c r="C375" s="31">
        <v>8.6085100000000001E-14</v>
      </c>
      <c r="D375" s="5">
        <v>6.8131999999999997E-13</v>
      </c>
      <c r="E375" s="3">
        <v>6.8581099999999995E-13</v>
      </c>
      <c r="F375" s="30">
        <v>6.9728899999999998E-13</v>
      </c>
      <c r="H375" s="2"/>
      <c r="I375" s="3">
        <v>2.22075E-14</v>
      </c>
      <c r="J375" s="3">
        <v>1.5707399999999999E-13</v>
      </c>
      <c r="K375" s="3">
        <v>1.7217000000000001E-13</v>
      </c>
      <c r="L375" s="30">
        <v>1.4921399999999999E-13</v>
      </c>
      <c r="N375" s="6"/>
      <c r="O375" s="3">
        <v>1.23513E-14</v>
      </c>
      <c r="P375" s="3">
        <v>1.5994400000000001E-13</v>
      </c>
      <c r="Q375" s="3">
        <v>1.6605700000000001E-13</v>
      </c>
      <c r="R375" s="30">
        <v>1.8090300000000001E-13</v>
      </c>
      <c r="T375" s="6"/>
      <c r="U375" s="3">
        <v>1.87141E-14</v>
      </c>
      <c r="V375" s="3">
        <v>1.3985700000000001E-13</v>
      </c>
      <c r="W375" s="3">
        <v>1.3798599999999999E-13</v>
      </c>
      <c r="X375" s="35">
        <v>1.1964599999999999E-13</v>
      </c>
      <c r="Z375" s="6"/>
      <c r="AA375" s="3">
        <v>1.62189E-15</v>
      </c>
      <c r="AB375" s="3">
        <v>1.2887800000000001E-13</v>
      </c>
      <c r="AC375" s="3">
        <v>1.32746E-13</v>
      </c>
      <c r="AD375" s="30">
        <v>1.23389E-13</v>
      </c>
      <c r="AF375" s="6"/>
      <c r="AG375" s="3">
        <v>1.24761E-16</v>
      </c>
      <c r="AH375" s="3">
        <v>6.2380399999999997E-16</v>
      </c>
      <c r="AI375" s="3">
        <v>1.24761E-15</v>
      </c>
      <c r="AJ375" s="30">
        <v>6.2380399999999997E-16</v>
      </c>
      <c r="AL375" s="6"/>
      <c r="AM375" s="3"/>
      <c r="AN375" s="3"/>
      <c r="AO375" s="3"/>
      <c r="AP375" s="30"/>
      <c r="AR375" s="6"/>
      <c r="AS375" s="3">
        <v>2.3704599999999999E-15</v>
      </c>
      <c r="AT375" s="3">
        <v>2.1209400000000001E-15</v>
      </c>
      <c r="AU375" s="30">
        <v>1.24761E-16</v>
      </c>
      <c r="AV375" s="3">
        <v>2.2457000000000002E-15</v>
      </c>
    </row>
    <row r="376" spans="3:48" x14ac:dyDescent="0.25">
      <c r="C376" s="31">
        <v>8.6085100000000001E-14</v>
      </c>
      <c r="D376" s="5">
        <v>6.7870000000000003E-13</v>
      </c>
      <c r="E376" s="3">
        <v>6.8406499999999997E-13</v>
      </c>
      <c r="F376" s="30">
        <v>6.9666600000000001E-13</v>
      </c>
      <c r="H376" s="2"/>
      <c r="I376" s="3">
        <v>2.22075E-14</v>
      </c>
      <c r="J376" s="3">
        <v>1.5645E-13</v>
      </c>
      <c r="K376" s="3">
        <v>1.71297E-13</v>
      </c>
      <c r="L376" s="30">
        <v>1.4547100000000001E-13</v>
      </c>
      <c r="N376" s="6"/>
      <c r="O376" s="3">
        <v>1.19771E-14</v>
      </c>
      <c r="P376" s="3">
        <v>1.567E-13</v>
      </c>
      <c r="Q376" s="3">
        <v>1.65932E-13</v>
      </c>
      <c r="R376" s="30">
        <v>1.79905E-13</v>
      </c>
      <c r="T376" s="6"/>
      <c r="U376" s="3">
        <v>1.87141E-14</v>
      </c>
      <c r="V376" s="3">
        <v>1.37112E-13</v>
      </c>
      <c r="W376" s="3">
        <v>1.3623900000000001E-13</v>
      </c>
      <c r="X376" s="35">
        <v>1.1839800000000001E-13</v>
      </c>
      <c r="Z376" s="6"/>
      <c r="AA376" s="3">
        <v>1.62189E-15</v>
      </c>
      <c r="AB376" s="3">
        <v>1.2813000000000001E-13</v>
      </c>
      <c r="AC376" s="3">
        <v>1.31748E-13</v>
      </c>
      <c r="AD376" s="30">
        <v>1.21268E-13</v>
      </c>
      <c r="AF376" s="6"/>
      <c r="AG376" s="3">
        <v>1.24761E-16</v>
      </c>
      <c r="AH376" s="3">
        <v>6.2380399999999997E-16</v>
      </c>
      <c r="AI376" s="3">
        <v>1.24761E-15</v>
      </c>
      <c r="AJ376" s="30">
        <v>6.2380399999999997E-16</v>
      </c>
      <c r="AL376" s="6"/>
      <c r="AM376" s="3"/>
      <c r="AN376" s="3"/>
      <c r="AO376" s="3"/>
      <c r="AP376" s="30"/>
      <c r="AR376" s="6"/>
      <c r="AS376" s="3">
        <v>2.3704599999999999E-15</v>
      </c>
      <c r="AT376" s="3">
        <v>2.1209400000000001E-15</v>
      </c>
      <c r="AU376" s="30">
        <v>2.4952199999999999E-16</v>
      </c>
      <c r="AV376" s="3">
        <v>2.1209400000000001E-15</v>
      </c>
    </row>
    <row r="377" spans="3:48" x14ac:dyDescent="0.25">
      <c r="C377" s="31">
        <v>8.4213700000000004E-14</v>
      </c>
      <c r="D377" s="5">
        <v>6.7458299999999995E-13</v>
      </c>
      <c r="E377" s="3">
        <v>6.7969799999999998E-13</v>
      </c>
      <c r="F377" s="30">
        <v>6.9229900000000002E-13</v>
      </c>
      <c r="H377" s="2"/>
      <c r="I377" s="3">
        <v>2.2082699999999999E-14</v>
      </c>
      <c r="J377" s="3">
        <v>1.5482799999999999E-13</v>
      </c>
      <c r="K377" s="3">
        <v>1.70049E-13</v>
      </c>
      <c r="L377" s="30">
        <v>1.4334999999999999E-13</v>
      </c>
      <c r="N377" s="6"/>
      <c r="O377" s="3">
        <v>1.1852300000000001E-14</v>
      </c>
      <c r="P377" s="3">
        <v>1.56201E-13</v>
      </c>
      <c r="Q377" s="3">
        <v>1.64435E-13</v>
      </c>
      <c r="R377" s="30">
        <v>1.7928199999999999E-13</v>
      </c>
      <c r="T377" s="6"/>
      <c r="U377" s="3">
        <v>1.85894E-14</v>
      </c>
      <c r="V377" s="3">
        <v>1.3623900000000001E-13</v>
      </c>
      <c r="W377" s="3">
        <v>1.33245E-13</v>
      </c>
      <c r="X377" s="35">
        <v>1.1602799999999999E-13</v>
      </c>
      <c r="Z377" s="6"/>
      <c r="AA377" s="3">
        <v>1.4971299999999999E-15</v>
      </c>
      <c r="AB377" s="3">
        <v>1.2800499999999999E-13</v>
      </c>
      <c r="AC377" s="3">
        <v>1.3162299999999999E-13</v>
      </c>
      <c r="AD377" s="30">
        <v>1.20519E-13</v>
      </c>
      <c r="AF377" s="6"/>
      <c r="AG377" s="3">
        <v>1.24761E-16</v>
      </c>
      <c r="AH377" s="3">
        <v>4.9904299999999997E-16</v>
      </c>
      <c r="AI377" s="3">
        <v>1.24761E-15</v>
      </c>
      <c r="AJ377" s="30">
        <v>6.2380399999999997E-16</v>
      </c>
      <c r="AL377" s="6"/>
      <c r="AM377" s="3"/>
      <c r="AN377" s="3"/>
      <c r="AO377" s="3"/>
      <c r="AP377" s="30"/>
      <c r="AR377" s="6"/>
      <c r="AS377" s="3">
        <v>2.2457000000000002E-15</v>
      </c>
      <c r="AT377" s="3">
        <v>2.1209400000000001E-15</v>
      </c>
      <c r="AU377" s="30">
        <v>9.9808799999999998E-15</v>
      </c>
      <c r="AV377" s="3">
        <v>2.1209400000000001E-15</v>
      </c>
    </row>
    <row r="378" spans="3:48" x14ac:dyDescent="0.25">
      <c r="C378" s="31">
        <v>8.4088899999999994E-14</v>
      </c>
      <c r="D378" s="5">
        <v>6.7433300000000003E-13</v>
      </c>
      <c r="E378" s="3">
        <v>6.7882499999999999E-13</v>
      </c>
      <c r="F378" s="30">
        <v>6.9092699999999995E-13</v>
      </c>
      <c r="H378" s="2"/>
      <c r="I378" s="3">
        <v>2.1833200000000001E-14</v>
      </c>
      <c r="J378" s="3">
        <v>1.54704E-13</v>
      </c>
      <c r="K378" s="3">
        <v>1.6954999999999999E-13</v>
      </c>
      <c r="L378" s="30">
        <v>1.4310099999999999E-13</v>
      </c>
      <c r="N378" s="6"/>
      <c r="O378" s="3">
        <v>1.1852300000000001E-14</v>
      </c>
      <c r="P378" s="3">
        <v>1.5607599999999999E-13</v>
      </c>
      <c r="Q378" s="3">
        <v>1.64435E-13</v>
      </c>
      <c r="R378" s="30">
        <v>1.7591299999999999E-13</v>
      </c>
      <c r="T378" s="6"/>
      <c r="U378" s="3">
        <v>1.85894E-14</v>
      </c>
      <c r="V378" s="3">
        <v>1.3299500000000001E-13</v>
      </c>
      <c r="W378" s="3">
        <v>1.3087399999999999E-13</v>
      </c>
      <c r="X378" s="35">
        <v>1.15404E-13</v>
      </c>
      <c r="Z378" s="6"/>
      <c r="AA378" s="3">
        <v>1.4971299999999999E-15</v>
      </c>
      <c r="AB378" s="3">
        <v>1.25884E-13</v>
      </c>
      <c r="AC378" s="3">
        <v>1.3087399999999999E-13</v>
      </c>
      <c r="AD378" s="30">
        <v>1.1814900000000001E-13</v>
      </c>
      <c r="AF378" s="6"/>
      <c r="AG378" s="3">
        <v>1.24761E-16</v>
      </c>
      <c r="AH378" s="3">
        <v>4.9904299999999997E-16</v>
      </c>
      <c r="AI378" s="3">
        <v>1.24761E-15</v>
      </c>
      <c r="AJ378" s="30">
        <v>6.2380399999999997E-16</v>
      </c>
      <c r="AL378" s="6"/>
      <c r="AM378" s="3"/>
      <c r="AN378" s="3"/>
      <c r="AO378" s="3"/>
      <c r="AP378" s="30"/>
      <c r="AR378" s="6"/>
      <c r="AS378" s="3">
        <v>2.2457000000000002E-15</v>
      </c>
      <c r="AT378" s="3">
        <v>1.99618E-15</v>
      </c>
      <c r="AU378" s="30">
        <v>9.9808799999999998E-16</v>
      </c>
      <c r="AV378" s="3">
        <v>2.1209400000000001E-15</v>
      </c>
    </row>
    <row r="379" spans="3:48" x14ac:dyDescent="0.25">
      <c r="C379" s="31">
        <v>8.3340400000000005E-14</v>
      </c>
      <c r="D379" s="5">
        <v>6.7183800000000005E-13</v>
      </c>
      <c r="E379" s="3">
        <v>6.7246199999999999E-13</v>
      </c>
      <c r="F379" s="30">
        <v>6.8880599999999998E-13</v>
      </c>
      <c r="H379" s="2"/>
      <c r="I379" s="3">
        <v>2.1708400000000001E-14</v>
      </c>
      <c r="J379" s="3">
        <v>1.54454E-13</v>
      </c>
      <c r="K379" s="3">
        <v>1.6942500000000001E-13</v>
      </c>
      <c r="L379" s="30">
        <v>1.4285099999999999E-13</v>
      </c>
      <c r="N379" s="6"/>
      <c r="O379" s="3">
        <v>1.17275E-14</v>
      </c>
      <c r="P379" s="3">
        <v>1.5507799999999999E-13</v>
      </c>
      <c r="Q379" s="3">
        <v>1.64435E-13</v>
      </c>
      <c r="R379" s="30">
        <v>1.73044E-13</v>
      </c>
      <c r="T379" s="6"/>
      <c r="U379" s="3">
        <v>1.85894E-14</v>
      </c>
      <c r="V379" s="3">
        <v>1.3025E-13</v>
      </c>
      <c r="W379" s="3">
        <v>1.28753E-13</v>
      </c>
      <c r="X379" s="35">
        <v>1.15404E-13</v>
      </c>
      <c r="Z379" s="6"/>
      <c r="AA379" s="3">
        <v>1.4971299999999999E-15</v>
      </c>
      <c r="AB379" s="3">
        <v>1.25884E-13</v>
      </c>
      <c r="AC379" s="3">
        <v>1.30001E-13</v>
      </c>
      <c r="AD379" s="30">
        <v>1.1789900000000001E-13</v>
      </c>
      <c r="AF379" s="6"/>
      <c r="AG379" s="3">
        <v>1.24761E-16</v>
      </c>
      <c r="AH379" s="3">
        <v>4.9904299999999997E-16</v>
      </c>
      <c r="AI379" s="3">
        <v>1.1228500000000001E-15</v>
      </c>
      <c r="AJ379" s="30">
        <v>6.2380399999999997E-16</v>
      </c>
      <c r="AL379" s="6"/>
      <c r="AM379" s="3"/>
      <c r="AN379" s="3"/>
      <c r="AO379" s="3"/>
      <c r="AP379" s="30"/>
      <c r="AR379" s="6"/>
      <c r="AS379" s="3">
        <v>2.2457000000000002E-15</v>
      </c>
      <c r="AT379" s="3">
        <v>1.99618E-15</v>
      </c>
      <c r="AU379" s="30">
        <v>1.1228500000000001E-15</v>
      </c>
      <c r="AV379" s="3">
        <v>2.1209400000000001E-15</v>
      </c>
    </row>
    <row r="380" spans="3:48" x14ac:dyDescent="0.25">
      <c r="C380" s="31">
        <v>8.3340400000000005E-14</v>
      </c>
      <c r="D380" s="5">
        <v>6.7183800000000005E-13</v>
      </c>
      <c r="E380" s="3">
        <v>6.6996700000000001E-13</v>
      </c>
      <c r="F380" s="30">
        <v>6.8643499999999999E-13</v>
      </c>
      <c r="H380" s="2"/>
      <c r="I380" s="3">
        <v>2.1708400000000001E-14</v>
      </c>
      <c r="J380" s="3">
        <v>1.5333100000000001E-13</v>
      </c>
      <c r="K380" s="3">
        <v>1.6917600000000001E-13</v>
      </c>
      <c r="L380" s="30">
        <v>1.4260200000000001E-13</v>
      </c>
      <c r="N380" s="6"/>
      <c r="O380" s="3">
        <v>1.17275E-14</v>
      </c>
      <c r="P380" s="3">
        <v>1.53456E-13</v>
      </c>
      <c r="Q380" s="3">
        <v>1.6293799999999999E-13</v>
      </c>
      <c r="R380" s="30">
        <v>1.7192100000000001E-13</v>
      </c>
      <c r="T380" s="6"/>
      <c r="U380" s="3">
        <v>1.83399E-14</v>
      </c>
      <c r="V380" s="3">
        <v>1.3025E-13</v>
      </c>
      <c r="W380" s="3">
        <v>1.2862900000000001E-13</v>
      </c>
      <c r="X380" s="35">
        <v>1.1515400000000001E-13</v>
      </c>
      <c r="Z380" s="6"/>
      <c r="AA380" s="3">
        <v>1.4971299999999999E-15</v>
      </c>
      <c r="AB380" s="3">
        <v>1.2575899999999999E-13</v>
      </c>
      <c r="AC380" s="3">
        <v>1.25634E-13</v>
      </c>
      <c r="AD380" s="30">
        <v>1.17525E-13</v>
      </c>
      <c r="AF380" s="6"/>
      <c r="AG380" s="3">
        <v>1.24761E-16</v>
      </c>
      <c r="AH380" s="3">
        <v>4.9904299999999997E-16</v>
      </c>
      <c r="AI380" s="3">
        <v>1.1228500000000001E-15</v>
      </c>
      <c r="AJ380" s="30">
        <v>6.2380399999999997E-16</v>
      </c>
      <c r="AL380" s="6"/>
      <c r="AM380" s="3"/>
      <c r="AN380" s="3"/>
      <c r="AO380" s="3"/>
      <c r="AP380" s="30"/>
      <c r="AR380" s="6"/>
      <c r="AS380" s="3">
        <v>2.2457000000000002E-15</v>
      </c>
      <c r="AT380" s="3">
        <v>1.99618E-15</v>
      </c>
      <c r="AU380" s="30">
        <v>3.7428299999999999E-16</v>
      </c>
      <c r="AV380" s="3">
        <v>2.1209400000000001E-15</v>
      </c>
    </row>
    <row r="381" spans="3:48" x14ac:dyDescent="0.25">
      <c r="C381" s="31">
        <v>8.3340400000000005E-14</v>
      </c>
      <c r="D381" s="5">
        <v>6.7021599999999996E-13</v>
      </c>
      <c r="E381" s="3">
        <v>6.6884399999999999E-13</v>
      </c>
      <c r="F381" s="30">
        <v>6.8206899999999997E-13</v>
      </c>
      <c r="H381" s="2"/>
      <c r="I381" s="3">
        <v>2.1708400000000001E-14</v>
      </c>
      <c r="J381" s="3">
        <v>1.5096099999999999E-13</v>
      </c>
      <c r="K381" s="3">
        <v>1.6780299999999999E-13</v>
      </c>
      <c r="L381" s="30">
        <v>1.4060600000000001E-13</v>
      </c>
      <c r="N381" s="6"/>
      <c r="O381" s="3">
        <v>1.17275E-14</v>
      </c>
      <c r="P381" s="3">
        <v>1.5308200000000001E-13</v>
      </c>
      <c r="Q381" s="3">
        <v>1.60817E-13</v>
      </c>
      <c r="R381" s="30">
        <v>1.7142200000000001E-13</v>
      </c>
      <c r="T381" s="6"/>
      <c r="U381" s="3">
        <v>1.8215099999999999E-14</v>
      </c>
      <c r="V381" s="3">
        <v>1.30001E-13</v>
      </c>
      <c r="W381" s="3">
        <v>1.2763000000000001E-13</v>
      </c>
      <c r="X381" s="35">
        <v>1.14905E-13</v>
      </c>
      <c r="Z381" s="6"/>
      <c r="AA381" s="3">
        <v>1.4971299999999999E-15</v>
      </c>
      <c r="AB381" s="3">
        <v>1.2326400000000001E-13</v>
      </c>
      <c r="AC381" s="3">
        <v>1.2301400000000001E-13</v>
      </c>
      <c r="AD381" s="30">
        <v>1.1740000000000001E-13</v>
      </c>
      <c r="AF381" s="6"/>
      <c r="AG381" s="3">
        <v>1.24761E-16</v>
      </c>
      <c r="AH381" s="3">
        <v>4.9904299999999997E-16</v>
      </c>
      <c r="AI381" s="3">
        <v>1.1228500000000001E-15</v>
      </c>
      <c r="AJ381" s="30">
        <v>4.9904299999999997E-16</v>
      </c>
      <c r="AL381" s="6"/>
      <c r="AM381" s="3"/>
      <c r="AN381" s="3"/>
      <c r="AO381" s="3"/>
      <c r="AP381" s="30"/>
      <c r="AR381" s="6"/>
      <c r="AS381" s="3">
        <v>2.2457000000000002E-15</v>
      </c>
      <c r="AT381" s="3">
        <v>1.99618E-15</v>
      </c>
      <c r="AU381" s="30">
        <v>3.7428299999999999E-16</v>
      </c>
      <c r="AV381" s="3">
        <v>2.1209400000000001E-15</v>
      </c>
    </row>
    <row r="382" spans="3:48" x14ac:dyDescent="0.25">
      <c r="C382" s="31">
        <v>8.2591799999999996E-14</v>
      </c>
      <c r="D382" s="5">
        <v>6.6659799999999996E-13</v>
      </c>
      <c r="E382" s="3">
        <v>6.6472700000000002E-13</v>
      </c>
      <c r="F382" s="30">
        <v>6.8107000000000005E-13</v>
      </c>
      <c r="H382" s="2"/>
      <c r="I382" s="3">
        <v>2.15836E-14</v>
      </c>
      <c r="J382" s="3">
        <v>1.49838E-13</v>
      </c>
      <c r="K382" s="3">
        <v>1.6480900000000001E-13</v>
      </c>
      <c r="L382" s="30">
        <v>1.4048099999999999E-13</v>
      </c>
      <c r="N382" s="6"/>
      <c r="O382" s="3">
        <v>1.17275E-14</v>
      </c>
      <c r="P382" s="3">
        <v>1.52208E-13</v>
      </c>
      <c r="Q382" s="3">
        <v>1.60567E-13</v>
      </c>
      <c r="R382" s="30">
        <v>1.7067300000000001E-13</v>
      </c>
      <c r="T382" s="6"/>
      <c r="U382" s="3">
        <v>1.8215099999999999E-14</v>
      </c>
      <c r="V382" s="3">
        <v>1.2937700000000001E-13</v>
      </c>
      <c r="W382" s="3">
        <v>1.26133E-13</v>
      </c>
      <c r="X382" s="35">
        <v>1.12784E-13</v>
      </c>
      <c r="Z382" s="6"/>
      <c r="AA382" s="3">
        <v>1.3723700000000001E-15</v>
      </c>
      <c r="AB382" s="3">
        <v>1.2326400000000001E-13</v>
      </c>
      <c r="AC382" s="3">
        <v>1.2039399999999999E-13</v>
      </c>
      <c r="AD382" s="30">
        <v>1.16277E-13</v>
      </c>
      <c r="AF382" s="6"/>
      <c r="AG382" s="3">
        <v>1.24761E-16</v>
      </c>
      <c r="AH382" s="3">
        <v>4.9904299999999997E-16</v>
      </c>
      <c r="AI382" s="3">
        <v>1.1228500000000001E-15</v>
      </c>
      <c r="AJ382" s="30">
        <v>4.9904299999999997E-16</v>
      </c>
      <c r="AL382" s="6"/>
      <c r="AM382" s="3"/>
      <c r="AN382" s="3"/>
      <c r="AO382" s="3"/>
      <c r="AP382" s="30"/>
      <c r="AR382" s="6"/>
      <c r="AS382" s="3">
        <v>2.2457000000000002E-15</v>
      </c>
      <c r="AT382" s="3">
        <v>1.99618E-15</v>
      </c>
      <c r="AU382" s="30">
        <v>2.4952199999999999E-16</v>
      </c>
      <c r="AV382" s="3">
        <v>2.1209400000000001E-15</v>
      </c>
    </row>
    <row r="383" spans="3:48" x14ac:dyDescent="0.25">
      <c r="C383" s="31">
        <v>8.2342299999999995E-14</v>
      </c>
      <c r="D383" s="5">
        <v>6.60859E-13</v>
      </c>
      <c r="E383" s="3">
        <v>6.6472700000000002E-13</v>
      </c>
      <c r="F383" s="30">
        <v>6.79948E-13</v>
      </c>
      <c r="H383" s="2"/>
      <c r="I383" s="3">
        <v>2.15836E-14</v>
      </c>
      <c r="J383" s="3">
        <v>1.4921399999999999E-13</v>
      </c>
      <c r="K383" s="3">
        <v>1.64185E-13</v>
      </c>
      <c r="L383" s="30">
        <v>1.3923299999999999E-13</v>
      </c>
      <c r="N383" s="6"/>
      <c r="O383" s="3">
        <v>1.16028E-14</v>
      </c>
      <c r="P383" s="3">
        <v>1.5071099999999999E-13</v>
      </c>
      <c r="Q383" s="3">
        <v>1.5844600000000001E-13</v>
      </c>
      <c r="R383" s="30">
        <v>1.70548E-13</v>
      </c>
      <c r="T383" s="6"/>
      <c r="U383" s="3">
        <v>1.8090300000000001E-14</v>
      </c>
      <c r="V383" s="3">
        <v>1.2912800000000001E-13</v>
      </c>
      <c r="W383" s="3">
        <v>1.25135E-13</v>
      </c>
      <c r="X383" s="35">
        <v>1.10538E-13</v>
      </c>
      <c r="Z383" s="6"/>
      <c r="AA383" s="3">
        <v>1.3723700000000001E-15</v>
      </c>
      <c r="AB383" s="3">
        <v>1.2014499999999999E-13</v>
      </c>
      <c r="AC383" s="3">
        <v>1.2014499999999999E-13</v>
      </c>
      <c r="AD383" s="30">
        <v>1.14655E-13</v>
      </c>
      <c r="AF383" s="6"/>
      <c r="AG383" s="3">
        <v>1.24761E-16</v>
      </c>
      <c r="AH383" s="3">
        <v>4.9904299999999997E-16</v>
      </c>
      <c r="AI383" s="3">
        <v>1.1228500000000001E-15</v>
      </c>
      <c r="AJ383" s="30">
        <v>4.9904299999999997E-16</v>
      </c>
      <c r="AL383" s="6"/>
      <c r="AM383" s="3"/>
      <c r="AN383" s="3"/>
      <c r="AO383" s="3"/>
      <c r="AP383" s="30"/>
      <c r="AR383" s="6"/>
      <c r="AS383" s="3">
        <v>2.2457000000000002E-15</v>
      </c>
      <c r="AT383" s="3">
        <v>1.8714199999999999E-15</v>
      </c>
      <c r="AU383" s="30">
        <v>3.2437900000000002E-15</v>
      </c>
      <c r="AV383" s="3">
        <v>2.1209400000000001E-15</v>
      </c>
    </row>
    <row r="384" spans="3:48" x14ac:dyDescent="0.25">
      <c r="C384" s="31">
        <v>8.2342299999999995E-14</v>
      </c>
      <c r="D384" s="5">
        <v>6.6061000000000005E-13</v>
      </c>
      <c r="E384" s="3">
        <v>6.6422800000000005E-13</v>
      </c>
      <c r="F384" s="30">
        <v>6.7944900000000003E-13</v>
      </c>
      <c r="H384" s="2"/>
      <c r="I384" s="3">
        <v>2.1334099999999999E-14</v>
      </c>
      <c r="J384" s="3">
        <v>1.4821600000000001E-13</v>
      </c>
      <c r="K384" s="3">
        <v>1.6281300000000001E-13</v>
      </c>
      <c r="L384" s="30">
        <v>1.3898399999999999E-13</v>
      </c>
      <c r="N384" s="6"/>
      <c r="O384" s="3">
        <v>1.1353299999999999E-14</v>
      </c>
      <c r="P384" s="3">
        <v>1.5071099999999999E-13</v>
      </c>
      <c r="Q384" s="3">
        <v>1.5607599999999999E-13</v>
      </c>
      <c r="R384" s="30">
        <v>1.6942500000000001E-13</v>
      </c>
      <c r="T384" s="6"/>
      <c r="U384" s="3">
        <v>1.8090300000000001E-14</v>
      </c>
      <c r="V384" s="3">
        <v>1.2750599999999999E-13</v>
      </c>
      <c r="W384" s="3">
        <v>1.24886E-13</v>
      </c>
      <c r="X384" s="35">
        <v>1.1003899999999999E-13</v>
      </c>
      <c r="Z384" s="6"/>
      <c r="AA384" s="3">
        <v>1.3723700000000001E-15</v>
      </c>
      <c r="AB384" s="3">
        <v>1.1577799999999999E-13</v>
      </c>
      <c r="AC384" s="3">
        <v>1.1989499999999999E-13</v>
      </c>
      <c r="AD384" s="30">
        <v>1.1241E-13</v>
      </c>
      <c r="AF384" s="6"/>
      <c r="AG384" s="3">
        <v>1.24761E-16</v>
      </c>
      <c r="AH384" s="3">
        <v>4.9904299999999997E-16</v>
      </c>
      <c r="AI384" s="3">
        <v>1.1228500000000001E-15</v>
      </c>
      <c r="AJ384" s="30">
        <v>4.9904299999999997E-16</v>
      </c>
      <c r="AL384" s="6"/>
      <c r="AM384" s="3"/>
      <c r="AN384" s="3"/>
      <c r="AO384" s="3"/>
      <c r="AP384" s="30"/>
      <c r="AR384" s="6"/>
      <c r="AS384" s="3">
        <v>2.2457000000000002E-15</v>
      </c>
      <c r="AT384" s="3">
        <v>1.8714199999999999E-15</v>
      </c>
      <c r="AU384" s="30">
        <v>1.24761E-16</v>
      </c>
      <c r="AV384" s="3">
        <v>2.1209400000000001E-15</v>
      </c>
    </row>
    <row r="385" spans="3:48" x14ac:dyDescent="0.25">
      <c r="C385" s="31">
        <v>8.1967999999999997E-14</v>
      </c>
      <c r="D385" s="5">
        <v>6.5911300000000002E-13</v>
      </c>
      <c r="E385" s="3">
        <v>6.6385299999999996E-13</v>
      </c>
      <c r="F385" s="30">
        <v>6.76454E-13</v>
      </c>
      <c r="H385" s="2"/>
      <c r="I385" s="3">
        <v>2.1334099999999999E-14</v>
      </c>
      <c r="J385" s="3">
        <v>1.4622000000000001E-13</v>
      </c>
      <c r="K385" s="3">
        <v>1.6193999999999999E-13</v>
      </c>
      <c r="L385" s="30">
        <v>1.37861E-13</v>
      </c>
      <c r="N385" s="6"/>
      <c r="O385" s="3">
        <v>1.12285E-14</v>
      </c>
      <c r="P385" s="3">
        <v>1.4821600000000001E-13</v>
      </c>
      <c r="Q385" s="3">
        <v>1.55951E-13</v>
      </c>
      <c r="R385" s="30">
        <v>1.6930099999999999E-13</v>
      </c>
      <c r="T385" s="6"/>
      <c r="U385" s="3">
        <v>1.7965600000000001E-14</v>
      </c>
      <c r="V385" s="3">
        <v>1.2713100000000001E-13</v>
      </c>
      <c r="W385" s="3">
        <v>1.2351300000000001E-13</v>
      </c>
      <c r="X385" s="35">
        <v>1.0966500000000001E-13</v>
      </c>
      <c r="Z385" s="6"/>
      <c r="AA385" s="3">
        <v>1.3723700000000001E-15</v>
      </c>
      <c r="AB385" s="3">
        <v>1.15155E-13</v>
      </c>
      <c r="AC385" s="3">
        <v>1.1640200000000001E-13</v>
      </c>
      <c r="AD385" s="30">
        <v>1.11911E-13</v>
      </c>
      <c r="AF385" s="6"/>
      <c r="AG385" s="3">
        <v>1.24761E-16</v>
      </c>
      <c r="AH385" s="3">
        <v>4.9904299999999997E-16</v>
      </c>
      <c r="AI385" s="3">
        <v>1.1228500000000001E-15</v>
      </c>
      <c r="AJ385" s="30">
        <v>4.9904299999999997E-16</v>
      </c>
      <c r="AL385" s="6"/>
      <c r="AM385" s="3"/>
      <c r="AN385" s="3"/>
      <c r="AO385" s="3"/>
      <c r="AP385" s="30"/>
      <c r="AR385" s="6"/>
      <c r="AS385" s="3">
        <v>2.2457000000000002E-15</v>
      </c>
      <c r="AT385" s="3">
        <v>1.8714199999999999E-15</v>
      </c>
      <c r="AU385" s="30">
        <v>1.24761E-16</v>
      </c>
      <c r="AV385" s="3">
        <v>2.1209400000000001E-15</v>
      </c>
    </row>
    <row r="386" spans="3:48" x14ac:dyDescent="0.25">
      <c r="C386" s="31">
        <v>8.1967999999999997E-14</v>
      </c>
      <c r="D386" s="5">
        <v>6.5773999999999998E-13</v>
      </c>
      <c r="E386" s="3">
        <v>6.5911300000000002E-13</v>
      </c>
      <c r="F386" s="30">
        <v>6.7545600000000005E-13</v>
      </c>
      <c r="H386" s="2"/>
      <c r="I386" s="3">
        <v>2.1209399999999999E-14</v>
      </c>
      <c r="J386" s="3">
        <v>1.4135400000000001E-13</v>
      </c>
      <c r="K386" s="3">
        <v>1.5932E-13</v>
      </c>
      <c r="L386" s="30">
        <v>1.3361899999999999E-13</v>
      </c>
      <c r="N386" s="6"/>
      <c r="O386" s="3">
        <v>1.12285E-14</v>
      </c>
      <c r="P386" s="3">
        <v>1.4559599999999999E-13</v>
      </c>
      <c r="Q386" s="3">
        <v>1.5532699999999999E-13</v>
      </c>
      <c r="R386" s="30">
        <v>1.6555800000000001E-13</v>
      </c>
      <c r="T386" s="6"/>
      <c r="U386" s="3">
        <v>1.7840800000000001E-14</v>
      </c>
      <c r="V386" s="3">
        <v>1.26133E-13</v>
      </c>
      <c r="W386" s="3">
        <v>1.2027E-13</v>
      </c>
      <c r="X386" s="35">
        <v>1.0891600000000001E-13</v>
      </c>
      <c r="Z386" s="6"/>
      <c r="AA386" s="3">
        <v>1.3723700000000001E-15</v>
      </c>
      <c r="AB386" s="3">
        <v>1.14905E-13</v>
      </c>
      <c r="AC386" s="3">
        <v>1.16277E-13</v>
      </c>
      <c r="AD386" s="30">
        <v>1.11162E-13</v>
      </c>
      <c r="AF386" s="6"/>
      <c r="AG386" s="3">
        <v>1.24761E-16</v>
      </c>
      <c r="AH386" s="3">
        <v>4.9904299999999997E-16</v>
      </c>
      <c r="AI386" s="3">
        <v>9.9808699999999996E-16</v>
      </c>
      <c r="AJ386" s="30">
        <v>4.9904299999999997E-16</v>
      </c>
      <c r="AL386" s="6"/>
      <c r="AM386" s="3"/>
      <c r="AN386" s="3"/>
      <c r="AO386" s="3"/>
      <c r="AP386" s="30"/>
      <c r="AR386" s="6"/>
      <c r="AS386" s="3">
        <v>2.2457000000000002E-15</v>
      </c>
      <c r="AT386" s="3">
        <v>1.8714199999999999E-15</v>
      </c>
      <c r="AU386" s="30">
        <v>1.24761E-16</v>
      </c>
      <c r="AV386" s="3">
        <v>2.1209400000000001E-15</v>
      </c>
    </row>
    <row r="387" spans="3:48" x14ac:dyDescent="0.25">
      <c r="C387" s="31">
        <v>8.18432E-14</v>
      </c>
      <c r="D387" s="5">
        <v>6.5611799999999999E-13</v>
      </c>
      <c r="E387" s="3">
        <v>6.5823899999999996E-13</v>
      </c>
      <c r="F387" s="30">
        <v>6.7321099999999999E-13</v>
      </c>
      <c r="H387" s="2"/>
      <c r="I387" s="3">
        <v>2.1084599999999999E-14</v>
      </c>
      <c r="J387" s="3">
        <v>1.3973199999999999E-13</v>
      </c>
      <c r="K387" s="3">
        <v>1.5183400000000001E-13</v>
      </c>
      <c r="L387" s="30">
        <v>1.3262099999999999E-13</v>
      </c>
      <c r="N387" s="6"/>
      <c r="O387" s="3">
        <v>1.12285E-14</v>
      </c>
      <c r="P387" s="3">
        <v>1.43475E-13</v>
      </c>
      <c r="Q387" s="3">
        <v>1.54704E-13</v>
      </c>
      <c r="R387" s="30">
        <v>1.6343699999999999E-13</v>
      </c>
      <c r="T387" s="6"/>
      <c r="U387" s="3">
        <v>1.7840800000000001E-14</v>
      </c>
      <c r="V387" s="3">
        <v>1.23888E-13</v>
      </c>
      <c r="W387" s="3">
        <v>1.2002E-13</v>
      </c>
      <c r="X387" s="35">
        <v>1.07793E-13</v>
      </c>
      <c r="Z387" s="6"/>
      <c r="AA387" s="3">
        <v>1.24761E-15</v>
      </c>
      <c r="AB387" s="3">
        <v>1.1403199999999999E-13</v>
      </c>
      <c r="AC387" s="3">
        <v>1.1403199999999999E-13</v>
      </c>
      <c r="AD387" s="30">
        <v>1.07544E-13</v>
      </c>
      <c r="AF387" s="6"/>
      <c r="AG387" s="3">
        <v>1.24761E-16</v>
      </c>
      <c r="AH387" s="3">
        <v>3.7428200000000002E-16</v>
      </c>
      <c r="AI387" s="3">
        <v>9.9808699999999996E-16</v>
      </c>
      <c r="AJ387" s="30">
        <v>4.9904299999999997E-16</v>
      </c>
      <c r="AL387" s="6"/>
      <c r="AM387" s="3"/>
      <c r="AN387" s="3"/>
      <c r="AO387" s="3"/>
      <c r="AP387" s="30"/>
      <c r="AR387" s="6"/>
      <c r="AS387" s="3">
        <v>2.2457000000000002E-15</v>
      </c>
      <c r="AT387" s="3">
        <v>1.8714199999999999E-15</v>
      </c>
      <c r="AU387" s="30">
        <v>1.24761E-15</v>
      </c>
      <c r="AV387" s="3">
        <v>2.1209400000000001E-15</v>
      </c>
    </row>
    <row r="388" spans="3:48" x14ac:dyDescent="0.25">
      <c r="C388" s="31">
        <v>8.1468999999999996E-14</v>
      </c>
      <c r="D388" s="5">
        <v>6.5474600000000003E-13</v>
      </c>
      <c r="E388" s="3">
        <v>6.5699199999999995E-13</v>
      </c>
      <c r="F388" s="30">
        <v>6.7096499999999996E-13</v>
      </c>
      <c r="H388" s="2"/>
      <c r="I388" s="3">
        <v>2.1084599999999999E-14</v>
      </c>
      <c r="J388" s="3">
        <v>1.3748699999999999E-13</v>
      </c>
      <c r="K388" s="3">
        <v>1.4796599999999999E-13</v>
      </c>
      <c r="L388" s="30">
        <v>1.2837900000000001E-13</v>
      </c>
      <c r="N388" s="6"/>
      <c r="O388" s="3">
        <v>1.12285E-14</v>
      </c>
      <c r="P388" s="3">
        <v>1.42228E-13</v>
      </c>
      <c r="Q388" s="3">
        <v>1.49838E-13</v>
      </c>
      <c r="R388" s="30">
        <v>1.6318699999999999E-13</v>
      </c>
      <c r="T388" s="6"/>
      <c r="U388" s="3">
        <v>1.7840800000000001E-14</v>
      </c>
      <c r="V388" s="3">
        <v>1.2264E-13</v>
      </c>
      <c r="W388" s="3">
        <v>1.19272E-13</v>
      </c>
      <c r="X388" s="35">
        <v>1.07045E-13</v>
      </c>
      <c r="Z388" s="6"/>
      <c r="AA388" s="3">
        <v>1.24761E-15</v>
      </c>
      <c r="AB388" s="3">
        <v>1.12784E-13</v>
      </c>
      <c r="AC388" s="3">
        <v>1.12784E-13</v>
      </c>
      <c r="AD388" s="30">
        <v>1.07544E-13</v>
      </c>
      <c r="AF388" s="6"/>
      <c r="AG388" s="3">
        <v>1.24761E-16</v>
      </c>
      <c r="AH388" s="3">
        <v>3.7428200000000002E-16</v>
      </c>
      <c r="AI388" s="3">
        <v>9.9808699999999996E-16</v>
      </c>
      <c r="AJ388" s="30">
        <v>4.9904299999999997E-16</v>
      </c>
      <c r="AL388" s="6"/>
      <c r="AM388" s="3"/>
      <c r="AN388" s="3"/>
      <c r="AO388" s="3"/>
      <c r="AP388" s="30"/>
      <c r="AR388" s="6"/>
      <c r="AS388" s="3">
        <v>2.1209400000000001E-15</v>
      </c>
      <c r="AT388" s="3">
        <v>1.8714199999999999E-15</v>
      </c>
      <c r="AU388" s="30">
        <v>3.9923500000000003E-15</v>
      </c>
      <c r="AV388" s="3">
        <v>2.1209400000000001E-15</v>
      </c>
    </row>
    <row r="389" spans="3:48" x14ac:dyDescent="0.25">
      <c r="C389" s="31">
        <v>8.1468999999999996E-14</v>
      </c>
      <c r="D389" s="5">
        <v>6.5399700000000003E-13</v>
      </c>
      <c r="E389" s="3">
        <v>6.5474600000000003E-13</v>
      </c>
      <c r="F389" s="30">
        <v>6.6697300000000005E-13</v>
      </c>
      <c r="H389" s="2"/>
      <c r="I389" s="3">
        <v>2.0959800000000001E-14</v>
      </c>
      <c r="J389" s="3">
        <v>1.37362E-13</v>
      </c>
      <c r="K389" s="3">
        <v>1.47592E-13</v>
      </c>
      <c r="L389" s="30">
        <v>1.2800499999999999E-13</v>
      </c>
      <c r="N389" s="6"/>
      <c r="O389" s="3">
        <v>1.1103699999999999E-14</v>
      </c>
      <c r="P389" s="3">
        <v>1.3898399999999999E-13</v>
      </c>
      <c r="Q389" s="3">
        <v>1.4884E-13</v>
      </c>
      <c r="R389" s="30">
        <v>1.61815E-13</v>
      </c>
      <c r="T389" s="6"/>
      <c r="U389" s="3">
        <v>1.7716100000000001E-14</v>
      </c>
      <c r="V389" s="3">
        <v>1.21268E-13</v>
      </c>
      <c r="W389" s="3">
        <v>1.18772E-13</v>
      </c>
      <c r="X389" s="35">
        <v>1.05673E-13</v>
      </c>
      <c r="Z389" s="6"/>
      <c r="AA389" s="3">
        <v>1.24761E-15</v>
      </c>
      <c r="AB389" s="3">
        <v>1.09041E-13</v>
      </c>
      <c r="AC389" s="3">
        <v>1.1241E-13</v>
      </c>
      <c r="AD389" s="30">
        <v>1.07295E-13</v>
      </c>
      <c r="AF389" s="6"/>
      <c r="AG389" s="3">
        <v>1.24761E-16</v>
      </c>
      <c r="AH389" s="3">
        <v>3.7428200000000002E-16</v>
      </c>
      <c r="AI389" s="3">
        <v>9.9808699999999996E-16</v>
      </c>
      <c r="AJ389" s="30">
        <v>4.9904299999999997E-16</v>
      </c>
      <c r="AL389" s="6"/>
      <c r="AM389" s="3"/>
      <c r="AN389" s="3"/>
      <c r="AO389" s="3"/>
      <c r="AP389" s="30"/>
      <c r="AR389" s="6"/>
      <c r="AS389" s="3">
        <v>2.1209400000000001E-15</v>
      </c>
      <c r="AT389" s="3">
        <v>1.8714199999999999E-15</v>
      </c>
      <c r="AU389" s="30">
        <v>6.4875699999999998E-15</v>
      </c>
      <c r="AV389" s="3">
        <v>2.1209400000000001E-15</v>
      </c>
    </row>
    <row r="390" spans="3:48" x14ac:dyDescent="0.25">
      <c r="C390" s="31">
        <v>8.0845199999999997E-14</v>
      </c>
      <c r="D390" s="5">
        <v>6.5374799999999997E-13</v>
      </c>
      <c r="E390" s="3">
        <v>6.54496E-13</v>
      </c>
      <c r="F390" s="30">
        <v>6.66473E-13</v>
      </c>
      <c r="H390" s="2"/>
      <c r="I390" s="3">
        <v>2.0959800000000001E-14</v>
      </c>
      <c r="J390" s="3">
        <v>1.36364E-13</v>
      </c>
      <c r="K390" s="3">
        <v>1.46844E-13</v>
      </c>
      <c r="L390" s="30">
        <v>1.2725599999999999E-13</v>
      </c>
      <c r="N390" s="6"/>
      <c r="O390" s="3">
        <v>1.0979E-14</v>
      </c>
      <c r="P390" s="3">
        <v>1.3798599999999999E-13</v>
      </c>
      <c r="Q390" s="3">
        <v>1.4609499999999999E-13</v>
      </c>
      <c r="R390" s="30">
        <v>1.5919500000000001E-13</v>
      </c>
      <c r="T390" s="6"/>
      <c r="U390" s="3">
        <v>1.75913E-14</v>
      </c>
      <c r="V390" s="3">
        <v>1.2114299999999999E-13</v>
      </c>
      <c r="W390" s="3">
        <v>1.18024E-13</v>
      </c>
      <c r="X390" s="35">
        <v>1.0392600000000001E-13</v>
      </c>
      <c r="Z390" s="6"/>
      <c r="AA390" s="3">
        <v>1.1228500000000001E-15</v>
      </c>
      <c r="AB390" s="3">
        <v>1.07794E-13</v>
      </c>
      <c r="AC390" s="3">
        <v>1.09915E-13</v>
      </c>
      <c r="AD390" s="30">
        <v>1.06671E-13</v>
      </c>
      <c r="AF390" s="6"/>
      <c r="AG390" s="3">
        <v>1.24761E-16</v>
      </c>
      <c r="AH390" s="3">
        <v>3.7428200000000002E-16</v>
      </c>
      <c r="AI390" s="3">
        <v>8.7332599999999996E-16</v>
      </c>
      <c r="AJ390" s="30">
        <v>3.7428200000000002E-16</v>
      </c>
      <c r="AL390" s="6"/>
      <c r="AM390" s="3"/>
      <c r="AN390" s="3"/>
      <c r="AO390" s="3"/>
      <c r="AP390" s="30"/>
      <c r="AR390" s="6"/>
      <c r="AS390" s="3">
        <v>2.1209400000000001E-15</v>
      </c>
      <c r="AT390" s="3">
        <v>1.8714199999999999E-15</v>
      </c>
      <c r="AU390" s="30">
        <v>3.8675900000000002E-15</v>
      </c>
      <c r="AV390" s="3">
        <v>2.1209400000000001E-15</v>
      </c>
    </row>
    <row r="391" spans="3:48" x14ac:dyDescent="0.25">
      <c r="C391" s="31">
        <v>8.07204E-14</v>
      </c>
      <c r="D391" s="5">
        <v>6.5012999999999998E-13</v>
      </c>
      <c r="E391" s="3">
        <v>6.5287499999999998E-13</v>
      </c>
      <c r="F391" s="30">
        <v>6.6322999999999999E-13</v>
      </c>
      <c r="H391" s="2"/>
      <c r="I391" s="3">
        <v>2.0959800000000001E-14</v>
      </c>
      <c r="J391" s="3">
        <v>1.36114E-13</v>
      </c>
      <c r="K391" s="3">
        <v>1.4497200000000001E-13</v>
      </c>
      <c r="L391" s="30">
        <v>1.2551000000000001E-13</v>
      </c>
      <c r="N391" s="6"/>
      <c r="O391" s="3">
        <v>1.0979E-14</v>
      </c>
      <c r="P391" s="3">
        <v>1.37362E-13</v>
      </c>
      <c r="Q391" s="3">
        <v>1.4459799999999999E-13</v>
      </c>
      <c r="R391" s="30">
        <v>1.58072E-13</v>
      </c>
      <c r="T391" s="6"/>
      <c r="U391" s="3">
        <v>1.75913E-14</v>
      </c>
      <c r="V391" s="3">
        <v>1.2014499999999999E-13</v>
      </c>
      <c r="W391" s="3">
        <v>1.17026E-13</v>
      </c>
      <c r="X391" s="35">
        <v>1.03053E-13</v>
      </c>
      <c r="Z391" s="6"/>
      <c r="AA391" s="3">
        <v>1.1228500000000001E-15</v>
      </c>
      <c r="AB391" s="3">
        <v>1.06546E-13</v>
      </c>
      <c r="AC391" s="3">
        <v>1.09291E-13</v>
      </c>
      <c r="AD391" s="30">
        <v>1.06047E-13</v>
      </c>
      <c r="AF391" s="6"/>
      <c r="AG391" s="3">
        <v>1.24761E-16</v>
      </c>
      <c r="AH391" s="3">
        <v>3.7428200000000002E-16</v>
      </c>
      <c r="AI391" s="3">
        <v>8.7332599999999996E-16</v>
      </c>
      <c r="AJ391" s="30">
        <v>3.7428200000000002E-16</v>
      </c>
      <c r="AL391" s="6"/>
      <c r="AM391" s="3"/>
      <c r="AN391" s="3"/>
      <c r="AO391" s="3"/>
      <c r="AP391" s="30"/>
      <c r="AR391" s="6"/>
      <c r="AS391" s="3">
        <v>2.1209400000000001E-15</v>
      </c>
      <c r="AT391" s="3">
        <v>1.7466500000000001E-15</v>
      </c>
      <c r="AU391" s="30">
        <v>6.2380499999999999E-16</v>
      </c>
      <c r="AV391" s="3">
        <v>2.1209400000000001E-15</v>
      </c>
    </row>
    <row r="392" spans="3:48" x14ac:dyDescent="0.25">
      <c r="C392" s="31">
        <v>8.0221300000000004E-14</v>
      </c>
      <c r="D392" s="5">
        <v>6.4800900000000001E-13</v>
      </c>
      <c r="E392" s="3">
        <v>6.5137699999999998E-13</v>
      </c>
      <c r="F392" s="30">
        <v>6.5611799999999999E-13</v>
      </c>
      <c r="H392" s="2"/>
      <c r="I392" s="3">
        <v>2.0835100000000001E-14</v>
      </c>
      <c r="J392" s="3">
        <v>1.35116E-13</v>
      </c>
      <c r="K392" s="3">
        <v>1.4484699999999999E-13</v>
      </c>
      <c r="L392" s="30">
        <v>1.2525999999999999E-13</v>
      </c>
      <c r="N392" s="6"/>
      <c r="O392" s="3">
        <v>1.08542E-14</v>
      </c>
      <c r="P392" s="3">
        <v>1.35865E-13</v>
      </c>
      <c r="Q392" s="3">
        <v>1.44224E-13</v>
      </c>
      <c r="R392" s="30">
        <v>1.5632599999999999E-13</v>
      </c>
      <c r="T392" s="6"/>
      <c r="U392" s="3">
        <v>1.7466499999999999E-14</v>
      </c>
      <c r="V392" s="3">
        <v>1.2002E-13</v>
      </c>
      <c r="W392" s="3">
        <v>1.1527899999999999E-13</v>
      </c>
      <c r="X392" s="35">
        <v>1.01431E-13</v>
      </c>
      <c r="Z392" s="6"/>
      <c r="AA392" s="3">
        <v>9.98089E-16</v>
      </c>
      <c r="AB392" s="3">
        <v>1.05797E-13</v>
      </c>
      <c r="AC392" s="3">
        <v>1.08542E-13</v>
      </c>
      <c r="AD392" s="30">
        <v>1.05548E-13</v>
      </c>
      <c r="AF392" s="6"/>
      <c r="AG392" s="3">
        <v>1.24761E-16</v>
      </c>
      <c r="AH392" s="3">
        <v>3.7428200000000002E-16</v>
      </c>
      <c r="AI392" s="3">
        <v>8.7332599999999996E-16</v>
      </c>
      <c r="AJ392" s="30">
        <v>3.7428200000000002E-16</v>
      </c>
      <c r="AL392" s="6"/>
      <c r="AM392" s="3"/>
      <c r="AN392" s="3"/>
      <c r="AO392" s="3"/>
      <c r="AP392" s="30"/>
      <c r="AR392" s="6"/>
      <c r="AS392" s="3">
        <v>2.1209400000000001E-15</v>
      </c>
      <c r="AT392" s="3">
        <v>1.7466500000000001E-15</v>
      </c>
      <c r="AU392" s="30">
        <v>3.8675900000000002E-15</v>
      </c>
      <c r="AV392" s="3">
        <v>1.99618E-15</v>
      </c>
    </row>
    <row r="393" spans="3:48" x14ac:dyDescent="0.25">
      <c r="C393" s="31">
        <v>7.9722300000000003E-14</v>
      </c>
      <c r="D393" s="5">
        <v>6.4538899999999997E-13</v>
      </c>
      <c r="E393" s="3">
        <v>6.5100299999999997E-13</v>
      </c>
      <c r="F393" s="30">
        <v>6.5499499999999998E-13</v>
      </c>
      <c r="H393" s="2"/>
      <c r="I393" s="3">
        <v>2.07103E-14</v>
      </c>
      <c r="J393" s="3">
        <v>1.3386899999999999E-13</v>
      </c>
      <c r="K393" s="3">
        <v>1.43725E-13</v>
      </c>
      <c r="L393" s="30">
        <v>1.2525999999999999E-13</v>
      </c>
      <c r="N393" s="6"/>
      <c r="O393" s="3">
        <v>1.08542E-14</v>
      </c>
      <c r="P393" s="3">
        <v>1.3262099999999999E-13</v>
      </c>
      <c r="Q393" s="3">
        <v>1.43725E-13</v>
      </c>
      <c r="R393" s="30">
        <v>1.5432899999999999E-13</v>
      </c>
      <c r="T393" s="6"/>
      <c r="U393" s="3">
        <v>1.7092299999999999E-14</v>
      </c>
      <c r="V393" s="3">
        <v>1.1889699999999999E-13</v>
      </c>
      <c r="W393" s="3">
        <v>1.1515400000000001E-13</v>
      </c>
      <c r="X393" s="35">
        <v>1.01306E-13</v>
      </c>
      <c r="Z393" s="6"/>
      <c r="AA393" s="3">
        <v>9.98089E-16</v>
      </c>
      <c r="AB393" s="3">
        <v>1.05298E-13</v>
      </c>
      <c r="AC393" s="3">
        <v>1.07045E-13</v>
      </c>
      <c r="AD393" s="30">
        <v>1.02678E-13</v>
      </c>
      <c r="AF393" s="6"/>
      <c r="AG393" s="3">
        <v>1.24761E-16</v>
      </c>
      <c r="AH393" s="3">
        <v>3.7428200000000002E-16</v>
      </c>
      <c r="AI393" s="3">
        <v>8.7332599999999996E-16</v>
      </c>
      <c r="AJ393" s="30">
        <v>3.7428200000000002E-16</v>
      </c>
      <c r="AL393" s="6"/>
      <c r="AM393" s="3"/>
      <c r="AN393" s="3"/>
      <c r="AO393" s="3"/>
      <c r="AP393" s="30"/>
      <c r="AR393" s="6"/>
      <c r="AS393" s="3">
        <v>2.1209400000000001E-15</v>
      </c>
      <c r="AT393" s="3">
        <v>1.7466500000000001E-15</v>
      </c>
      <c r="AU393" s="30">
        <v>1.24761E-16</v>
      </c>
      <c r="AV393" s="3">
        <v>1.99618E-15</v>
      </c>
    </row>
    <row r="394" spans="3:48" x14ac:dyDescent="0.25">
      <c r="C394" s="31">
        <v>7.9597500000000005E-14</v>
      </c>
      <c r="D394" s="5">
        <v>6.4289399999999999E-13</v>
      </c>
      <c r="E394" s="3">
        <v>6.5100299999999997E-13</v>
      </c>
      <c r="F394" s="30">
        <v>6.5287499999999998E-13</v>
      </c>
      <c r="H394" s="2"/>
      <c r="I394" s="3">
        <v>2.07103E-14</v>
      </c>
      <c r="J394" s="3">
        <v>1.3311999999999999E-13</v>
      </c>
      <c r="K394" s="3">
        <v>1.42477E-13</v>
      </c>
      <c r="L394" s="30">
        <v>1.2326400000000001E-13</v>
      </c>
      <c r="N394" s="6"/>
      <c r="O394" s="3">
        <v>1.07294E-14</v>
      </c>
      <c r="P394" s="3">
        <v>1.3237099999999999E-13</v>
      </c>
      <c r="Q394" s="3">
        <v>1.4073E-13</v>
      </c>
      <c r="R394" s="30">
        <v>1.5145999999999999E-13</v>
      </c>
      <c r="T394" s="6"/>
      <c r="U394" s="3">
        <v>1.6967500000000001E-14</v>
      </c>
      <c r="V394" s="3">
        <v>1.18772E-13</v>
      </c>
      <c r="W394" s="3">
        <v>1.14905E-13</v>
      </c>
      <c r="X394" s="35">
        <v>9.7812600000000001E-14</v>
      </c>
      <c r="Z394" s="6"/>
      <c r="AA394" s="3">
        <v>9.98089E-16</v>
      </c>
      <c r="AB394" s="3">
        <v>1.0442499999999999E-13</v>
      </c>
      <c r="AC394" s="3">
        <v>1.0442499999999999E-13</v>
      </c>
      <c r="AD394" s="30">
        <v>1.0193E-13</v>
      </c>
      <c r="AF394" s="6"/>
      <c r="AG394" s="3">
        <v>1.24761E-16</v>
      </c>
      <c r="AH394" s="3">
        <v>3.7428200000000002E-16</v>
      </c>
      <c r="AI394" s="3">
        <v>8.7332599999999996E-16</v>
      </c>
      <c r="AJ394" s="30">
        <v>3.7428200000000002E-16</v>
      </c>
      <c r="AL394" s="6"/>
      <c r="AM394" s="3"/>
      <c r="AN394" s="3"/>
      <c r="AO394" s="3"/>
      <c r="AP394" s="30"/>
      <c r="AR394" s="6"/>
      <c r="AS394" s="3">
        <v>2.1209400000000001E-15</v>
      </c>
      <c r="AT394" s="3">
        <v>1.7466500000000001E-15</v>
      </c>
      <c r="AU394" s="30">
        <v>8.7332699999999998E-16</v>
      </c>
      <c r="AV394" s="3">
        <v>1.99618E-15</v>
      </c>
    </row>
    <row r="395" spans="3:48" x14ac:dyDescent="0.25">
      <c r="C395" s="31">
        <v>7.9348000000000004E-14</v>
      </c>
      <c r="D395" s="5">
        <v>6.3740399999999998E-13</v>
      </c>
      <c r="E395" s="3">
        <v>6.4775899999999999E-13</v>
      </c>
      <c r="F395" s="30">
        <v>6.5262499999999996E-13</v>
      </c>
      <c r="H395" s="2"/>
      <c r="I395" s="3">
        <v>2.07103E-14</v>
      </c>
      <c r="J395" s="3">
        <v>1.31498E-13</v>
      </c>
      <c r="K395" s="3">
        <v>1.4035600000000001E-13</v>
      </c>
      <c r="L395" s="30">
        <v>1.2276500000000001E-13</v>
      </c>
      <c r="N395" s="6"/>
      <c r="O395" s="3">
        <v>1.07294E-14</v>
      </c>
      <c r="P395" s="3">
        <v>1.32247E-13</v>
      </c>
      <c r="Q395" s="3">
        <v>1.40231E-13</v>
      </c>
      <c r="R395" s="30">
        <v>1.49588E-13</v>
      </c>
      <c r="T395" s="6"/>
      <c r="U395" s="3">
        <v>1.6842700000000001E-14</v>
      </c>
      <c r="V395" s="3">
        <v>1.1839800000000001E-13</v>
      </c>
      <c r="W395" s="3">
        <v>1.1477999999999999E-13</v>
      </c>
      <c r="X395" s="35">
        <v>9.6814500000000004E-14</v>
      </c>
      <c r="Z395" s="6"/>
      <c r="AA395" s="3">
        <v>9.98089E-16</v>
      </c>
      <c r="AB395" s="3">
        <v>1.00682E-13</v>
      </c>
      <c r="AC395" s="3">
        <v>1.04176E-13</v>
      </c>
      <c r="AD395" s="30">
        <v>9.7313699999999994E-14</v>
      </c>
      <c r="AF395" s="6"/>
      <c r="AG395" s="3">
        <v>1.24761E-16</v>
      </c>
      <c r="AH395" s="3">
        <v>3.7428200000000002E-16</v>
      </c>
      <c r="AI395" s="3">
        <v>8.7332599999999996E-16</v>
      </c>
      <c r="AJ395" s="30">
        <v>3.7428200000000002E-16</v>
      </c>
      <c r="AL395" s="6"/>
      <c r="AM395" s="3"/>
      <c r="AN395" s="3"/>
      <c r="AO395" s="3"/>
      <c r="AP395" s="30"/>
      <c r="AR395" s="6"/>
      <c r="AS395" s="3">
        <v>2.1209400000000001E-15</v>
      </c>
      <c r="AT395" s="3">
        <v>1.7466500000000001E-15</v>
      </c>
      <c r="AU395" s="30">
        <v>1.8714199999999999E-15</v>
      </c>
      <c r="AV395" s="3">
        <v>1.99618E-15</v>
      </c>
    </row>
    <row r="396" spans="3:48" x14ac:dyDescent="0.25">
      <c r="C396" s="31">
        <v>7.9223300000000001E-14</v>
      </c>
      <c r="D396" s="5">
        <v>6.36905E-13</v>
      </c>
      <c r="E396" s="3">
        <v>6.4588800000000004E-13</v>
      </c>
      <c r="F396" s="30">
        <v>6.4551400000000003E-13</v>
      </c>
      <c r="H396" s="2"/>
      <c r="I396" s="3">
        <v>2.07103E-14</v>
      </c>
      <c r="J396" s="3">
        <v>1.30749E-13</v>
      </c>
      <c r="K396" s="3">
        <v>1.4010700000000001E-13</v>
      </c>
      <c r="L396" s="30">
        <v>1.2251500000000001E-13</v>
      </c>
      <c r="N396" s="6"/>
      <c r="O396" s="3">
        <v>1.07294E-14</v>
      </c>
      <c r="P396" s="3">
        <v>1.305E-13</v>
      </c>
      <c r="Q396" s="3">
        <v>1.3923299999999999E-13</v>
      </c>
      <c r="R396" s="30">
        <v>1.4859E-13</v>
      </c>
      <c r="T396" s="6"/>
      <c r="U396" s="3">
        <v>1.6718000000000001E-14</v>
      </c>
      <c r="V396" s="3">
        <v>1.16776E-13</v>
      </c>
      <c r="W396" s="3">
        <v>1.1403199999999999E-13</v>
      </c>
      <c r="X396" s="35">
        <v>9.4194499999999998E-14</v>
      </c>
      <c r="Z396" s="6"/>
      <c r="AA396" s="3">
        <v>9.98089E-16</v>
      </c>
      <c r="AB396" s="3">
        <v>9.9808900000000002E-14</v>
      </c>
      <c r="AC396" s="3">
        <v>1.0405100000000001E-13</v>
      </c>
      <c r="AD396" s="30">
        <v>9.5816500000000001E-14</v>
      </c>
      <c r="AF396" s="6"/>
      <c r="AG396" s="3">
        <v>1.24761E-16</v>
      </c>
      <c r="AH396" s="3">
        <v>3.7428200000000002E-16</v>
      </c>
      <c r="AI396" s="3">
        <v>8.7332599999999996E-16</v>
      </c>
      <c r="AJ396" s="30">
        <v>3.7428200000000002E-16</v>
      </c>
      <c r="AL396" s="6"/>
      <c r="AM396" s="3"/>
      <c r="AN396" s="3"/>
      <c r="AO396" s="3"/>
      <c r="AP396" s="30"/>
      <c r="AR396" s="6"/>
      <c r="AS396" s="3">
        <v>2.1209400000000001E-15</v>
      </c>
      <c r="AT396" s="3">
        <v>1.7466500000000001E-15</v>
      </c>
      <c r="AU396" s="30">
        <v>1.3723700000000001E-15</v>
      </c>
      <c r="AV396" s="3">
        <v>1.99618E-15</v>
      </c>
    </row>
    <row r="397" spans="3:48" x14ac:dyDescent="0.25">
      <c r="C397" s="31">
        <v>7.8973700000000006E-14</v>
      </c>
      <c r="D397" s="5">
        <v>6.3253800000000001E-13</v>
      </c>
      <c r="E397" s="3">
        <v>6.4476500000000003E-13</v>
      </c>
      <c r="F397" s="30">
        <v>6.42519E-13</v>
      </c>
      <c r="H397" s="2"/>
      <c r="I397" s="3">
        <v>2.0585600000000001E-14</v>
      </c>
      <c r="J397" s="3">
        <v>1.3062500000000001E-13</v>
      </c>
      <c r="K397" s="3">
        <v>1.3910800000000001E-13</v>
      </c>
      <c r="L397" s="30">
        <v>1.2251500000000001E-13</v>
      </c>
      <c r="N397" s="6"/>
      <c r="O397" s="3">
        <v>1.07294E-14</v>
      </c>
      <c r="P397" s="3">
        <v>1.2862900000000001E-13</v>
      </c>
      <c r="Q397" s="3">
        <v>1.39109E-13</v>
      </c>
      <c r="R397" s="30">
        <v>1.48091E-13</v>
      </c>
      <c r="T397" s="6"/>
      <c r="U397" s="3">
        <v>1.6718000000000001E-14</v>
      </c>
      <c r="V397" s="3">
        <v>1.11911E-13</v>
      </c>
      <c r="W397" s="3">
        <v>1.13408E-13</v>
      </c>
      <c r="X397" s="35">
        <v>9.3695499999999997E-14</v>
      </c>
      <c r="Z397" s="6"/>
      <c r="AA397" s="3">
        <v>9.98089E-16</v>
      </c>
      <c r="AB397" s="3">
        <v>9.7188899999999996E-14</v>
      </c>
      <c r="AC397" s="3">
        <v>1.0405100000000001E-13</v>
      </c>
      <c r="AD397" s="30">
        <v>9.3570799999999994E-14</v>
      </c>
      <c r="AF397" s="6"/>
      <c r="AG397" s="3">
        <v>1.24761E-16</v>
      </c>
      <c r="AH397" s="3">
        <v>3.7428200000000002E-16</v>
      </c>
      <c r="AI397" s="3">
        <v>8.7332599999999996E-16</v>
      </c>
      <c r="AJ397" s="30">
        <v>3.7428200000000002E-16</v>
      </c>
      <c r="AL397" s="6"/>
      <c r="AM397" s="3"/>
      <c r="AN397" s="3"/>
      <c r="AO397" s="3"/>
      <c r="AP397" s="30"/>
      <c r="AR397" s="6"/>
      <c r="AS397" s="3">
        <v>1.99618E-15</v>
      </c>
      <c r="AT397" s="3">
        <v>1.62189E-15</v>
      </c>
      <c r="AU397" s="30">
        <v>2.4952199999999999E-16</v>
      </c>
      <c r="AV397" s="3">
        <v>1.8714199999999999E-15</v>
      </c>
    </row>
    <row r="398" spans="3:48" x14ac:dyDescent="0.25">
      <c r="C398" s="31">
        <v>7.8973700000000006E-14</v>
      </c>
      <c r="D398" s="5">
        <v>6.3241400000000002E-13</v>
      </c>
      <c r="E398" s="3">
        <v>6.4027400000000004E-13</v>
      </c>
      <c r="F398" s="30">
        <v>6.4002400000000002E-13</v>
      </c>
      <c r="H398" s="2"/>
      <c r="I398" s="3">
        <v>2.04608E-14</v>
      </c>
      <c r="J398" s="3">
        <v>1.29003E-13</v>
      </c>
      <c r="K398" s="3">
        <v>1.3848499999999999E-13</v>
      </c>
      <c r="L398" s="30">
        <v>1.2064399999999999E-13</v>
      </c>
      <c r="N398" s="6"/>
      <c r="O398" s="3">
        <v>1.07294E-14</v>
      </c>
      <c r="P398" s="3">
        <v>1.24636E-13</v>
      </c>
      <c r="Q398" s="3">
        <v>1.38859E-13</v>
      </c>
      <c r="R398" s="30">
        <v>1.47842E-13</v>
      </c>
      <c r="T398" s="6"/>
      <c r="U398" s="3">
        <v>1.64685E-14</v>
      </c>
      <c r="V398" s="3">
        <v>1.11037E-13</v>
      </c>
      <c r="W398" s="3">
        <v>1.11786E-13</v>
      </c>
      <c r="X398" s="35">
        <v>9.3570699999999999E-14</v>
      </c>
      <c r="Z398" s="6"/>
      <c r="AA398" s="3">
        <v>9.98089E-16</v>
      </c>
      <c r="AB398" s="3">
        <v>9.7064200000000006E-14</v>
      </c>
      <c r="AC398" s="3">
        <v>1.02803E-13</v>
      </c>
      <c r="AD398" s="30">
        <v>9.3446100000000004E-14</v>
      </c>
      <c r="AF398" s="6"/>
      <c r="AG398" s="3">
        <v>1.24761E-16</v>
      </c>
      <c r="AH398" s="3">
        <v>3.7428200000000002E-16</v>
      </c>
      <c r="AI398" s="3">
        <v>7.4856499999999997E-16</v>
      </c>
      <c r="AJ398" s="30">
        <v>3.7428200000000002E-16</v>
      </c>
      <c r="AL398" s="6"/>
      <c r="AM398" s="3"/>
      <c r="AN398" s="3"/>
      <c r="AO398" s="3"/>
      <c r="AP398" s="30"/>
      <c r="AR398" s="6"/>
      <c r="AS398" s="3">
        <v>1.99618E-15</v>
      </c>
      <c r="AT398" s="3">
        <v>1.62189E-15</v>
      </c>
      <c r="AU398" s="30">
        <v>3.7428299999999999E-16</v>
      </c>
      <c r="AV398" s="3">
        <v>1.8714199999999999E-15</v>
      </c>
    </row>
    <row r="399" spans="3:48" x14ac:dyDescent="0.25">
      <c r="C399" s="31">
        <v>7.8973700000000006E-14</v>
      </c>
      <c r="D399" s="5">
        <v>6.2804700000000002E-13</v>
      </c>
      <c r="E399" s="3">
        <v>6.3391100000000004E-13</v>
      </c>
      <c r="F399" s="30">
        <v>6.3702999999999996E-13</v>
      </c>
      <c r="H399" s="2"/>
      <c r="I399" s="3">
        <v>2.04608E-14</v>
      </c>
      <c r="J399" s="3">
        <v>1.2813000000000001E-13</v>
      </c>
      <c r="K399" s="3">
        <v>1.3848499999999999E-13</v>
      </c>
      <c r="L399" s="30">
        <v>1.2064399999999999E-13</v>
      </c>
      <c r="N399" s="6"/>
      <c r="O399" s="3">
        <v>1.07294E-14</v>
      </c>
      <c r="P399" s="3">
        <v>1.24137E-13</v>
      </c>
      <c r="Q399" s="3">
        <v>1.37112E-13</v>
      </c>
      <c r="R399" s="30">
        <v>1.47093E-13</v>
      </c>
      <c r="T399" s="6"/>
      <c r="U399" s="3">
        <v>1.6343699999999999E-14</v>
      </c>
      <c r="V399" s="3">
        <v>1.1091299999999999E-13</v>
      </c>
      <c r="W399" s="3">
        <v>1.0966500000000001E-13</v>
      </c>
      <c r="X399" s="35">
        <v>9.3321199999999999E-14</v>
      </c>
      <c r="Z399" s="6"/>
      <c r="AA399" s="3">
        <v>8.73328E-16</v>
      </c>
      <c r="AB399" s="3">
        <v>9.1574699999999994E-14</v>
      </c>
      <c r="AC399" s="3">
        <v>1.02803E-13</v>
      </c>
      <c r="AD399" s="30">
        <v>9.0576599999999997E-14</v>
      </c>
      <c r="AF399" s="6"/>
      <c r="AG399" s="3">
        <v>1.24761E-16</v>
      </c>
      <c r="AH399" s="3">
        <v>3.7428200000000002E-16</v>
      </c>
      <c r="AI399" s="3">
        <v>7.4856499999999997E-16</v>
      </c>
      <c r="AJ399" s="30">
        <v>2.4952199999999999E-16</v>
      </c>
      <c r="AL399" s="6"/>
      <c r="AM399" s="3"/>
      <c r="AN399" s="3"/>
      <c r="AO399" s="3"/>
      <c r="AP399" s="30"/>
      <c r="AR399" s="6"/>
      <c r="AS399" s="3">
        <v>1.99618E-15</v>
      </c>
      <c r="AT399" s="3">
        <v>1.62189E-15</v>
      </c>
      <c r="AU399" s="30">
        <v>1.8714199999999999E-15</v>
      </c>
      <c r="AV399" s="3">
        <v>1.8714199999999999E-15</v>
      </c>
    </row>
    <row r="400" spans="3:48" x14ac:dyDescent="0.25">
      <c r="C400" s="31">
        <v>7.8849000000000003E-14</v>
      </c>
      <c r="D400" s="5">
        <v>6.2243300000000002E-13</v>
      </c>
      <c r="E400" s="3">
        <v>6.2704899999999997E-13</v>
      </c>
      <c r="F400" s="30">
        <v>6.3578199999999999E-13</v>
      </c>
      <c r="H400" s="2"/>
      <c r="I400" s="3">
        <v>2.0335999999999999E-14</v>
      </c>
      <c r="J400" s="3">
        <v>1.2800499999999999E-13</v>
      </c>
      <c r="K400" s="3">
        <v>1.3823499999999999E-13</v>
      </c>
      <c r="L400" s="30">
        <v>1.19521E-13</v>
      </c>
      <c r="N400" s="6"/>
      <c r="O400" s="3">
        <v>1.06047E-14</v>
      </c>
      <c r="P400" s="3">
        <v>1.23888E-13</v>
      </c>
      <c r="Q400" s="3">
        <v>1.3599000000000001E-13</v>
      </c>
      <c r="R400" s="30">
        <v>1.4509699999999999E-13</v>
      </c>
      <c r="T400" s="6"/>
      <c r="U400" s="3">
        <v>1.6218899999999999E-14</v>
      </c>
      <c r="V400" s="3">
        <v>1.1091299999999999E-13</v>
      </c>
      <c r="W400" s="3">
        <v>1.07918E-13</v>
      </c>
      <c r="X400" s="35">
        <v>9.3196499999999996E-14</v>
      </c>
      <c r="Z400" s="6"/>
      <c r="AA400" s="3">
        <v>8.73328E-16</v>
      </c>
      <c r="AB400" s="3">
        <v>9.0576599999999997E-14</v>
      </c>
      <c r="AC400" s="3">
        <v>1.02554E-13</v>
      </c>
      <c r="AD400" s="30">
        <v>8.9453700000000003E-14</v>
      </c>
      <c r="AF400" s="6"/>
      <c r="AG400" s="3">
        <v>1.24761E-16</v>
      </c>
      <c r="AH400" s="3">
        <v>2.4952199999999999E-16</v>
      </c>
      <c r="AI400" s="3">
        <v>7.4856499999999997E-16</v>
      </c>
      <c r="AJ400" s="30">
        <v>2.4952199999999999E-16</v>
      </c>
      <c r="AL400" s="6"/>
      <c r="AM400" s="3"/>
      <c r="AN400" s="3"/>
      <c r="AO400" s="3"/>
      <c r="AP400" s="30"/>
      <c r="AR400" s="6"/>
      <c r="AS400" s="3">
        <v>1.99618E-15</v>
      </c>
      <c r="AT400" s="3">
        <v>1.62189E-15</v>
      </c>
      <c r="AU400" s="30">
        <v>1.62189E-15</v>
      </c>
      <c r="AV400" s="3">
        <v>1.8714199999999999E-15</v>
      </c>
    </row>
    <row r="401" spans="3:48" x14ac:dyDescent="0.25">
      <c r="C401" s="31">
        <v>7.8225200000000004E-14</v>
      </c>
      <c r="D401" s="5">
        <v>6.2018699999999999E-13</v>
      </c>
      <c r="E401" s="3">
        <v>6.2580099999999999E-13</v>
      </c>
      <c r="F401" s="30">
        <v>6.3291299999999999E-13</v>
      </c>
      <c r="H401" s="2"/>
      <c r="I401" s="3">
        <v>2.0211299999999999E-14</v>
      </c>
      <c r="J401" s="3">
        <v>1.2763000000000001E-13</v>
      </c>
      <c r="K401" s="3">
        <v>1.3574000000000001E-13</v>
      </c>
      <c r="L401" s="30">
        <v>1.1939599999999999E-13</v>
      </c>
      <c r="N401" s="6"/>
      <c r="O401" s="3">
        <v>1.06047E-14</v>
      </c>
      <c r="P401" s="3">
        <v>1.2114299999999999E-13</v>
      </c>
      <c r="Q401" s="3">
        <v>1.35615E-13</v>
      </c>
      <c r="R401" s="30">
        <v>1.44723E-13</v>
      </c>
      <c r="T401" s="6"/>
      <c r="U401" s="3">
        <v>1.6094199999999999E-14</v>
      </c>
      <c r="V401" s="3">
        <v>1.10538E-13</v>
      </c>
      <c r="W401" s="3">
        <v>1.06546E-13</v>
      </c>
      <c r="X401" s="35">
        <v>9.2822199999999998E-14</v>
      </c>
      <c r="Z401" s="6"/>
      <c r="AA401" s="3">
        <v>8.73328E-16</v>
      </c>
      <c r="AB401" s="3">
        <v>8.9329E-14</v>
      </c>
      <c r="AC401" s="3">
        <v>1.02055E-13</v>
      </c>
      <c r="AD401" s="30">
        <v>8.7956600000000005E-14</v>
      </c>
      <c r="AF401" s="6"/>
      <c r="AG401" s="3">
        <v>1.24761E-16</v>
      </c>
      <c r="AH401" s="3">
        <v>2.4952199999999999E-16</v>
      </c>
      <c r="AI401" s="3">
        <v>7.4856499999999997E-16</v>
      </c>
      <c r="AJ401" s="30">
        <v>2.4952199999999999E-16</v>
      </c>
      <c r="AL401" s="6"/>
      <c r="AM401" s="3"/>
      <c r="AN401" s="3"/>
      <c r="AO401" s="3"/>
      <c r="AP401" s="30"/>
      <c r="AR401" s="6"/>
      <c r="AS401" s="3">
        <v>1.99618E-15</v>
      </c>
      <c r="AT401" s="3">
        <v>1.62189E-15</v>
      </c>
      <c r="AU401" s="30">
        <v>4.7409199999999997E-15</v>
      </c>
      <c r="AV401" s="3">
        <v>1.8714199999999999E-15</v>
      </c>
    </row>
    <row r="402" spans="3:48" x14ac:dyDescent="0.25">
      <c r="C402" s="31">
        <v>7.7975599999999996E-14</v>
      </c>
      <c r="D402" s="5">
        <v>6.1906399999999998E-13</v>
      </c>
      <c r="E402" s="3">
        <v>6.1981299999999998E-13</v>
      </c>
      <c r="F402" s="30">
        <v>6.3016799999999999E-13</v>
      </c>
      <c r="H402" s="2"/>
      <c r="I402" s="3">
        <v>2.0086499999999999E-14</v>
      </c>
      <c r="J402" s="3">
        <v>1.25385E-13</v>
      </c>
      <c r="K402" s="3">
        <v>1.3574000000000001E-13</v>
      </c>
      <c r="L402" s="30">
        <v>1.17774E-13</v>
      </c>
      <c r="N402" s="6"/>
      <c r="O402" s="3">
        <v>1.06047E-14</v>
      </c>
      <c r="P402" s="3">
        <v>1.1989499999999999E-13</v>
      </c>
      <c r="Q402" s="3">
        <v>1.3386899999999999E-13</v>
      </c>
      <c r="R402" s="30">
        <v>1.4285099999999999E-13</v>
      </c>
      <c r="T402" s="6"/>
      <c r="U402" s="3">
        <v>1.6094199999999999E-14</v>
      </c>
      <c r="V402" s="3">
        <v>1.0979E-13</v>
      </c>
      <c r="W402" s="3">
        <v>1.05922E-13</v>
      </c>
      <c r="X402" s="35">
        <v>9.0701200000000006E-14</v>
      </c>
      <c r="Z402" s="6"/>
      <c r="AA402" s="3">
        <v>8.73328E-16</v>
      </c>
      <c r="AB402" s="3">
        <v>8.7582299999999994E-14</v>
      </c>
      <c r="AC402" s="3">
        <v>9.6814599999999998E-14</v>
      </c>
      <c r="AD402" s="30">
        <v>8.5087099999999998E-14</v>
      </c>
      <c r="AF402" s="6"/>
      <c r="AG402" s="3">
        <v>1.24761E-16</v>
      </c>
      <c r="AH402" s="3">
        <v>2.4952199999999999E-16</v>
      </c>
      <c r="AI402" s="3">
        <v>7.4856499999999997E-16</v>
      </c>
      <c r="AJ402" s="30">
        <v>2.4952199999999999E-16</v>
      </c>
      <c r="AL402" s="6"/>
      <c r="AM402" s="3"/>
      <c r="AN402" s="3"/>
      <c r="AO402" s="3"/>
      <c r="AP402" s="30"/>
      <c r="AR402" s="6"/>
      <c r="AS402" s="3">
        <v>1.8714199999999999E-15</v>
      </c>
      <c r="AT402" s="3">
        <v>1.4971299999999999E-15</v>
      </c>
      <c r="AU402" s="30">
        <v>2.61998E-15</v>
      </c>
      <c r="AV402" s="3">
        <v>1.8714199999999999E-15</v>
      </c>
    </row>
    <row r="403" spans="3:48" x14ac:dyDescent="0.25">
      <c r="C403" s="31">
        <v>7.7975599999999996E-14</v>
      </c>
      <c r="D403" s="5">
        <v>6.1831600000000005E-13</v>
      </c>
      <c r="E403" s="3">
        <v>6.19314E-13</v>
      </c>
      <c r="F403" s="30">
        <v>6.2954400000000005E-13</v>
      </c>
      <c r="H403" s="2"/>
      <c r="I403" s="3">
        <v>2.0086499999999999E-14</v>
      </c>
      <c r="J403" s="3">
        <v>1.24886E-13</v>
      </c>
      <c r="K403" s="3">
        <v>1.3374400000000001E-13</v>
      </c>
      <c r="L403" s="30">
        <v>1.1715100000000001E-13</v>
      </c>
      <c r="N403" s="6"/>
      <c r="O403" s="3">
        <v>1.06047E-14</v>
      </c>
      <c r="P403" s="3">
        <v>1.1964599999999999E-13</v>
      </c>
      <c r="Q403" s="3">
        <v>1.31997E-13</v>
      </c>
      <c r="R403" s="30">
        <v>1.4160400000000001E-13</v>
      </c>
      <c r="T403" s="6"/>
      <c r="U403" s="3">
        <v>1.6094199999999999E-14</v>
      </c>
      <c r="V403" s="3">
        <v>1.08043E-13</v>
      </c>
      <c r="W403" s="3">
        <v>1.05797E-13</v>
      </c>
      <c r="X403" s="35">
        <v>8.9328900000000005E-14</v>
      </c>
      <c r="Z403" s="6"/>
      <c r="AA403" s="3">
        <v>8.73328E-16</v>
      </c>
      <c r="AB403" s="3">
        <v>8.7582299999999994E-14</v>
      </c>
      <c r="AC403" s="3">
        <v>9.41947E-14</v>
      </c>
      <c r="AD403" s="30">
        <v>8.3215700000000002E-14</v>
      </c>
      <c r="AF403" s="6"/>
      <c r="AG403" s="3">
        <v>1.24761E-16</v>
      </c>
      <c r="AH403" s="3">
        <v>2.4952199999999999E-16</v>
      </c>
      <c r="AI403" s="3">
        <v>7.4856499999999997E-16</v>
      </c>
      <c r="AJ403" s="30">
        <v>2.4952199999999999E-16</v>
      </c>
      <c r="AL403" s="6"/>
      <c r="AM403" s="3"/>
      <c r="AN403" s="3"/>
      <c r="AO403" s="3"/>
      <c r="AP403" s="30"/>
      <c r="AR403" s="6"/>
      <c r="AS403" s="3">
        <v>1.8714199999999999E-15</v>
      </c>
      <c r="AT403" s="3">
        <v>1.4971299999999999E-15</v>
      </c>
      <c r="AU403" s="30">
        <v>4.9904399999999999E-16</v>
      </c>
      <c r="AV403" s="3">
        <v>1.8714199999999999E-15</v>
      </c>
    </row>
    <row r="404" spans="3:48" x14ac:dyDescent="0.25">
      <c r="C404" s="31">
        <v>7.7601400000000005E-14</v>
      </c>
      <c r="D404" s="5">
        <v>6.1756700000000005E-13</v>
      </c>
      <c r="E404" s="3">
        <v>6.1831600000000005E-13</v>
      </c>
      <c r="F404" s="30">
        <v>6.2692400000000001E-13</v>
      </c>
      <c r="H404" s="2"/>
      <c r="I404" s="3">
        <v>1.9961799999999999E-14</v>
      </c>
      <c r="J404" s="3">
        <v>1.2376300000000001E-13</v>
      </c>
      <c r="K404" s="3">
        <v>1.3137299999999999E-13</v>
      </c>
      <c r="L404" s="30">
        <v>1.13657E-13</v>
      </c>
      <c r="N404" s="6"/>
      <c r="O404" s="3">
        <v>1.0479900000000001E-14</v>
      </c>
      <c r="P404" s="3">
        <v>1.1814900000000001E-13</v>
      </c>
      <c r="Q404" s="3">
        <v>1.2987600000000001E-13</v>
      </c>
      <c r="R404" s="30">
        <v>1.3998199999999999E-13</v>
      </c>
      <c r="T404" s="6"/>
      <c r="U404" s="3">
        <v>1.58446E-14</v>
      </c>
      <c r="V404" s="3">
        <v>1.0692E-13</v>
      </c>
      <c r="W404" s="3">
        <v>1.05548E-13</v>
      </c>
      <c r="X404" s="35">
        <v>8.8829799999999997E-14</v>
      </c>
      <c r="Z404" s="6"/>
      <c r="AA404" s="3">
        <v>8.73328E-16</v>
      </c>
      <c r="AB404" s="3">
        <v>8.7332800000000006E-14</v>
      </c>
      <c r="AC404" s="3">
        <v>9.3695600000000004E-14</v>
      </c>
      <c r="AD404" s="30">
        <v>8.2841400000000004E-14</v>
      </c>
      <c r="AF404" s="6"/>
      <c r="AG404" s="3">
        <v>1.24761E-16</v>
      </c>
      <c r="AH404" s="3">
        <v>2.4952199999999999E-16</v>
      </c>
      <c r="AI404" s="3">
        <v>7.4856499999999997E-16</v>
      </c>
      <c r="AJ404" s="30">
        <v>2.4952199999999999E-16</v>
      </c>
      <c r="AL404" s="6"/>
      <c r="AM404" s="3"/>
      <c r="AN404" s="3"/>
      <c r="AO404" s="3"/>
      <c r="AP404" s="30"/>
      <c r="AR404" s="6"/>
      <c r="AS404" s="3">
        <v>1.8714199999999999E-15</v>
      </c>
      <c r="AT404" s="3">
        <v>1.4971299999999999E-15</v>
      </c>
      <c r="AU404" s="30">
        <v>1.62189E-15</v>
      </c>
      <c r="AV404" s="3">
        <v>1.8714199999999999E-15</v>
      </c>
    </row>
    <row r="405" spans="3:48" x14ac:dyDescent="0.25">
      <c r="C405" s="31">
        <v>7.7601400000000005E-14</v>
      </c>
      <c r="D405" s="5">
        <v>6.1407400000000001E-13</v>
      </c>
      <c r="E405" s="3">
        <v>6.1819099999999999E-13</v>
      </c>
      <c r="F405" s="30">
        <v>6.2555200000000004E-13</v>
      </c>
      <c r="H405" s="2"/>
      <c r="I405" s="3">
        <v>1.9837000000000001E-14</v>
      </c>
      <c r="J405" s="3">
        <v>1.20519E-13</v>
      </c>
      <c r="K405" s="3">
        <v>1.3112400000000001E-13</v>
      </c>
      <c r="L405" s="30">
        <v>1.13408E-13</v>
      </c>
      <c r="N405" s="6"/>
      <c r="O405" s="3">
        <v>1.0479900000000001E-14</v>
      </c>
      <c r="P405" s="3">
        <v>1.1765000000000001E-13</v>
      </c>
      <c r="Q405" s="3">
        <v>1.29003E-13</v>
      </c>
      <c r="R405" s="30">
        <v>1.3923299999999999E-13</v>
      </c>
      <c r="T405" s="6"/>
      <c r="U405" s="3">
        <v>1.58446E-14</v>
      </c>
      <c r="V405" s="3">
        <v>1.02803E-13</v>
      </c>
      <c r="W405" s="3">
        <v>1.0442499999999999E-13</v>
      </c>
      <c r="X405" s="35">
        <v>8.5461300000000002E-14</v>
      </c>
      <c r="Z405" s="6"/>
      <c r="AA405" s="3">
        <v>8.73328E-16</v>
      </c>
      <c r="AB405" s="3">
        <v>8.6708999999999994E-14</v>
      </c>
      <c r="AC405" s="3">
        <v>9.3570799999999994E-14</v>
      </c>
      <c r="AD405" s="30">
        <v>8.2217600000000005E-14</v>
      </c>
      <c r="AF405" s="6"/>
      <c r="AG405" s="3">
        <v>1.24761E-16</v>
      </c>
      <c r="AH405" s="3">
        <v>2.4952199999999999E-16</v>
      </c>
      <c r="AI405" s="3">
        <v>7.4856499999999997E-16</v>
      </c>
      <c r="AJ405" s="30">
        <v>2.4952199999999999E-16</v>
      </c>
      <c r="AL405" s="6"/>
      <c r="AM405" s="3"/>
      <c r="AN405" s="3"/>
      <c r="AO405" s="3"/>
      <c r="AP405" s="30"/>
      <c r="AR405" s="6"/>
      <c r="AS405" s="3">
        <v>1.8714199999999999E-15</v>
      </c>
      <c r="AT405" s="3">
        <v>1.4971299999999999E-15</v>
      </c>
      <c r="AU405" s="30">
        <v>1.24761E-16</v>
      </c>
      <c r="AV405" s="3">
        <v>1.8714199999999999E-15</v>
      </c>
    </row>
    <row r="406" spans="3:48" x14ac:dyDescent="0.25">
      <c r="C406" s="31">
        <v>7.6852799999999996E-14</v>
      </c>
      <c r="D406" s="5">
        <v>6.1332500000000001E-13</v>
      </c>
      <c r="E406" s="3">
        <v>6.1519700000000003E-13</v>
      </c>
      <c r="F406" s="30">
        <v>6.2517800000000002E-13</v>
      </c>
      <c r="H406" s="2"/>
      <c r="I406" s="3">
        <v>1.9837000000000001E-14</v>
      </c>
      <c r="J406" s="3">
        <v>1.2014499999999999E-13</v>
      </c>
      <c r="K406" s="3">
        <v>1.30001E-13</v>
      </c>
      <c r="L406" s="30">
        <v>1.09291E-13</v>
      </c>
      <c r="N406" s="6"/>
      <c r="O406" s="3">
        <v>1.0355200000000001E-14</v>
      </c>
      <c r="P406" s="3">
        <v>1.1403199999999999E-13</v>
      </c>
      <c r="Q406" s="3">
        <v>1.25884E-13</v>
      </c>
      <c r="R406" s="30">
        <v>1.3474200000000001E-13</v>
      </c>
      <c r="T406" s="6"/>
      <c r="U406" s="3">
        <v>1.58446E-14</v>
      </c>
      <c r="V406" s="3">
        <v>1.02304E-13</v>
      </c>
      <c r="W406" s="3">
        <v>1.01306E-13</v>
      </c>
      <c r="X406" s="35">
        <v>8.4088899999999994E-14</v>
      </c>
      <c r="Z406" s="6"/>
      <c r="AA406" s="3">
        <v>8.73328E-16</v>
      </c>
      <c r="AB406" s="3">
        <v>8.6584199999999997E-14</v>
      </c>
      <c r="AC406" s="3">
        <v>8.95785E-14</v>
      </c>
      <c r="AD406" s="30">
        <v>8.1468999999999996E-14</v>
      </c>
      <c r="AF406" s="6"/>
      <c r="AG406" s="3">
        <v>1.24761E-16</v>
      </c>
      <c r="AH406" s="3">
        <v>2.4952199999999999E-16</v>
      </c>
      <c r="AI406" s="3">
        <v>7.4856499999999997E-16</v>
      </c>
      <c r="AJ406" s="30">
        <v>2.4952199999999999E-16</v>
      </c>
      <c r="AL406" s="6"/>
      <c r="AM406" s="3"/>
      <c r="AN406" s="3"/>
      <c r="AO406" s="3"/>
      <c r="AP406" s="30"/>
      <c r="AR406" s="6"/>
      <c r="AS406" s="3">
        <v>1.8714199999999999E-15</v>
      </c>
      <c r="AT406" s="3">
        <v>1.4971299999999999E-15</v>
      </c>
      <c r="AU406" s="30">
        <v>1.3723700000000001E-15</v>
      </c>
      <c r="AV406" s="3">
        <v>1.8714199999999999E-15</v>
      </c>
    </row>
    <row r="407" spans="3:48" x14ac:dyDescent="0.25">
      <c r="C407" s="31">
        <v>7.6727999999999999E-14</v>
      </c>
      <c r="D407" s="5">
        <v>6.1282600000000004E-13</v>
      </c>
      <c r="E407" s="3">
        <v>6.1469799999999995E-13</v>
      </c>
      <c r="F407" s="30">
        <v>6.2168400000000002E-13</v>
      </c>
      <c r="H407" s="2"/>
      <c r="I407" s="3">
        <v>1.9837000000000001E-14</v>
      </c>
      <c r="J407" s="3">
        <v>1.1515400000000001E-13</v>
      </c>
      <c r="K407" s="3">
        <v>1.2912800000000001E-13</v>
      </c>
      <c r="L407" s="30">
        <v>1.07918E-13</v>
      </c>
      <c r="N407" s="6"/>
      <c r="O407" s="3">
        <v>1.02304E-14</v>
      </c>
      <c r="P407" s="3">
        <v>1.13408E-13</v>
      </c>
      <c r="Q407" s="3">
        <v>1.25634E-13</v>
      </c>
      <c r="R407" s="30">
        <v>1.31997E-13</v>
      </c>
      <c r="T407" s="6"/>
      <c r="U407" s="3">
        <v>1.58446E-14</v>
      </c>
      <c r="V407" s="3">
        <v>1.01555E-13</v>
      </c>
      <c r="W407" s="3">
        <v>1.00807E-13</v>
      </c>
      <c r="X407" s="35">
        <v>8.3090799999999997E-14</v>
      </c>
      <c r="Z407" s="6"/>
      <c r="AA407" s="3">
        <v>8.73328E-16</v>
      </c>
      <c r="AB407" s="3">
        <v>8.44633E-14</v>
      </c>
      <c r="AC407" s="3">
        <v>8.95785E-14</v>
      </c>
      <c r="AD407" s="30">
        <v>7.7726200000000003E-14</v>
      </c>
      <c r="AF407" s="6"/>
      <c r="AG407" s="3">
        <v>1.24761E-16</v>
      </c>
      <c r="AH407" s="3">
        <v>2.4952199999999999E-16</v>
      </c>
      <c r="AI407" s="3">
        <v>6.2380399999999997E-16</v>
      </c>
      <c r="AJ407" s="30">
        <v>2.4952199999999999E-16</v>
      </c>
      <c r="AL407" s="6"/>
      <c r="AM407" s="3"/>
      <c r="AN407" s="3"/>
      <c r="AO407" s="3"/>
      <c r="AP407" s="30"/>
      <c r="AR407" s="6"/>
      <c r="AS407" s="3">
        <v>1.8714199999999999E-15</v>
      </c>
      <c r="AT407" s="3">
        <v>1.4971299999999999E-15</v>
      </c>
      <c r="AU407" s="30">
        <v>4.9904399999999999E-16</v>
      </c>
      <c r="AV407" s="3">
        <v>1.8714199999999999E-15</v>
      </c>
    </row>
    <row r="408" spans="3:48" x14ac:dyDescent="0.25">
      <c r="C408" s="31">
        <v>7.6727999999999999E-14</v>
      </c>
      <c r="D408" s="5">
        <v>6.1282600000000004E-13</v>
      </c>
      <c r="E408" s="3">
        <v>6.1195300000000005E-13</v>
      </c>
      <c r="F408" s="30">
        <v>6.1968800000000001E-13</v>
      </c>
      <c r="H408" s="2"/>
      <c r="I408" s="3">
        <v>1.9837000000000001E-14</v>
      </c>
      <c r="J408" s="3">
        <v>1.12659E-13</v>
      </c>
      <c r="K408" s="3">
        <v>1.2700699999999999E-13</v>
      </c>
      <c r="L408" s="30">
        <v>1.03053E-13</v>
      </c>
      <c r="N408" s="6"/>
      <c r="O408" s="3">
        <v>1.0105600000000001E-14</v>
      </c>
      <c r="P408" s="3">
        <v>1.13158E-13</v>
      </c>
      <c r="Q408" s="3">
        <v>1.2451099999999999E-13</v>
      </c>
      <c r="R408" s="30">
        <v>1.3075E-13</v>
      </c>
      <c r="T408" s="6"/>
      <c r="U408" s="3">
        <v>1.58446E-14</v>
      </c>
      <c r="V408" s="3">
        <v>9.9434499999999997E-14</v>
      </c>
      <c r="W408" s="3">
        <v>9.9683999999999997E-14</v>
      </c>
      <c r="X408" s="35">
        <v>8.2342299999999995E-14</v>
      </c>
      <c r="Z408" s="6"/>
      <c r="AA408" s="3">
        <v>8.73328E-16</v>
      </c>
      <c r="AB408" s="3">
        <v>8.4213799999999999E-14</v>
      </c>
      <c r="AC408" s="3">
        <v>8.9329E-14</v>
      </c>
      <c r="AD408" s="30">
        <v>7.7351900000000005E-14</v>
      </c>
      <c r="AF408" s="6"/>
      <c r="AG408" s="3">
        <v>1.24761E-16</v>
      </c>
      <c r="AH408" s="3">
        <v>2.4952199999999999E-16</v>
      </c>
      <c r="AI408" s="3">
        <v>6.2380399999999997E-16</v>
      </c>
      <c r="AJ408" s="30">
        <v>2.4952199999999999E-16</v>
      </c>
      <c r="AL408" s="6"/>
      <c r="AM408" s="3"/>
      <c r="AN408" s="3"/>
      <c r="AO408" s="3"/>
      <c r="AP408" s="30"/>
      <c r="AR408" s="6"/>
      <c r="AS408" s="3">
        <v>1.8714199999999999E-15</v>
      </c>
      <c r="AT408" s="3">
        <v>1.4971299999999999E-15</v>
      </c>
      <c r="AU408" s="30">
        <v>2.4952199999999999E-16</v>
      </c>
      <c r="AV408" s="3">
        <v>1.8714199999999999E-15</v>
      </c>
    </row>
    <row r="409" spans="3:48" x14ac:dyDescent="0.25">
      <c r="C409" s="31">
        <v>7.6603299999999996E-14</v>
      </c>
      <c r="D409" s="5">
        <v>6.12202E-13</v>
      </c>
      <c r="E409" s="3">
        <v>6.09333E-13</v>
      </c>
      <c r="F409" s="30">
        <v>6.1831600000000005E-13</v>
      </c>
      <c r="H409" s="2"/>
      <c r="I409" s="3">
        <v>1.97122E-14</v>
      </c>
      <c r="J409" s="3">
        <v>1.11911E-13</v>
      </c>
      <c r="K409" s="3">
        <v>1.25884E-13</v>
      </c>
      <c r="L409" s="30">
        <v>1.01805E-13</v>
      </c>
      <c r="N409" s="6"/>
      <c r="O409" s="3">
        <v>9.9808799999999998E-15</v>
      </c>
      <c r="P409" s="3">
        <v>1.08792E-13</v>
      </c>
      <c r="Q409" s="3">
        <v>1.17275E-13</v>
      </c>
      <c r="R409" s="30">
        <v>1.3037500000000001E-13</v>
      </c>
      <c r="T409" s="6"/>
      <c r="U409" s="3">
        <v>1.55951E-14</v>
      </c>
      <c r="V409" s="3">
        <v>9.7438300000000002E-14</v>
      </c>
      <c r="W409" s="3">
        <v>9.8311699999999996E-14</v>
      </c>
      <c r="X409" s="35">
        <v>8.2342299999999995E-14</v>
      </c>
      <c r="Z409" s="6"/>
      <c r="AA409" s="3">
        <v>7.48567E-16</v>
      </c>
      <c r="AB409" s="3">
        <v>8.3714700000000003E-14</v>
      </c>
      <c r="AC409" s="3">
        <v>8.7207999999999996E-14</v>
      </c>
      <c r="AD409" s="30">
        <v>7.7227099999999995E-14</v>
      </c>
      <c r="AF409" s="6"/>
      <c r="AG409" s="3">
        <v>1.24761E-16</v>
      </c>
      <c r="AH409" s="3">
        <v>2.4952199999999999E-16</v>
      </c>
      <c r="AI409" s="3">
        <v>6.2380399999999997E-16</v>
      </c>
      <c r="AJ409" s="30">
        <v>2.4952199999999999E-16</v>
      </c>
      <c r="AL409" s="6"/>
      <c r="AM409" s="3"/>
      <c r="AN409" s="3"/>
      <c r="AO409" s="3"/>
      <c r="AP409" s="30"/>
      <c r="AR409" s="6"/>
      <c r="AS409" s="3">
        <v>1.8714199999999999E-15</v>
      </c>
      <c r="AT409" s="3">
        <v>1.4971299999999999E-15</v>
      </c>
      <c r="AU409" s="30">
        <v>4.9904399999999999E-16</v>
      </c>
      <c r="AV409" s="3">
        <v>1.8714199999999999E-15</v>
      </c>
    </row>
    <row r="410" spans="3:48" x14ac:dyDescent="0.25">
      <c r="C410" s="31">
        <v>7.5854699999999999E-14</v>
      </c>
      <c r="D410" s="5">
        <v>6.1058099999999998E-13</v>
      </c>
      <c r="E410" s="3">
        <v>6.0721200000000004E-13</v>
      </c>
      <c r="F410" s="30">
        <v>6.1794099999999996E-13</v>
      </c>
      <c r="H410" s="2"/>
      <c r="I410" s="3">
        <v>1.97122E-14</v>
      </c>
      <c r="J410" s="3">
        <v>1.11911E-13</v>
      </c>
      <c r="K410" s="3">
        <v>1.24137E-13</v>
      </c>
      <c r="L410" s="30">
        <v>9.9184999999999996E-14</v>
      </c>
      <c r="N410" s="6"/>
      <c r="O410" s="3">
        <v>9.9808799999999998E-15</v>
      </c>
      <c r="P410" s="3">
        <v>1.08293E-13</v>
      </c>
      <c r="Q410" s="3">
        <v>1.16153E-13</v>
      </c>
      <c r="R410" s="30">
        <v>1.2800499999999999E-13</v>
      </c>
      <c r="T410" s="6"/>
      <c r="U410" s="3">
        <v>1.5345599999999999E-14</v>
      </c>
      <c r="V410" s="3">
        <v>9.5566900000000006E-14</v>
      </c>
      <c r="W410" s="3">
        <v>9.6190700000000005E-14</v>
      </c>
      <c r="X410" s="35">
        <v>7.9597500000000005E-14</v>
      </c>
      <c r="Z410" s="6"/>
      <c r="AA410" s="3">
        <v>7.48567E-16</v>
      </c>
      <c r="AB410" s="3">
        <v>8.3340400000000005E-14</v>
      </c>
      <c r="AC410" s="3">
        <v>8.5336599999999999E-14</v>
      </c>
      <c r="AD410" s="30">
        <v>7.6228999999999998E-14</v>
      </c>
      <c r="AF410" s="6"/>
      <c r="AG410" s="3">
        <v>1.24761E-16</v>
      </c>
      <c r="AH410" s="3">
        <v>2.4952199999999999E-16</v>
      </c>
      <c r="AI410" s="3">
        <v>6.2380399999999997E-16</v>
      </c>
      <c r="AJ410" s="30">
        <v>2.4952199999999999E-16</v>
      </c>
      <c r="AL410" s="6"/>
      <c r="AM410" s="3"/>
      <c r="AN410" s="3"/>
      <c r="AO410" s="3"/>
      <c r="AP410" s="30"/>
      <c r="AR410" s="6"/>
      <c r="AS410" s="3">
        <v>1.8714199999999999E-15</v>
      </c>
      <c r="AT410" s="3">
        <v>1.4971299999999999E-15</v>
      </c>
      <c r="AU410" s="30">
        <v>6.2380499999999999E-16</v>
      </c>
      <c r="AV410" s="3">
        <v>1.8714199999999999E-15</v>
      </c>
    </row>
    <row r="411" spans="3:48" x14ac:dyDescent="0.25">
      <c r="C411" s="31">
        <v>7.5729900000000002E-14</v>
      </c>
      <c r="D411" s="5">
        <v>6.0683800000000002E-13</v>
      </c>
      <c r="E411" s="3">
        <v>6.0434199999999997E-13</v>
      </c>
      <c r="F411" s="30">
        <v>6.1519700000000003E-13</v>
      </c>
      <c r="H411" s="2"/>
      <c r="I411" s="3">
        <v>1.95875E-14</v>
      </c>
      <c r="J411" s="3">
        <v>1.11536E-13</v>
      </c>
      <c r="K411" s="3">
        <v>1.23389E-13</v>
      </c>
      <c r="L411" s="30">
        <v>9.9184999999999996E-14</v>
      </c>
      <c r="N411" s="6"/>
      <c r="O411" s="3">
        <v>9.7313599999999996E-15</v>
      </c>
      <c r="P411" s="3">
        <v>1.08293E-13</v>
      </c>
      <c r="Q411" s="3">
        <v>1.1565300000000001E-13</v>
      </c>
      <c r="R411" s="30">
        <v>1.2525999999999999E-13</v>
      </c>
      <c r="T411" s="6"/>
      <c r="U411" s="3">
        <v>1.5345599999999999E-14</v>
      </c>
      <c r="V411" s="3">
        <v>9.4693599999999994E-14</v>
      </c>
      <c r="W411" s="3">
        <v>9.5317400000000005E-14</v>
      </c>
      <c r="X411" s="35">
        <v>7.9348000000000004E-14</v>
      </c>
      <c r="Z411" s="6"/>
      <c r="AA411" s="3">
        <v>7.48567E-16</v>
      </c>
      <c r="AB411" s="3">
        <v>8.2092799999999995E-14</v>
      </c>
      <c r="AC411" s="3">
        <v>8.4213799999999999E-14</v>
      </c>
      <c r="AD411" s="30">
        <v>7.5605199999999999E-14</v>
      </c>
      <c r="AF411" s="6"/>
      <c r="AG411" s="3">
        <v>1.24761E-16</v>
      </c>
      <c r="AH411" s="3">
        <v>2.4952199999999999E-16</v>
      </c>
      <c r="AI411" s="3">
        <v>6.2380399999999997E-16</v>
      </c>
      <c r="AJ411" s="30">
        <v>2.4952199999999999E-16</v>
      </c>
      <c r="AL411" s="6"/>
      <c r="AM411" s="3"/>
      <c r="AN411" s="3"/>
      <c r="AO411" s="3"/>
      <c r="AP411" s="30"/>
      <c r="AR411" s="6"/>
      <c r="AS411" s="3">
        <v>1.8714199999999999E-15</v>
      </c>
      <c r="AT411" s="3">
        <v>1.4971299999999999E-15</v>
      </c>
      <c r="AU411" s="30">
        <v>8.7332699999999998E-16</v>
      </c>
      <c r="AV411" s="3">
        <v>1.8714199999999999E-15</v>
      </c>
    </row>
    <row r="412" spans="3:48" x14ac:dyDescent="0.25">
      <c r="C412" s="31">
        <v>7.5605199999999999E-14</v>
      </c>
      <c r="D412" s="5">
        <v>6.0446700000000003E-13</v>
      </c>
      <c r="E412" s="3">
        <v>6.0421799999999998E-13</v>
      </c>
      <c r="F412" s="30">
        <v>6.1307599999999996E-13</v>
      </c>
      <c r="H412" s="2"/>
      <c r="I412" s="3">
        <v>1.95875E-14</v>
      </c>
      <c r="J412" s="3">
        <v>1.11412E-13</v>
      </c>
      <c r="K412" s="3">
        <v>1.2276500000000001E-13</v>
      </c>
      <c r="L412" s="30">
        <v>9.9184999999999996E-14</v>
      </c>
      <c r="N412" s="6"/>
      <c r="O412" s="3">
        <v>9.7313599999999996E-15</v>
      </c>
      <c r="P412" s="3">
        <v>1.08043E-13</v>
      </c>
      <c r="Q412" s="3">
        <v>1.1428099999999999E-13</v>
      </c>
      <c r="R412" s="30">
        <v>1.2251500000000001E-13</v>
      </c>
      <c r="T412" s="6"/>
      <c r="U412" s="3">
        <v>1.5220800000000002E-14</v>
      </c>
      <c r="V412" s="3">
        <v>9.4693599999999994E-14</v>
      </c>
      <c r="W412" s="3">
        <v>9.4069799999999995E-14</v>
      </c>
      <c r="X412" s="35">
        <v>7.9348000000000004E-14</v>
      </c>
      <c r="Z412" s="6"/>
      <c r="AA412" s="3">
        <v>7.48567E-16</v>
      </c>
      <c r="AB412" s="3">
        <v>8.1968100000000004E-14</v>
      </c>
      <c r="AC412" s="3">
        <v>8.2841400000000004E-14</v>
      </c>
      <c r="AD412" s="30">
        <v>7.4856699999999997E-14</v>
      </c>
      <c r="AF412" s="6"/>
      <c r="AG412" s="3">
        <v>1.24761E-16</v>
      </c>
      <c r="AH412" s="3">
        <v>2.4952199999999999E-16</v>
      </c>
      <c r="AI412" s="3">
        <v>6.2380399999999997E-16</v>
      </c>
      <c r="AJ412" s="30">
        <v>2.4952199999999999E-16</v>
      </c>
      <c r="AL412" s="6"/>
      <c r="AM412" s="3"/>
      <c r="AN412" s="3"/>
      <c r="AO412" s="3"/>
      <c r="AP412" s="30"/>
      <c r="AR412" s="6"/>
      <c r="AS412" s="3">
        <v>1.8714199999999999E-15</v>
      </c>
      <c r="AT412" s="3">
        <v>1.3723700000000001E-15</v>
      </c>
      <c r="AU412" s="30">
        <v>6.6123299999999999E-15</v>
      </c>
      <c r="AV412" s="3">
        <v>1.8714199999999999E-15</v>
      </c>
    </row>
    <row r="413" spans="3:48" x14ac:dyDescent="0.25">
      <c r="C413" s="31">
        <v>7.5106100000000003E-14</v>
      </c>
      <c r="D413" s="5">
        <v>6.0172200000000003E-13</v>
      </c>
      <c r="E413" s="3">
        <v>6.0346899999999998E-13</v>
      </c>
      <c r="F413" s="30">
        <v>6.1270099999999998E-13</v>
      </c>
      <c r="H413" s="2"/>
      <c r="I413" s="3">
        <v>1.9337899999999999E-14</v>
      </c>
      <c r="J413" s="3">
        <v>1.10912E-13</v>
      </c>
      <c r="K413" s="3">
        <v>1.2039399999999999E-13</v>
      </c>
      <c r="L413" s="30">
        <v>9.7687800000000003E-14</v>
      </c>
      <c r="N413" s="6"/>
      <c r="O413" s="3">
        <v>9.6065999999999996E-15</v>
      </c>
      <c r="P413" s="3">
        <v>1.07045E-13</v>
      </c>
      <c r="Q413" s="3">
        <v>1.13533E-13</v>
      </c>
      <c r="R413" s="30">
        <v>1.21018E-13</v>
      </c>
      <c r="T413" s="6"/>
      <c r="U413" s="3">
        <v>1.5220800000000002E-14</v>
      </c>
      <c r="V413" s="3">
        <v>9.2822199999999998E-14</v>
      </c>
      <c r="W413" s="3">
        <v>9.3321199999999999E-14</v>
      </c>
      <c r="X413" s="35">
        <v>7.8474700000000005E-14</v>
      </c>
      <c r="Z413" s="6"/>
      <c r="AA413" s="3">
        <v>6.23806E-16</v>
      </c>
      <c r="AB413" s="3">
        <v>7.98471E-14</v>
      </c>
      <c r="AC413" s="3">
        <v>7.9971899999999998E-14</v>
      </c>
      <c r="AD413" s="30">
        <v>7.4232899999999998E-14</v>
      </c>
      <c r="AF413" s="6"/>
      <c r="AG413" s="3">
        <v>1.24761E-16</v>
      </c>
      <c r="AH413" s="3">
        <v>2.4952199999999999E-16</v>
      </c>
      <c r="AI413" s="3">
        <v>6.2380399999999997E-16</v>
      </c>
      <c r="AJ413" s="30">
        <v>2.4952199999999999E-16</v>
      </c>
      <c r="AL413" s="6"/>
      <c r="AM413" s="3"/>
      <c r="AN413" s="3"/>
      <c r="AO413" s="3"/>
      <c r="AP413" s="30"/>
      <c r="AR413" s="6"/>
      <c r="AS413" s="3">
        <v>1.7466500000000001E-15</v>
      </c>
      <c r="AT413" s="3">
        <v>1.3723700000000001E-15</v>
      </c>
      <c r="AU413" s="30">
        <v>2.61998E-15</v>
      </c>
      <c r="AV413" s="3">
        <v>1.7466500000000001E-15</v>
      </c>
    </row>
    <row r="414" spans="3:48" x14ac:dyDescent="0.25">
      <c r="C414" s="31">
        <v>7.4357600000000001E-14</v>
      </c>
      <c r="D414" s="5">
        <v>6.00974E-13</v>
      </c>
      <c r="E414" s="3">
        <v>6.0334400000000002E-13</v>
      </c>
      <c r="F414" s="30">
        <v>6.1182799999999999E-13</v>
      </c>
      <c r="H414" s="2"/>
      <c r="I414" s="3">
        <v>1.9337899999999999E-14</v>
      </c>
      <c r="J414" s="3">
        <v>1.10912E-13</v>
      </c>
      <c r="K414" s="3">
        <v>1.1914700000000001E-13</v>
      </c>
      <c r="L414" s="30">
        <v>9.6814500000000004E-14</v>
      </c>
      <c r="N414" s="6"/>
      <c r="O414" s="3">
        <v>9.6065999999999996E-15</v>
      </c>
      <c r="P414" s="3">
        <v>1.05797E-13</v>
      </c>
      <c r="Q414" s="3">
        <v>1.1091299999999999E-13</v>
      </c>
      <c r="R414" s="30">
        <v>1.20519E-13</v>
      </c>
      <c r="T414" s="6"/>
      <c r="U414" s="3">
        <v>1.5220800000000002E-14</v>
      </c>
      <c r="V414" s="3">
        <v>9.1699300000000003E-14</v>
      </c>
      <c r="W414" s="3">
        <v>9.2447899999999999E-14</v>
      </c>
      <c r="X414" s="35">
        <v>7.8349899999999995E-14</v>
      </c>
      <c r="Z414" s="6"/>
      <c r="AA414" s="3">
        <v>6.23806E-16</v>
      </c>
      <c r="AB414" s="3">
        <v>7.9472800000000002E-14</v>
      </c>
      <c r="AC414" s="3">
        <v>7.9971899999999998E-14</v>
      </c>
      <c r="AD414" s="30">
        <v>7.3983300000000003E-14</v>
      </c>
      <c r="AF414" s="6"/>
      <c r="AG414" s="3">
        <v>1.24761E-16</v>
      </c>
      <c r="AH414" s="3">
        <v>2.4952199999999999E-16</v>
      </c>
      <c r="AI414" s="3">
        <v>6.2380399999999997E-16</v>
      </c>
      <c r="AJ414" s="30">
        <v>2.4952199999999999E-16</v>
      </c>
      <c r="AL414" s="6"/>
      <c r="AM414" s="3"/>
      <c r="AN414" s="3"/>
      <c r="AO414" s="3"/>
      <c r="AP414" s="30"/>
      <c r="AR414" s="6"/>
      <c r="AS414" s="3">
        <v>1.7466500000000001E-15</v>
      </c>
      <c r="AT414" s="3">
        <v>1.3723700000000001E-15</v>
      </c>
      <c r="AU414" s="30">
        <v>5.48949E-15</v>
      </c>
      <c r="AV414" s="3">
        <v>1.7466500000000001E-15</v>
      </c>
    </row>
    <row r="415" spans="3:48" x14ac:dyDescent="0.25">
      <c r="C415" s="31">
        <v>7.4232800000000004E-14</v>
      </c>
      <c r="D415" s="5">
        <v>5.9910199999999999E-13</v>
      </c>
      <c r="E415" s="3">
        <v>6.0284500000000004E-13</v>
      </c>
      <c r="F415" s="30">
        <v>6.0683800000000002E-13</v>
      </c>
      <c r="H415" s="2"/>
      <c r="I415" s="3">
        <v>1.9337899999999999E-14</v>
      </c>
      <c r="J415" s="3">
        <v>1.08293E-13</v>
      </c>
      <c r="K415" s="3">
        <v>1.1665100000000001E-13</v>
      </c>
      <c r="L415" s="30">
        <v>9.6565000000000003E-14</v>
      </c>
      <c r="N415" s="6"/>
      <c r="O415" s="3">
        <v>9.4818399999999995E-15</v>
      </c>
      <c r="P415" s="3">
        <v>1.04799E-13</v>
      </c>
      <c r="Q415" s="3">
        <v>1.10663E-13</v>
      </c>
      <c r="R415" s="30">
        <v>1.1964599999999999E-13</v>
      </c>
      <c r="T415" s="6"/>
      <c r="U415" s="3">
        <v>1.5220800000000002E-14</v>
      </c>
      <c r="V415" s="3">
        <v>9.1699300000000003E-14</v>
      </c>
      <c r="W415" s="3">
        <v>9.2073600000000001E-14</v>
      </c>
      <c r="X415" s="35">
        <v>7.8225099999999997E-14</v>
      </c>
      <c r="Z415" s="6"/>
      <c r="AA415" s="3">
        <v>6.23806E-16</v>
      </c>
      <c r="AB415" s="3">
        <v>7.8474700000000005E-14</v>
      </c>
      <c r="AC415" s="3">
        <v>7.95976E-14</v>
      </c>
      <c r="AD415" s="30">
        <v>7.3733800000000002E-14</v>
      </c>
      <c r="AF415" s="6"/>
      <c r="AG415" s="3">
        <v>1.24761E-16</v>
      </c>
      <c r="AH415" s="3">
        <v>2.4952199999999999E-16</v>
      </c>
      <c r="AI415" s="3">
        <v>6.2380399999999997E-16</v>
      </c>
      <c r="AJ415" s="30">
        <v>2.4952199999999999E-16</v>
      </c>
      <c r="AL415" s="6"/>
      <c r="AM415" s="3"/>
      <c r="AN415" s="3"/>
      <c r="AO415" s="3"/>
      <c r="AP415" s="30"/>
      <c r="AR415" s="6"/>
      <c r="AS415" s="3">
        <v>1.7466500000000001E-15</v>
      </c>
      <c r="AT415" s="3">
        <v>1.3723700000000001E-15</v>
      </c>
      <c r="AU415" s="30">
        <v>3.7428300000000001E-15</v>
      </c>
      <c r="AV415" s="3">
        <v>1.7466500000000001E-15</v>
      </c>
    </row>
    <row r="416" spans="3:48" x14ac:dyDescent="0.25">
      <c r="C416" s="31">
        <v>7.3733800000000002E-14</v>
      </c>
      <c r="D416" s="5">
        <v>5.9860300000000001E-13</v>
      </c>
      <c r="E416" s="3">
        <v>5.9872799999999997E-13</v>
      </c>
      <c r="F416" s="30">
        <v>6.0509099999999997E-13</v>
      </c>
      <c r="H416" s="2"/>
      <c r="I416" s="3">
        <v>1.9213199999999999E-14</v>
      </c>
      <c r="J416" s="3">
        <v>1.07918E-13</v>
      </c>
      <c r="K416" s="3">
        <v>1.1565300000000001E-13</v>
      </c>
      <c r="L416" s="30">
        <v>9.6065899999999995E-14</v>
      </c>
      <c r="N416" s="6"/>
      <c r="O416" s="3">
        <v>9.4818399999999995E-15</v>
      </c>
      <c r="P416" s="3">
        <v>1.0330200000000001E-13</v>
      </c>
      <c r="Q416" s="3">
        <v>1.0954000000000001E-13</v>
      </c>
      <c r="R416" s="30">
        <v>1.1789900000000001E-13</v>
      </c>
      <c r="T416" s="6"/>
      <c r="U416" s="3">
        <v>1.5096099999999999E-14</v>
      </c>
      <c r="V416" s="3">
        <v>9.1325000000000005E-14</v>
      </c>
      <c r="W416" s="3">
        <v>9.0327000000000002E-14</v>
      </c>
      <c r="X416" s="35">
        <v>7.7850900000000006E-14</v>
      </c>
      <c r="Z416" s="6"/>
      <c r="AA416" s="3">
        <v>6.23806E-16</v>
      </c>
      <c r="AB416" s="3">
        <v>7.8100500000000001E-14</v>
      </c>
      <c r="AC416" s="3">
        <v>7.9223300000000001E-14</v>
      </c>
      <c r="AD416" s="30">
        <v>7.2361500000000002E-14</v>
      </c>
      <c r="AF416" s="6"/>
      <c r="AG416" s="3">
        <v>1.24761E-16</v>
      </c>
      <c r="AH416" s="3">
        <v>2.4952199999999999E-16</v>
      </c>
      <c r="AI416" s="3">
        <v>6.2380399999999997E-16</v>
      </c>
      <c r="AJ416" s="30">
        <v>2.4952199999999999E-16</v>
      </c>
      <c r="AL416" s="6"/>
      <c r="AM416" s="3"/>
      <c r="AN416" s="3"/>
      <c r="AO416" s="3"/>
      <c r="AP416" s="30"/>
      <c r="AR416" s="6"/>
      <c r="AS416" s="3">
        <v>1.7466500000000001E-15</v>
      </c>
      <c r="AT416" s="3">
        <v>1.3723700000000001E-15</v>
      </c>
      <c r="AU416" s="30">
        <v>2.4952199999999999E-16</v>
      </c>
      <c r="AV416" s="3">
        <v>1.7466500000000001E-15</v>
      </c>
    </row>
    <row r="417" spans="3:48" x14ac:dyDescent="0.25">
      <c r="C417" s="31">
        <v>7.3609000000000005E-14</v>
      </c>
      <c r="D417" s="5">
        <v>5.9710599999999998E-13</v>
      </c>
      <c r="E417" s="3">
        <v>5.9810400000000003E-13</v>
      </c>
      <c r="F417" s="30">
        <v>6.0421799999999998E-13</v>
      </c>
      <c r="H417" s="2"/>
      <c r="I417" s="3">
        <v>1.9213199999999999E-14</v>
      </c>
      <c r="J417" s="3">
        <v>1.07793E-13</v>
      </c>
      <c r="K417" s="3">
        <v>1.15404E-13</v>
      </c>
      <c r="L417" s="30">
        <v>9.5566900000000006E-14</v>
      </c>
      <c r="N417" s="6"/>
      <c r="O417" s="3">
        <v>9.4818399999999995E-15</v>
      </c>
      <c r="P417" s="3">
        <v>1.01181E-13</v>
      </c>
      <c r="Q417" s="3">
        <v>1.08168E-13</v>
      </c>
      <c r="R417" s="30">
        <v>1.1565300000000001E-13</v>
      </c>
      <c r="T417" s="6"/>
      <c r="U417" s="3">
        <v>1.5096099999999999E-14</v>
      </c>
      <c r="V417" s="3">
        <v>9.0077399999999994E-14</v>
      </c>
      <c r="W417" s="3">
        <v>8.9204099999999995E-14</v>
      </c>
      <c r="X417" s="35">
        <v>7.7850900000000006E-14</v>
      </c>
      <c r="Z417" s="6"/>
      <c r="AA417" s="3">
        <v>6.23806E-16</v>
      </c>
      <c r="AB417" s="3">
        <v>7.8100500000000001E-14</v>
      </c>
      <c r="AC417" s="3">
        <v>7.8100500000000001E-14</v>
      </c>
      <c r="AD417" s="30">
        <v>7.2111899999999994E-14</v>
      </c>
      <c r="AF417" s="6"/>
      <c r="AG417" s="3">
        <v>1.24761E-16</v>
      </c>
      <c r="AH417" s="3">
        <v>2.4952199999999999E-16</v>
      </c>
      <c r="AI417" s="3">
        <v>6.2380399999999997E-16</v>
      </c>
      <c r="AJ417" s="30">
        <v>2.4952199999999999E-16</v>
      </c>
      <c r="AL417" s="6"/>
      <c r="AM417" s="3"/>
      <c r="AN417" s="3"/>
      <c r="AO417" s="3"/>
      <c r="AP417" s="30"/>
      <c r="AR417" s="6"/>
      <c r="AS417" s="3">
        <v>1.7466500000000001E-15</v>
      </c>
      <c r="AT417" s="3">
        <v>1.3723700000000001E-15</v>
      </c>
      <c r="AU417" s="30">
        <v>2.4952199999999999E-16</v>
      </c>
      <c r="AV417" s="3">
        <v>1.7466500000000001E-15</v>
      </c>
    </row>
    <row r="418" spans="3:48" x14ac:dyDescent="0.25">
      <c r="C418" s="31">
        <v>7.2985200000000006E-14</v>
      </c>
      <c r="D418" s="5">
        <v>5.9273999999999996E-13</v>
      </c>
      <c r="E418" s="3">
        <v>5.9523500000000004E-13</v>
      </c>
      <c r="F418" s="30">
        <v>6.03719E-13</v>
      </c>
      <c r="H418" s="2"/>
      <c r="I418" s="3">
        <v>1.9088400000000001E-14</v>
      </c>
      <c r="J418" s="3">
        <v>1.07294E-13</v>
      </c>
      <c r="K418" s="3">
        <v>1.1477999999999999E-13</v>
      </c>
      <c r="L418" s="30">
        <v>9.4693599999999994E-14</v>
      </c>
      <c r="N418" s="6"/>
      <c r="O418" s="3">
        <v>9.4818399999999995E-15</v>
      </c>
      <c r="P418" s="3">
        <v>9.9808799999999995E-14</v>
      </c>
      <c r="Q418" s="3">
        <v>1.04674E-13</v>
      </c>
      <c r="R418" s="30">
        <v>1.1515400000000001E-13</v>
      </c>
      <c r="T418" s="6"/>
      <c r="U418" s="3">
        <v>1.4971300000000001E-14</v>
      </c>
      <c r="V418" s="3">
        <v>8.9453599999999996E-14</v>
      </c>
      <c r="W418" s="3">
        <v>8.7457499999999996E-14</v>
      </c>
      <c r="X418" s="35">
        <v>7.7227099999999995E-14</v>
      </c>
      <c r="Z418" s="6"/>
      <c r="AA418" s="3">
        <v>6.23806E-16</v>
      </c>
      <c r="AB418" s="3">
        <v>7.7975700000000004E-14</v>
      </c>
      <c r="AC418" s="3">
        <v>7.6603299999999996E-14</v>
      </c>
      <c r="AD418" s="30">
        <v>7.1987200000000003E-14</v>
      </c>
      <c r="AF418" s="6"/>
      <c r="AG418" s="3">
        <v>1.24761E-16</v>
      </c>
      <c r="AH418" s="3">
        <v>2.4952199999999999E-16</v>
      </c>
      <c r="AI418" s="3">
        <v>6.2380399999999997E-16</v>
      </c>
      <c r="AJ418" s="30">
        <v>2.4952199999999999E-16</v>
      </c>
      <c r="AL418" s="6"/>
      <c r="AM418" s="3"/>
      <c r="AN418" s="3"/>
      <c r="AO418" s="3"/>
      <c r="AP418" s="30"/>
      <c r="AR418" s="6"/>
      <c r="AS418" s="3">
        <v>1.7466500000000001E-15</v>
      </c>
      <c r="AT418" s="3">
        <v>1.3723700000000001E-15</v>
      </c>
      <c r="AU418" s="30">
        <v>2.4952199999999999E-16</v>
      </c>
      <c r="AV418" s="3">
        <v>1.7466500000000001E-15</v>
      </c>
    </row>
    <row r="419" spans="3:48" x14ac:dyDescent="0.25">
      <c r="C419" s="31">
        <v>7.2361399999999994E-14</v>
      </c>
      <c r="D419" s="5">
        <v>5.8986999999999999E-13</v>
      </c>
      <c r="E419" s="3">
        <v>5.9498500000000001E-13</v>
      </c>
      <c r="F419" s="30">
        <v>6.0047500000000002E-13</v>
      </c>
      <c r="H419" s="2"/>
      <c r="I419" s="3">
        <v>1.9088400000000001E-14</v>
      </c>
      <c r="J419" s="3">
        <v>1.0717E-13</v>
      </c>
      <c r="K419" s="3">
        <v>1.14156E-13</v>
      </c>
      <c r="L419" s="30">
        <v>9.4443999999999999E-14</v>
      </c>
      <c r="N419" s="6"/>
      <c r="O419" s="3">
        <v>9.3570799999999994E-15</v>
      </c>
      <c r="P419" s="3">
        <v>9.8561199999999997E-14</v>
      </c>
      <c r="Q419" s="3">
        <v>1.04674E-13</v>
      </c>
      <c r="R419" s="30">
        <v>1.14655E-13</v>
      </c>
      <c r="T419" s="6"/>
      <c r="U419" s="3">
        <v>1.4971300000000001E-14</v>
      </c>
      <c r="V419" s="3">
        <v>8.8205999999999998E-14</v>
      </c>
      <c r="W419" s="3">
        <v>8.7332699999999999E-14</v>
      </c>
      <c r="X419" s="35">
        <v>7.7102299999999997E-14</v>
      </c>
      <c r="Z419" s="6"/>
      <c r="AA419" s="3">
        <v>6.23806E-16</v>
      </c>
      <c r="AB419" s="3">
        <v>7.7850900000000006E-14</v>
      </c>
      <c r="AC419" s="3">
        <v>7.6228999999999998E-14</v>
      </c>
      <c r="AD419" s="30">
        <v>7.1612900000000005E-14</v>
      </c>
      <c r="AF419" s="6"/>
      <c r="AG419" s="3">
        <v>1.24761E-16</v>
      </c>
      <c r="AH419" s="3">
        <v>2.4952199999999999E-16</v>
      </c>
      <c r="AI419" s="3">
        <v>6.2380399999999997E-16</v>
      </c>
      <c r="AJ419" s="30">
        <v>2.4952199999999999E-16</v>
      </c>
      <c r="AL419" s="6"/>
      <c r="AM419" s="3"/>
      <c r="AN419" s="3"/>
      <c r="AO419" s="3"/>
      <c r="AP419" s="30"/>
      <c r="AR419" s="6"/>
      <c r="AS419" s="3">
        <v>1.7466500000000001E-15</v>
      </c>
      <c r="AT419" s="3">
        <v>1.3723700000000001E-15</v>
      </c>
      <c r="AU419" s="30">
        <v>1.24761E-16</v>
      </c>
      <c r="AV419" s="3">
        <v>1.7466500000000001E-15</v>
      </c>
    </row>
    <row r="420" spans="3:48" x14ac:dyDescent="0.25">
      <c r="C420" s="31">
        <v>7.1987099999999996E-14</v>
      </c>
      <c r="D420" s="5">
        <v>5.8500499999999999E-13</v>
      </c>
      <c r="E420" s="3">
        <v>5.9298900000000001E-13</v>
      </c>
      <c r="F420" s="30">
        <v>5.9760499999999996E-13</v>
      </c>
      <c r="H420" s="2"/>
      <c r="I420" s="3">
        <v>1.9088400000000001E-14</v>
      </c>
      <c r="J420" s="3">
        <v>1.06671E-13</v>
      </c>
      <c r="K420" s="3">
        <v>1.13907E-13</v>
      </c>
      <c r="L420" s="30">
        <v>9.4194499999999998E-14</v>
      </c>
      <c r="N420" s="6"/>
      <c r="O420" s="3">
        <v>9.2323199999999993E-15</v>
      </c>
      <c r="P420" s="3">
        <v>9.7937399999999998E-14</v>
      </c>
      <c r="Q420" s="3">
        <v>1.04175E-13</v>
      </c>
      <c r="R420" s="30">
        <v>1.13907E-13</v>
      </c>
      <c r="T420" s="6"/>
      <c r="U420" s="3">
        <v>1.4846600000000001E-14</v>
      </c>
      <c r="V420" s="3">
        <v>8.6085100000000001E-14</v>
      </c>
      <c r="W420" s="3">
        <v>8.7083199999999998E-14</v>
      </c>
      <c r="X420" s="35">
        <v>7.6478499999999998E-14</v>
      </c>
      <c r="Z420" s="6"/>
      <c r="AA420" s="3">
        <v>6.23806E-16</v>
      </c>
      <c r="AB420" s="3">
        <v>7.5729999999999996E-14</v>
      </c>
      <c r="AC420" s="3">
        <v>7.6228999999999998E-14</v>
      </c>
      <c r="AD420" s="30">
        <v>6.8868100000000002E-14</v>
      </c>
      <c r="AF420" s="6"/>
      <c r="AG420" s="3">
        <v>1.24761E-16</v>
      </c>
      <c r="AH420" s="3">
        <v>2.4952199999999999E-16</v>
      </c>
      <c r="AI420" s="3">
        <v>6.2380399999999997E-16</v>
      </c>
      <c r="AJ420" s="30">
        <v>2.4952199999999999E-16</v>
      </c>
      <c r="AL420" s="6"/>
      <c r="AM420" s="3"/>
      <c r="AN420" s="3"/>
      <c r="AO420" s="3"/>
      <c r="AP420" s="30"/>
      <c r="AR420" s="6"/>
      <c r="AS420" s="3">
        <v>1.7466500000000001E-15</v>
      </c>
      <c r="AT420" s="3">
        <v>1.3723700000000001E-15</v>
      </c>
      <c r="AU420" s="30">
        <v>7.4856599999999998E-16</v>
      </c>
      <c r="AV420" s="3">
        <v>1.7466500000000001E-15</v>
      </c>
    </row>
    <row r="421" spans="3:48" x14ac:dyDescent="0.25">
      <c r="C421" s="31">
        <v>7.1987099999999996E-14</v>
      </c>
      <c r="D421" s="5">
        <v>5.8225999999999998E-13</v>
      </c>
      <c r="E421" s="3">
        <v>5.8986999999999999E-13</v>
      </c>
      <c r="F421" s="30">
        <v>5.9585899999999998E-13</v>
      </c>
      <c r="H421" s="2"/>
      <c r="I421" s="3">
        <v>1.8963699999999999E-14</v>
      </c>
      <c r="J421" s="3">
        <v>1.06296E-13</v>
      </c>
      <c r="K421" s="3">
        <v>1.12784E-13</v>
      </c>
      <c r="L421" s="30">
        <v>9.38202E-14</v>
      </c>
      <c r="N421" s="6"/>
      <c r="O421" s="3">
        <v>9.2323199999999993E-15</v>
      </c>
      <c r="P421" s="3">
        <v>9.7812600000000001E-14</v>
      </c>
      <c r="Q421" s="3">
        <v>1.0405100000000001E-13</v>
      </c>
      <c r="R421" s="30">
        <v>1.13533E-13</v>
      </c>
      <c r="T421" s="6"/>
      <c r="U421" s="3">
        <v>1.4846600000000001E-14</v>
      </c>
      <c r="V421" s="3">
        <v>8.2966099999999994E-14</v>
      </c>
      <c r="W421" s="3">
        <v>8.6459399999999999E-14</v>
      </c>
      <c r="X421" s="35">
        <v>7.4108000000000006E-14</v>
      </c>
      <c r="Z421" s="6"/>
      <c r="AA421" s="3">
        <v>6.23806E-16</v>
      </c>
      <c r="AB421" s="3">
        <v>7.5230999999999995E-14</v>
      </c>
      <c r="AC421" s="3">
        <v>7.6228999999999998E-14</v>
      </c>
      <c r="AD421" s="30">
        <v>6.8369100000000001E-14</v>
      </c>
      <c r="AF421" s="6"/>
      <c r="AG421" s="3">
        <v>1.24761E-16</v>
      </c>
      <c r="AH421" s="3">
        <v>1.24761E-16</v>
      </c>
      <c r="AI421" s="3">
        <v>4.9904299999999997E-16</v>
      </c>
      <c r="AJ421" s="30">
        <v>2.4952199999999999E-16</v>
      </c>
      <c r="AL421" s="6"/>
      <c r="AM421" s="3"/>
      <c r="AN421" s="3"/>
      <c r="AO421" s="3"/>
      <c r="AP421" s="30"/>
      <c r="AR421" s="6"/>
      <c r="AS421" s="3">
        <v>1.7466500000000001E-15</v>
      </c>
      <c r="AT421" s="3">
        <v>1.3723700000000001E-15</v>
      </c>
      <c r="AU421" s="30">
        <v>2.4952199999999999E-16</v>
      </c>
      <c r="AV421" s="3">
        <v>1.7466500000000001E-15</v>
      </c>
    </row>
    <row r="422" spans="3:48" x14ac:dyDescent="0.25">
      <c r="C422" s="31">
        <v>7.1488099999999995E-14</v>
      </c>
      <c r="D422" s="5">
        <v>5.8026399999999998E-13</v>
      </c>
      <c r="E422" s="3">
        <v>5.8837299999999996E-13</v>
      </c>
      <c r="F422" s="30">
        <v>5.9510999999999998E-13</v>
      </c>
      <c r="H422" s="2"/>
      <c r="I422" s="3">
        <v>1.8963699999999999E-14</v>
      </c>
      <c r="J422" s="3">
        <v>1.05673E-13</v>
      </c>
      <c r="K422" s="3">
        <v>1.11037E-13</v>
      </c>
      <c r="L422" s="30">
        <v>9.3695499999999997E-14</v>
      </c>
      <c r="N422" s="6"/>
      <c r="O422" s="3">
        <v>9.2323199999999993E-15</v>
      </c>
      <c r="P422" s="3">
        <v>9.7438399999999997E-14</v>
      </c>
      <c r="Q422" s="3">
        <v>1.0380100000000001E-13</v>
      </c>
      <c r="R422" s="30">
        <v>1.09166E-13</v>
      </c>
      <c r="T422" s="6"/>
      <c r="U422" s="3">
        <v>1.47218E-14</v>
      </c>
      <c r="V422" s="3">
        <v>8.1468900000000001E-14</v>
      </c>
      <c r="W422" s="3">
        <v>8.4712700000000006E-14</v>
      </c>
      <c r="X422" s="35">
        <v>7.3234699999999994E-14</v>
      </c>
      <c r="Z422" s="6"/>
      <c r="AA422" s="3">
        <v>6.23806E-16</v>
      </c>
      <c r="AB422" s="3">
        <v>7.4357600000000001E-14</v>
      </c>
      <c r="AC422" s="3">
        <v>7.4731899999999999E-14</v>
      </c>
      <c r="AD422" s="30">
        <v>6.7994800000000003E-14</v>
      </c>
      <c r="AF422" s="6"/>
      <c r="AG422" s="3">
        <v>1.24761E-16</v>
      </c>
      <c r="AH422" s="3">
        <v>1.24761E-16</v>
      </c>
      <c r="AI422" s="3">
        <v>4.9904299999999997E-16</v>
      </c>
      <c r="AJ422" s="30">
        <v>2.4952199999999999E-16</v>
      </c>
      <c r="AL422" s="6"/>
      <c r="AM422" s="3"/>
      <c r="AN422" s="3"/>
      <c r="AO422" s="3"/>
      <c r="AP422" s="30"/>
      <c r="AR422" s="6"/>
      <c r="AS422" s="3">
        <v>1.7466500000000001E-15</v>
      </c>
      <c r="AT422" s="3">
        <v>1.3723700000000001E-15</v>
      </c>
      <c r="AU422" s="30">
        <v>1.3723700000000001E-15</v>
      </c>
      <c r="AV422" s="3">
        <v>1.7466500000000001E-15</v>
      </c>
    </row>
    <row r="423" spans="3:48" x14ac:dyDescent="0.25">
      <c r="C423" s="31">
        <v>7.1363299999999997E-14</v>
      </c>
      <c r="D423" s="5">
        <v>5.8001399999999996E-13</v>
      </c>
      <c r="E423" s="3">
        <v>5.85379E-13</v>
      </c>
      <c r="F423" s="30">
        <v>5.9236499999999997E-13</v>
      </c>
      <c r="H423" s="2"/>
      <c r="I423" s="3">
        <v>1.8838900000000001E-14</v>
      </c>
      <c r="J423" s="3">
        <v>1.02304E-13</v>
      </c>
      <c r="K423" s="3">
        <v>1.0979E-13</v>
      </c>
      <c r="L423" s="30">
        <v>9.3570699999999999E-14</v>
      </c>
      <c r="N423" s="6"/>
      <c r="O423" s="3">
        <v>9.1075499999999995E-15</v>
      </c>
      <c r="P423" s="3">
        <v>9.64403E-14</v>
      </c>
      <c r="Q423" s="3">
        <v>1.01555E-13</v>
      </c>
      <c r="R423" s="30">
        <v>1.06296E-13</v>
      </c>
      <c r="T423" s="6"/>
      <c r="U423" s="3">
        <v>1.4597E-14</v>
      </c>
      <c r="V423" s="3">
        <v>8.1344199999999998E-14</v>
      </c>
      <c r="W423" s="3">
        <v>8.3714599999999996E-14</v>
      </c>
      <c r="X423" s="35">
        <v>7.2111899999999994E-14</v>
      </c>
      <c r="Z423" s="6"/>
      <c r="AA423" s="3">
        <v>6.23806E-16</v>
      </c>
      <c r="AB423" s="3">
        <v>7.3609099999999999E-14</v>
      </c>
      <c r="AC423" s="3">
        <v>7.4108100000000001E-14</v>
      </c>
      <c r="AD423" s="30">
        <v>6.7745300000000002E-14</v>
      </c>
      <c r="AF423" s="6"/>
      <c r="AG423" s="3">
        <v>1.24761E-16</v>
      </c>
      <c r="AH423" s="3">
        <v>1.24761E-16</v>
      </c>
      <c r="AI423" s="3">
        <v>4.9904299999999997E-16</v>
      </c>
      <c r="AJ423" s="30">
        <v>1.24761E-16</v>
      </c>
      <c r="AL423" s="6"/>
      <c r="AM423" s="3"/>
      <c r="AN423" s="3"/>
      <c r="AO423" s="3"/>
      <c r="AP423" s="30"/>
      <c r="AR423" s="6"/>
      <c r="AS423" s="3">
        <v>1.62189E-15</v>
      </c>
      <c r="AT423" s="3">
        <v>1.3723700000000001E-15</v>
      </c>
      <c r="AU423" s="30">
        <v>4.7409199999999997E-15</v>
      </c>
      <c r="AV423" s="3">
        <v>1.7466500000000001E-15</v>
      </c>
    </row>
    <row r="424" spans="3:48" x14ac:dyDescent="0.25">
      <c r="C424" s="31">
        <v>7.0988999999999999E-14</v>
      </c>
      <c r="D424" s="5">
        <v>5.7964000000000004E-13</v>
      </c>
      <c r="E424" s="3">
        <v>5.8388199999999998E-13</v>
      </c>
      <c r="F424" s="30">
        <v>5.9161700000000004E-13</v>
      </c>
      <c r="H424" s="2"/>
      <c r="I424" s="3">
        <v>1.87141E-14</v>
      </c>
      <c r="J424" s="3">
        <v>1.01306E-13</v>
      </c>
      <c r="K424" s="3">
        <v>1.0966500000000001E-13</v>
      </c>
      <c r="L424" s="30">
        <v>9.0826000000000003E-14</v>
      </c>
      <c r="N424" s="6"/>
      <c r="O424" s="3">
        <v>8.6085100000000007E-15</v>
      </c>
      <c r="P424" s="3">
        <v>9.5317400000000005E-14</v>
      </c>
      <c r="Q424" s="3">
        <v>1.01555E-13</v>
      </c>
      <c r="R424" s="30">
        <v>1.02678E-13</v>
      </c>
      <c r="T424" s="6"/>
      <c r="U424" s="3">
        <v>1.44723E-14</v>
      </c>
      <c r="V424" s="3">
        <v>8.1344199999999998E-14</v>
      </c>
      <c r="W424" s="3">
        <v>8.3215599999999995E-14</v>
      </c>
      <c r="X424" s="35">
        <v>6.9367100000000003E-14</v>
      </c>
      <c r="Z424" s="6"/>
      <c r="AA424" s="3">
        <v>6.23806E-16</v>
      </c>
      <c r="AB424" s="3">
        <v>7.2611000000000002E-14</v>
      </c>
      <c r="AC424" s="3">
        <v>7.2735700000000005E-14</v>
      </c>
      <c r="AD424" s="30">
        <v>6.6872000000000003E-14</v>
      </c>
      <c r="AF424" s="6"/>
      <c r="AG424" s="3"/>
      <c r="AH424" s="3">
        <v>1.24761E-16</v>
      </c>
      <c r="AI424" s="3">
        <v>4.9904299999999997E-16</v>
      </c>
      <c r="AJ424" s="30">
        <v>1.24761E-16</v>
      </c>
      <c r="AL424" s="6"/>
      <c r="AM424" s="3"/>
      <c r="AN424" s="3"/>
      <c r="AO424" s="3"/>
      <c r="AP424" s="30"/>
      <c r="AR424" s="6"/>
      <c r="AS424" s="3">
        <v>1.62189E-15</v>
      </c>
      <c r="AT424" s="3">
        <v>1.3723700000000001E-15</v>
      </c>
      <c r="AU424" s="30">
        <v>1.1228500000000001E-15</v>
      </c>
      <c r="AV424" s="3">
        <v>1.7466500000000001E-15</v>
      </c>
    </row>
    <row r="425" spans="3:48" x14ac:dyDescent="0.25">
      <c r="C425" s="31">
        <v>7.0739499999999999E-14</v>
      </c>
      <c r="D425" s="5">
        <v>5.7814300000000001E-13</v>
      </c>
      <c r="E425" s="3">
        <v>5.8250900000000004E-13</v>
      </c>
      <c r="F425" s="30">
        <v>5.8874699999999998E-13</v>
      </c>
      <c r="H425" s="2"/>
      <c r="I425" s="3">
        <v>1.87141E-14</v>
      </c>
      <c r="J425" s="3">
        <v>9.9808799999999995E-14</v>
      </c>
      <c r="K425" s="3">
        <v>1.09291E-13</v>
      </c>
      <c r="L425" s="30">
        <v>9.0701200000000006E-14</v>
      </c>
      <c r="N425" s="6"/>
      <c r="O425" s="3">
        <v>8.4837500000000006E-15</v>
      </c>
      <c r="P425" s="3">
        <v>9.2073600000000001E-14</v>
      </c>
      <c r="Q425" s="3">
        <v>1.01431E-13</v>
      </c>
      <c r="R425" s="30">
        <v>1.00932E-13</v>
      </c>
      <c r="T425" s="6"/>
      <c r="U425" s="3">
        <v>1.4347499999999999E-14</v>
      </c>
      <c r="V425" s="3">
        <v>8.0595600000000002E-14</v>
      </c>
      <c r="W425" s="3">
        <v>8.2591799999999996E-14</v>
      </c>
      <c r="X425" s="35">
        <v>6.6747099999999998E-14</v>
      </c>
      <c r="Z425" s="6"/>
      <c r="AA425" s="3">
        <v>6.23806E-16</v>
      </c>
      <c r="AB425" s="3">
        <v>7.1862400000000006E-14</v>
      </c>
      <c r="AC425" s="3">
        <v>7.1238599999999994E-14</v>
      </c>
      <c r="AD425" s="30">
        <v>6.5998599999999996E-14</v>
      </c>
      <c r="AF425" s="6"/>
      <c r="AG425" s="3"/>
      <c r="AH425" s="3">
        <v>1.24761E-16</v>
      </c>
      <c r="AI425" s="3">
        <v>4.9904299999999997E-16</v>
      </c>
      <c r="AJ425" s="30">
        <v>1.24761E-16</v>
      </c>
      <c r="AL425" s="6"/>
      <c r="AM425" s="3"/>
      <c r="AN425" s="3"/>
      <c r="AO425" s="3"/>
      <c r="AP425" s="30"/>
      <c r="AR425" s="6"/>
      <c r="AS425" s="3">
        <v>1.62189E-15</v>
      </c>
      <c r="AT425" s="3">
        <v>1.24761E-15</v>
      </c>
      <c r="AU425" s="30">
        <v>3.7428299999999999E-16</v>
      </c>
      <c r="AV425" s="3">
        <v>1.7466500000000001E-15</v>
      </c>
    </row>
    <row r="426" spans="3:48" x14ac:dyDescent="0.25">
      <c r="C426" s="31">
        <v>7.0614700000000001E-14</v>
      </c>
      <c r="D426" s="5">
        <v>5.7789299999999999E-13</v>
      </c>
      <c r="E426" s="3">
        <v>5.8101200000000001E-13</v>
      </c>
      <c r="F426" s="30">
        <v>5.8625199999999999E-13</v>
      </c>
      <c r="H426" s="2"/>
      <c r="I426" s="3">
        <v>1.87141E-14</v>
      </c>
      <c r="J426" s="3">
        <v>9.7064000000000004E-14</v>
      </c>
      <c r="K426" s="3">
        <v>1.07918E-13</v>
      </c>
      <c r="L426" s="30">
        <v>8.7956499999999997E-14</v>
      </c>
      <c r="N426" s="6"/>
      <c r="O426" s="3">
        <v>8.3589900000000006E-15</v>
      </c>
      <c r="P426" s="3">
        <v>9.0950800000000001E-14</v>
      </c>
      <c r="Q426" s="3">
        <v>9.9060199999999998E-14</v>
      </c>
      <c r="R426" s="30">
        <v>1.00058E-13</v>
      </c>
      <c r="T426" s="6"/>
      <c r="U426" s="3">
        <v>1.4347499999999999E-14</v>
      </c>
      <c r="V426" s="3">
        <v>8.0221300000000004E-14</v>
      </c>
      <c r="W426" s="3">
        <v>8.20927E-14</v>
      </c>
      <c r="X426" s="35">
        <v>6.5624299999999998E-14</v>
      </c>
      <c r="Z426" s="6"/>
      <c r="AA426" s="3">
        <v>6.23806E-16</v>
      </c>
      <c r="AB426" s="3">
        <v>7.0864299999999996E-14</v>
      </c>
      <c r="AC426" s="3">
        <v>7.0864299999999996E-14</v>
      </c>
      <c r="AD426" s="30">
        <v>6.3752900000000001E-14</v>
      </c>
      <c r="AF426" s="6"/>
      <c r="AG426" s="3"/>
      <c r="AH426" s="3">
        <v>1.24761E-16</v>
      </c>
      <c r="AI426" s="3">
        <v>4.9904299999999997E-16</v>
      </c>
      <c r="AJ426" s="30">
        <v>1.24761E-16</v>
      </c>
      <c r="AL426" s="6"/>
      <c r="AM426" s="3"/>
      <c r="AN426" s="3"/>
      <c r="AO426" s="3"/>
      <c r="AP426" s="30"/>
      <c r="AR426" s="6"/>
      <c r="AS426" s="3">
        <v>1.62189E-15</v>
      </c>
      <c r="AT426" s="3">
        <v>1.24761E-15</v>
      </c>
      <c r="AU426" s="30">
        <v>1.24761E-16</v>
      </c>
      <c r="AV426" s="3">
        <v>1.7466500000000001E-15</v>
      </c>
    </row>
    <row r="427" spans="3:48" x14ac:dyDescent="0.25">
      <c r="C427" s="31">
        <v>7.03652E-14</v>
      </c>
      <c r="D427" s="5">
        <v>5.7764400000000004E-13</v>
      </c>
      <c r="E427" s="3">
        <v>5.8088700000000005E-13</v>
      </c>
      <c r="F427" s="30">
        <v>5.8250900000000004E-13</v>
      </c>
      <c r="H427" s="2"/>
      <c r="I427" s="3">
        <v>1.87141E-14</v>
      </c>
      <c r="J427" s="3">
        <v>9.6440200000000005E-14</v>
      </c>
      <c r="K427" s="3">
        <v>1.0692E-13</v>
      </c>
      <c r="L427" s="30">
        <v>8.69584E-14</v>
      </c>
      <c r="N427" s="6"/>
      <c r="O427" s="3">
        <v>8.3589900000000006E-15</v>
      </c>
      <c r="P427" s="3">
        <v>9.0077500000000002E-14</v>
      </c>
      <c r="Q427" s="3">
        <v>9.7812600000000001E-14</v>
      </c>
      <c r="R427" s="30">
        <v>9.7937399999999998E-14</v>
      </c>
      <c r="T427" s="6"/>
      <c r="U427" s="3">
        <v>1.4347499999999999E-14</v>
      </c>
      <c r="V427" s="3">
        <v>7.9348000000000004E-14</v>
      </c>
      <c r="W427" s="3">
        <v>8.18432E-14</v>
      </c>
      <c r="X427" s="35">
        <v>6.2255699999999996E-14</v>
      </c>
      <c r="Z427" s="6"/>
      <c r="AA427" s="3">
        <v>6.23806E-16</v>
      </c>
      <c r="AB427" s="3">
        <v>7.0614799999999996E-14</v>
      </c>
      <c r="AC427" s="3">
        <v>7.0240499999999997E-14</v>
      </c>
      <c r="AD427" s="30">
        <v>6.2879600000000002E-14</v>
      </c>
      <c r="AF427" s="6"/>
      <c r="AG427" s="3"/>
      <c r="AH427" s="3">
        <v>1.24761E-16</v>
      </c>
      <c r="AI427" s="3">
        <v>4.9904299999999997E-16</v>
      </c>
      <c r="AJ427" s="30">
        <v>1.24761E-16</v>
      </c>
      <c r="AL427" s="6"/>
      <c r="AM427" s="3"/>
      <c r="AN427" s="3"/>
      <c r="AO427" s="3"/>
      <c r="AP427" s="30"/>
      <c r="AR427" s="6"/>
      <c r="AS427" s="3">
        <v>1.62189E-15</v>
      </c>
      <c r="AT427" s="3">
        <v>1.24761E-15</v>
      </c>
      <c r="AU427" s="30">
        <v>3.7428299999999999E-16</v>
      </c>
      <c r="AV427" s="3">
        <v>1.62189E-15</v>
      </c>
    </row>
    <row r="428" spans="3:48" x14ac:dyDescent="0.25">
      <c r="C428" s="31">
        <v>7.01157E-14</v>
      </c>
      <c r="D428" s="5">
        <v>5.7726899999999995E-13</v>
      </c>
      <c r="E428" s="3">
        <v>5.8026399999999998E-13</v>
      </c>
      <c r="F428" s="30">
        <v>5.81885E-13</v>
      </c>
      <c r="H428" s="2"/>
      <c r="I428" s="3">
        <v>1.87141E-14</v>
      </c>
      <c r="J428" s="3">
        <v>9.4693599999999994E-14</v>
      </c>
      <c r="K428" s="3">
        <v>1.05797E-13</v>
      </c>
      <c r="L428" s="30">
        <v>8.67089E-14</v>
      </c>
      <c r="N428" s="6"/>
      <c r="O428" s="3">
        <v>8.2342300000000005E-15</v>
      </c>
      <c r="P428" s="3">
        <v>9.0077500000000002E-14</v>
      </c>
      <c r="Q428" s="3">
        <v>9.7064099999999999E-14</v>
      </c>
      <c r="R428" s="30">
        <v>9.7064099999999999E-14</v>
      </c>
      <c r="T428" s="6"/>
      <c r="U428" s="3">
        <v>1.4098E-14</v>
      </c>
      <c r="V428" s="3">
        <v>7.7975599999999996E-14</v>
      </c>
      <c r="W428" s="3">
        <v>8.09699E-14</v>
      </c>
      <c r="X428" s="35">
        <v>6.1881500000000005E-14</v>
      </c>
      <c r="Z428" s="6"/>
      <c r="AA428" s="3">
        <v>6.23806E-16</v>
      </c>
      <c r="AB428" s="3">
        <v>6.8868100000000002E-14</v>
      </c>
      <c r="AC428" s="3">
        <v>6.8369100000000001E-14</v>
      </c>
      <c r="AD428" s="30">
        <v>6.2505300000000004E-14</v>
      </c>
      <c r="AF428" s="6"/>
      <c r="AG428" s="3"/>
      <c r="AH428" s="3">
        <v>1.24761E-16</v>
      </c>
      <c r="AI428" s="3">
        <v>4.9904299999999997E-16</v>
      </c>
      <c r="AJ428" s="30">
        <v>1.24761E-16</v>
      </c>
      <c r="AL428" s="6"/>
      <c r="AM428" s="3"/>
      <c r="AN428" s="3"/>
      <c r="AO428" s="3"/>
      <c r="AP428" s="30"/>
      <c r="AR428" s="6"/>
      <c r="AS428" s="3">
        <v>1.62189E-15</v>
      </c>
      <c r="AT428" s="3">
        <v>1.24761E-15</v>
      </c>
      <c r="AU428" s="30">
        <v>1.24761E-16</v>
      </c>
      <c r="AV428" s="3">
        <v>1.62189E-15</v>
      </c>
    </row>
    <row r="429" spans="3:48" x14ac:dyDescent="0.25">
      <c r="C429" s="31">
        <v>6.9990900000000002E-14</v>
      </c>
      <c r="D429" s="5">
        <v>5.7402600000000004E-13</v>
      </c>
      <c r="E429" s="3">
        <v>5.7951499999999998E-13</v>
      </c>
      <c r="F429" s="30">
        <v>5.7951499999999998E-13</v>
      </c>
      <c r="H429" s="2"/>
      <c r="I429" s="3">
        <v>1.85894E-14</v>
      </c>
      <c r="J429" s="3">
        <v>9.4069799999999995E-14</v>
      </c>
      <c r="K429" s="3">
        <v>1.05548E-13</v>
      </c>
      <c r="L429" s="30">
        <v>8.5087000000000004E-14</v>
      </c>
      <c r="N429" s="6"/>
      <c r="O429" s="3">
        <v>8.1094700000000004E-15</v>
      </c>
      <c r="P429" s="3">
        <v>8.8205999999999998E-14</v>
      </c>
      <c r="Q429" s="3">
        <v>9.64403E-14</v>
      </c>
      <c r="R429" s="30">
        <v>9.6814500000000004E-14</v>
      </c>
      <c r="T429" s="6"/>
      <c r="U429" s="3">
        <v>1.4098E-14</v>
      </c>
      <c r="V429" s="3">
        <v>7.7102299999999997E-14</v>
      </c>
      <c r="W429" s="3">
        <v>8.0346100000000001E-14</v>
      </c>
      <c r="X429" s="35">
        <v>6.1507199999999994E-14</v>
      </c>
      <c r="Z429" s="6"/>
      <c r="AA429" s="3">
        <v>6.23806E-16</v>
      </c>
      <c r="AB429" s="3">
        <v>6.6996700000000006E-14</v>
      </c>
      <c r="AC429" s="3">
        <v>6.8244300000000003E-14</v>
      </c>
      <c r="AD429" s="30">
        <v>6.2255800000000003E-14</v>
      </c>
      <c r="AF429" s="6"/>
      <c r="AG429" s="3"/>
      <c r="AH429" s="3">
        <v>1.24761E-16</v>
      </c>
      <c r="AI429" s="3">
        <v>4.9904299999999997E-16</v>
      </c>
      <c r="AJ429" s="30">
        <v>1.24761E-16</v>
      </c>
      <c r="AL429" s="6"/>
      <c r="AM429" s="3"/>
      <c r="AN429" s="3"/>
      <c r="AO429" s="3"/>
      <c r="AP429" s="30"/>
      <c r="AR429" s="6"/>
      <c r="AS429" s="3">
        <v>1.62189E-15</v>
      </c>
      <c r="AT429" s="3">
        <v>1.24761E-15</v>
      </c>
      <c r="AU429" s="30">
        <v>1.24761E-16</v>
      </c>
      <c r="AV429" s="3">
        <v>1.62189E-15</v>
      </c>
    </row>
    <row r="430" spans="3:48" x14ac:dyDescent="0.25">
      <c r="C430" s="31">
        <v>6.9616699999999999E-14</v>
      </c>
      <c r="D430" s="5">
        <v>5.7377600000000002E-13</v>
      </c>
      <c r="E430" s="3">
        <v>5.7439999999999996E-13</v>
      </c>
      <c r="F430" s="30">
        <v>5.7926499999999996E-13</v>
      </c>
      <c r="H430" s="2"/>
      <c r="I430" s="3">
        <v>1.85894E-14</v>
      </c>
      <c r="J430" s="3">
        <v>9.2822199999999998E-14</v>
      </c>
      <c r="K430" s="3">
        <v>1.03552E-13</v>
      </c>
      <c r="L430" s="30">
        <v>8.3714599999999996E-14</v>
      </c>
      <c r="N430" s="6"/>
      <c r="O430" s="3">
        <v>8.1094700000000004E-15</v>
      </c>
      <c r="P430" s="3">
        <v>8.7457499999999996E-14</v>
      </c>
      <c r="Q430" s="3">
        <v>9.5566900000000006E-14</v>
      </c>
      <c r="R430" s="30">
        <v>9.64403E-14</v>
      </c>
      <c r="T430" s="6"/>
      <c r="U430" s="3">
        <v>1.4098E-14</v>
      </c>
      <c r="V430" s="3">
        <v>7.6727999999999999E-14</v>
      </c>
      <c r="W430" s="3">
        <v>7.9722300000000003E-14</v>
      </c>
      <c r="X430" s="35">
        <v>6.1382399999999997E-14</v>
      </c>
      <c r="Z430" s="6"/>
      <c r="AA430" s="3">
        <v>4.9904500000000001E-16</v>
      </c>
      <c r="AB430" s="3">
        <v>6.6622399999999995E-14</v>
      </c>
      <c r="AC430" s="3">
        <v>6.7620500000000005E-14</v>
      </c>
      <c r="AD430" s="30">
        <v>6.1756800000000002E-14</v>
      </c>
      <c r="AF430" s="6"/>
      <c r="AG430" s="3"/>
      <c r="AH430" s="3">
        <v>1.24761E-16</v>
      </c>
      <c r="AI430" s="3">
        <v>4.9904299999999997E-16</v>
      </c>
      <c r="AJ430" s="30">
        <v>1.24761E-16</v>
      </c>
      <c r="AL430" s="6"/>
      <c r="AM430" s="3"/>
      <c r="AN430" s="3"/>
      <c r="AO430" s="3"/>
      <c r="AP430" s="30"/>
      <c r="AR430" s="6"/>
      <c r="AS430" s="3">
        <v>1.62189E-15</v>
      </c>
      <c r="AT430" s="3">
        <v>1.24761E-15</v>
      </c>
      <c r="AU430" s="30">
        <v>3.7428299999999999E-16</v>
      </c>
      <c r="AV430" s="3">
        <v>1.62189E-15</v>
      </c>
    </row>
    <row r="431" spans="3:48" x14ac:dyDescent="0.25">
      <c r="C431" s="31">
        <v>6.9491900000000001E-14</v>
      </c>
      <c r="D431" s="5">
        <v>5.7240399999999995E-13</v>
      </c>
      <c r="E431" s="3">
        <v>5.7427499999999999E-13</v>
      </c>
      <c r="F431" s="30">
        <v>5.7876599999999998E-13</v>
      </c>
      <c r="H431" s="2"/>
      <c r="I431" s="3">
        <v>1.83399E-14</v>
      </c>
      <c r="J431" s="3">
        <v>9.2447899999999999E-14</v>
      </c>
      <c r="K431" s="3">
        <v>1.0317700000000001E-13</v>
      </c>
      <c r="L431" s="30">
        <v>8.3090799999999997E-14</v>
      </c>
      <c r="N431" s="6"/>
      <c r="O431" s="3">
        <v>8.1094700000000004E-15</v>
      </c>
      <c r="P431" s="3">
        <v>8.7207900000000001E-14</v>
      </c>
      <c r="Q431" s="3">
        <v>9.4069799999999995E-14</v>
      </c>
      <c r="R431" s="30">
        <v>9.5816500000000001E-14</v>
      </c>
      <c r="T431" s="6"/>
      <c r="U431" s="3">
        <v>1.3973200000000001E-14</v>
      </c>
      <c r="V431" s="3">
        <v>7.6478499999999998E-14</v>
      </c>
      <c r="W431" s="3">
        <v>7.6852799999999996E-14</v>
      </c>
      <c r="X431" s="35">
        <v>6.1257599999999999E-14</v>
      </c>
      <c r="Z431" s="6"/>
      <c r="AA431" s="3">
        <v>4.9904500000000001E-16</v>
      </c>
      <c r="AB431" s="3">
        <v>6.5749099999999995E-14</v>
      </c>
      <c r="AC431" s="3">
        <v>6.7495800000000002E-14</v>
      </c>
      <c r="AD431" s="30">
        <v>6.1756800000000002E-14</v>
      </c>
      <c r="AF431" s="6"/>
      <c r="AG431" s="3"/>
      <c r="AH431" s="3">
        <v>1.24761E-16</v>
      </c>
      <c r="AI431" s="3">
        <v>4.9904299999999997E-16</v>
      </c>
      <c r="AJ431" s="30">
        <v>1.24761E-16</v>
      </c>
      <c r="AL431" s="6"/>
      <c r="AM431" s="3"/>
      <c r="AN431" s="3"/>
      <c r="AO431" s="3"/>
      <c r="AP431" s="30"/>
      <c r="AR431" s="6"/>
      <c r="AS431" s="3">
        <v>1.62189E-15</v>
      </c>
      <c r="AT431" s="3">
        <v>1.24761E-15</v>
      </c>
      <c r="AU431" s="30">
        <v>3.7428299999999999E-16</v>
      </c>
      <c r="AV431" s="3">
        <v>1.62189E-15</v>
      </c>
    </row>
    <row r="432" spans="3:48" x14ac:dyDescent="0.25">
      <c r="C432" s="31">
        <v>6.9367100000000003E-14</v>
      </c>
      <c r="D432" s="5">
        <v>5.7215400000000003E-13</v>
      </c>
      <c r="E432" s="3">
        <v>5.7402600000000004E-13</v>
      </c>
      <c r="F432" s="30">
        <v>5.7801799999999995E-13</v>
      </c>
      <c r="H432" s="2"/>
      <c r="I432" s="3">
        <v>1.83399E-14</v>
      </c>
      <c r="J432" s="3">
        <v>9.18241E-14</v>
      </c>
      <c r="K432" s="3">
        <v>1.0317700000000001E-13</v>
      </c>
      <c r="L432" s="30">
        <v>8.2966E-14</v>
      </c>
      <c r="N432" s="6"/>
      <c r="O432" s="3">
        <v>7.9847000000000006E-15</v>
      </c>
      <c r="P432" s="3">
        <v>8.6209899999999999E-14</v>
      </c>
      <c r="Q432" s="3">
        <v>9.3820299999999995E-14</v>
      </c>
      <c r="R432" s="30">
        <v>9.5691700000000004E-14</v>
      </c>
      <c r="T432" s="6"/>
      <c r="U432" s="3">
        <v>1.3848499999999999E-14</v>
      </c>
      <c r="V432" s="3">
        <v>7.6228999999999998E-14</v>
      </c>
      <c r="W432" s="3">
        <v>7.5355600000000004E-14</v>
      </c>
      <c r="X432" s="35">
        <v>5.9885299999999998E-14</v>
      </c>
      <c r="Z432" s="6"/>
      <c r="AA432" s="3">
        <v>4.9904500000000001E-16</v>
      </c>
      <c r="AB432" s="3">
        <v>6.5624400000000005E-14</v>
      </c>
      <c r="AC432" s="3">
        <v>6.7371000000000004E-14</v>
      </c>
      <c r="AD432" s="30">
        <v>6.1257700000000006E-14</v>
      </c>
      <c r="AF432" s="6"/>
      <c r="AG432" s="3"/>
      <c r="AH432" s="3">
        <v>1.24761E-16</v>
      </c>
      <c r="AI432" s="3">
        <v>4.9904299999999997E-16</v>
      </c>
      <c r="AJ432" s="30">
        <v>1.24761E-16</v>
      </c>
      <c r="AL432" s="6"/>
      <c r="AM432" s="3"/>
      <c r="AN432" s="3"/>
      <c r="AO432" s="3"/>
      <c r="AP432" s="30"/>
      <c r="AR432" s="6"/>
      <c r="AS432" s="3">
        <v>1.62189E-15</v>
      </c>
      <c r="AT432" s="3">
        <v>1.24761E-15</v>
      </c>
      <c r="AU432" s="30">
        <v>1.24761E-16</v>
      </c>
      <c r="AV432" s="3">
        <v>1.62189E-15</v>
      </c>
    </row>
    <row r="433" spans="3:48" x14ac:dyDescent="0.25">
      <c r="C433" s="31">
        <v>6.9117600000000003E-14</v>
      </c>
      <c r="D433" s="5">
        <v>5.7165499999999995E-13</v>
      </c>
      <c r="E433" s="3">
        <v>5.7365099999999996E-13</v>
      </c>
      <c r="F433" s="30">
        <v>5.7789299999999999E-13</v>
      </c>
      <c r="H433" s="2"/>
      <c r="I433" s="3">
        <v>1.8215099999999999E-14</v>
      </c>
      <c r="J433" s="3">
        <v>9.1325000000000005E-14</v>
      </c>
      <c r="K433" s="3">
        <v>1.02678E-13</v>
      </c>
      <c r="L433" s="30">
        <v>8.1344100000000004E-14</v>
      </c>
      <c r="N433" s="6"/>
      <c r="O433" s="3">
        <v>7.8599400000000005E-15</v>
      </c>
      <c r="P433" s="3">
        <v>8.5960300000000003E-14</v>
      </c>
      <c r="Q433" s="3">
        <v>9.2572699999999997E-14</v>
      </c>
      <c r="R433" s="30">
        <v>9.5442200000000003E-14</v>
      </c>
      <c r="T433" s="6"/>
      <c r="U433" s="3">
        <v>1.37237E-14</v>
      </c>
      <c r="V433" s="3">
        <v>7.5106100000000003E-14</v>
      </c>
      <c r="W433" s="3">
        <v>7.49814E-14</v>
      </c>
      <c r="X433" s="35">
        <v>5.8762400000000004E-14</v>
      </c>
      <c r="Z433" s="6"/>
      <c r="AA433" s="3">
        <v>4.9904500000000001E-16</v>
      </c>
      <c r="AB433" s="3">
        <v>6.2879600000000002E-14</v>
      </c>
      <c r="AC433" s="3">
        <v>6.6747200000000005E-14</v>
      </c>
      <c r="AD433" s="30">
        <v>5.9760599999999995E-14</v>
      </c>
      <c r="AF433" s="6"/>
      <c r="AG433" s="3"/>
      <c r="AH433" s="3">
        <v>1.24761E-16</v>
      </c>
      <c r="AI433" s="3">
        <v>4.9904299999999997E-16</v>
      </c>
      <c r="AJ433" s="30">
        <v>1.24761E-16</v>
      </c>
      <c r="AL433" s="6"/>
      <c r="AM433" s="3"/>
      <c r="AN433" s="3"/>
      <c r="AO433" s="3"/>
      <c r="AP433" s="30"/>
      <c r="AR433" s="6"/>
      <c r="AS433" s="3">
        <v>1.62189E-15</v>
      </c>
      <c r="AT433" s="3">
        <v>1.24761E-15</v>
      </c>
      <c r="AU433" s="30">
        <v>3.7428300000000001E-15</v>
      </c>
      <c r="AV433" s="3">
        <v>1.62189E-15</v>
      </c>
    </row>
    <row r="434" spans="3:48" x14ac:dyDescent="0.25">
      <c r="C434" s="31">
        <v>6.8868100000000002E-14</v>
      </c>
      <c r="D434" s="5">
        <v>5.7115599999999997E-13</v>
      </c>
      <c r="E434" s="3">
        <v>5.72653E-13</v>
      </c>
      <c r="F434" s="30">
        <v>5.7776800000000003E-13</v>
      </c>
      <c r="H434" s="2"/>
      <c r="I434" s="3">
        <v>1.7840800000000001E-14</v>
      </c>
      <c r="J434" s="3">
        <v>9.1075500000000004E-14</v>
      </c>
      <c r="K434" s="3">
        <v>1.00807E-13</v>
      </c>
      <c r="L434" s="30">
        <v>8.1094600000000003E-14</v>
      </c>
      <c r="N434" s="6"/>
      <c r="O434" s="3">
        <v>7.8599400000000005E-15</v>
      </c>
      <c r="P434" s="3">
        <v>8.58356E-14</v>
      </c>
      <c r="Q434" s="3">
        <v>9.18241E-14</v>
      </c>
      <c r="R434" s="30">
        <v>9.5317400000000005E-14</v>
      </c>
      <c r="T434" s="6"/>
      <c r="U434" s="3">
        <v>1.37237E-14</v>
      </c>
      <c r="V434" s="3">
        <v>7.3858500000000005E-14</v>
      </c>
      <c r="W434" s="3">
        <v>7.1488E-14</v>
      </c>
      <c r="X434" s="35">
        <v>5.8637700000000001E-14</v>
      </c>
      <c r="Z434" s="6"/>
      <c r="AA434" s="3">
        <v>4.9904500000000001E-16</v>
      </c>
      <c r="AB434" s="3">
        <v>6.1382500000000004E-14</v>
      </c>
      <c r="AC434" s="3">
        <v>6.6123399999999994E-14</v>
      </c>
      <c r="AD434" s="30">
        <v>5.9386299999999997E-14</v>
      </c>
      <c r="AF434" s="6"/>
      <c r="AG434" s="3"/>
      <c r="AH434" s="3">
        <v>1.24761E-16</v>
      </c>
      <c r="AI434" s="3">
        <v>4.9904299999999997E-16</v>
      </c>
      <c r="AJ434" s="30">
        <v>1.24761E-16</v>
      </c>
      <c r="AL434" s="6"/>
      <c r="AM434" s="3"/>
      <c r="AN434" s="3"/>
      <c r="AO434" s="3"/>
      <c r="AP434" s="30"/>
      <c r="AR434" s="6"/>
      <c r="AS434" s="3">
        <v>1.62189E-15</v>
      </c>
      <c r="AT434" s="3">
        <v>1.24761E-15</v>
      </c>
      <c r="AU434" s="30">
        <v>2.4952199999999999E-16</v>
      </c>
      <c r="AV434" s="3">
        <v>1.62189E-15</v>
      </c>
    </row>
    <row r="435" spans="3:48" x14ac:dyDescent="0.25">
      <c r="C435" s="31">
        <v>6.8743300000000005E-14</v>
      </c>
      <c r="D435" s="5">
        <v>5.6928500000000003E-13</v>
      </c>
      <c r="E435" s="3">
        <v>5.67039E-13</v>
      </c>
      <c r="F435" s="30">
        <v>5.7589699999999998E-13</v>
      </c>
      <c r="H435" s="2"/>
      <c r="I435" s="3">
        <v>1.7716100000000001E-14</v>
      </c>
      <c r="J435" s="3">
        <v>9.0701200000000006E-14</v>
      </c>
      <c r="K435" s="3">
        <v>9.9309699999999999E-14</v>
      </c>
      <c r="L435" s="30">
        <v>8.09699E-14</v>
      </c>
      <c r="N435" s="6"/>
      <c r="O435" s="3">
        <v>7.8599400000000005E-15</v>
      </c>
      <c r="P435" s="3">
        <v>8.5087000000000004E-14</v>
      </c>
      <c r="Q435" s="3">
        <v>9.0451700000000005E-14</v>
      </c>
      <c r="R435" s="30">
        <v>9.3820299999999995E-14</v>
      </c>
      <c r="T435" s="6"/>
      <c r="U435" s="3">
        <v>1.3598899999999999E-14</v>
      </c>
      <c r="V435" s="3">
        <v>7.3484199999999994E-14</v>
      </c>
      <c r="W435" s="3">
        <v>6.8618499999999994E-14</v>
      </c>
      <c r="X435" s="35">
        <v>5.8138600000000005E-14</v>
      </c>
      <c r="Z435" s="6"/>
      <c r="AA435" s="3">
        <v>4.9904500000000001E-16</v>
      </c>
      <c r="AB435" s="3">
        <v>6.1133000000000003E-14</v>
      </c>
      <c r="AC435" s="3">
        <v>6.5250099999999994E-14</v>
      </c>
      <c r="AD435" s="30">
        <v>5.9261499999999999E-14</v>
      </c>
      <c r="AF435" s="6"/>
      <c r="AG435" s="3"/>
      <c r="AH435" s="3">
        <v>1.24761E-16</v>
      </c>
      <c r="AI435" s="3">
        <v>4.9904299999999997E-16</v>
      </c>
      <c r="AJ435" s="30">
        <v>1.24761E-16</v>
      </c>
      <c r="AL435" s="6"/>
      <c r="AM435" s="3"/>
      <c r="AN435" s="3"/>
      <c r="AO435" s="3"/>
      <c r="AP435" s="30"/>
      <c r="AR435" s="6"/>
      <c r="AS435" s="3">
        <v>1.62189E-15</v>
      </c>
      <c r="AT435" s="3">
        <v>1.24761E-15</v>
      </c>
      <c r="AU435" s="30">
        <v>1.24761E-16</v>
      </c>
      <c r="AV435" s="3">
        <v>1.62189E-15</v>
      </c>
    </row>
    <row r="436" spans="3:48" x14ac:dyDescent="0.25">
      <c r="C436" s="31">
        <v>6.8618600000000002E-14</v>
      </c>
      <c r="D436" s="5">
        <v>5.6641499999999996E-13</v>
      </c>
      <c r="E436" s="3">
        <v>5.6541700000000001E-13</v>
      </c>
      <c r="F436" s="30">
        <v>5.6891000000000005E-13</v>
      </c>
      <c r="H436" s="2"/>
      <c r="I436" s="3">
        <v>1.7716100000000001E-14</v>
      </c>
      <c r="J436" s="3">
        <v>9.0451700000000005E-14</v>
      </c>
      <c r="K436" s="3">
        <v>9.9309699999999999E-14</v>
      </c>
      <c r="L436" s="30">
        <v>8.0096500000000006E-14</v>
      </c>
      <c r="N436" s="6"/>
      <c r="O436" s="3">
        <v>7.8599400000000005E-15</v>
      </c>
      <c r="P436" s="3">
        <v>8.4962300000000001E-14</v>
      </c>
      <c r="Q436" s="3">
        <v>8.9204099999999995E-14</v>
      </c>
      <c r="R436" s="30">
        <v>9.3196499999999996E-14</v>
      </c>
      <c r="T436" s="6"/>
      <c r="U436" s="3">
        <v>1.34742E-14</v>
      </c>
      <c r="V436" s="3">
        <v>7.3109899999999996E-14</v>
      </c>
      <c r="W436" s="3">
        <v>6.7745199999999995E-14</v>
      </c>
      <c r="X436" s="35">
        <v>5.5768200000000001E-14</v>
      </c>
      <c r="Z436" s="6"/>
      <c r="AA436" s="3">
        <v>4.9904500000000001E-16</v>
      </c>
      <c r="AB436" s="3">
        <v>6.0384399999999994E-14</v>
      </c>
      <c r="AC436" s="3">
        <v>6.4875799999999996E-14</v>
      </c>
      <c r="AD436" s="30">
        <v>5.6392E-14</v>
      </c>
      <c r="AF436" s="6"/>
      <c r="AG436" s="3"/>
      <c r="AH436" s="3">
        <v>1.24761E-16</v>
      </c>
      <c r="AI436" s="3">
        <v>4.9904299999999997E-16</v>
      </c>
      <c r="AJ436" s="30">
        <v>1.24761E-16</v>
      </c>
      <c r="AL436" s="6"/>
      <c r="AM436" s="3"/>
      <c r="AN436" s="3"/>
      <c r="AO436" s="3"/>
      <c r="AP436" s="30"/>
      <c r="AR436" s="6"/>
      <c r="AS436" s="3">
        <v>1.4971299999999999E-15</v>
      </c>
      <c r="AT436" s="3">
        <v>1.24761E-15</v>
      </c>
      <c r="AU436" s="30">
        <v>1.24761E-16</v>
      </c>
      <c r="AV436" s="3">
        <v>1.62189E-15</v>
      </c>
    </row>
    <row r="437" spans="3:48" x14ac:dyDescent="0.25">
      <c r="C437" s="31">
        <v>6.8368999999999994E-14</v>
      </c>
      <c r="D437" s="5">
        <v>5.6466800000000001E-13</v>
      </c>
      <c r="E437" s="3">
        <v>5.6167399999999996E-13</v>
      </c>
      <c r="F437" s="30">
        <v>5.6591599999999999E-13</v>
      </c>
      <c r="H437" s="2"/>
      <c r="I437" s="3">
        <v>1.7466499999999999E-14</v>
      </c>
      <c r="J437" s="3">
        <v>8.8829799999999997E-14</v>
      </c>
      <c r="K437" s="3">
        <v>9.8311600000000002E-14</v>
      </c>
      <c r="L437" s="30">
        <v>7.9597500000000005E-14</v>
      </c>
      <c r="N437" s="6"/>
      <c r="O437" s="3">
        <v>7.7351800000000004E-15</v>
      </c>
      <c r="P437" s="3">
        <v>8.4837500000000003E-14</v>
      </c>
      <c r="Q437" s="3">
        <v>8.7831799999999994E-14</v>
      </c>
      <c r="R437" s="30">
        <v>9.2198399999999999E-14</v>
      </c>
      <c r="T437" s="6"/>
      <c r="U437" s="3">
        <v>1.34742E-14</v>
      </c>
      <c r="V437" s="3">
        <v>7.2610899999999995E-14</v>
      </c>
      <c r="W437" s="3">
        <v>6.7745199999999995E-14</v>
      </c>
      <c r="X437" s="35">
        <v>5.5019599999999998E-14</v>
      </c>
      <c r="Z437" s="6"/>
      <c r="AA437" s="3">
        <v>4.9904500000000001E-16</v>
      </c>
      <c r="AB437" s="3">
        <v>5.9885299999999998E-14</v>
      </c>
      <c r="AC437" s="3">
        <v>6.43767E-14</v>
      </c>
      <c r="AD437" s="30">
        <v>5.6017700000000001E-14</v>
      </c>
      <c r="AF437" s="6"/>
      <c r="AG437" s="3"/>
      <c r="AH437" s="3">
        <v>1.24761E-16</v>
      </c>
      <c r="AI437" s="3">
        <v>4.9904299999999997E-16</v>
      </c>
      <c r="AJ437" s="30">
        <v>1.24761E-16</v>
      </c>
      <c r="AL437" s="6"/>
      <c r="AM437" s="3"/>
      <c r="AN437" s="3"/>
      <c r="AO437" s="3"/>
      <c r="AP437" s="30"/>
      <c r="AR437" s="6"/>
      <c r="AS437" s="3">
        <v>1.4971299999999999E-15</v>
      </c>
      <c r="AT437" s="3">
        <v>1.1228500000000001E-15</v>
      </c>
      <c r="AU437" s="30">
        <v>1.24761E-16</v>
      </c>
      <c r="AV437" s="3">
        <v>1.62189E-15</v>
      </c>
    </row>
    <row r="438" spans="3:48" x14ac:dyDescent="0.25">
      <c r="C438" s="31">
        <v>6.8368999999999994E-14</v>
      </c>
      <c r="D438" s="5">
        <v>5.6292200000000003E-13</v>
      </c>
      <c r="E438" s="3">
        <v>5.5693300000000005E-13</v>
      </c>
      <c r="F438" s="30">
        <v>5.6479299999999997E-13</v>
      </c>
      <c r="H438" s="2"/>
      <c r="I438" s="3">
        <v>1.7466499999999999E-14</v>
      </c>
      <c r="J438" s="3">
        <v>8.8205999999999998E-14</v>
      </c>
      <c r="K438" s="3">
        <v>9.6814500000000004E-14</v>
      </c>
      <c r="L438" s="30">
        <v>7.9348000000000004E-14</v>
      </c>
      <c r="N438" s="6"/>
      <c r="O438" s="3">
        <v>7.7351800000000004E-15</v>
      </c>
      <c r="P438" s="3">
        <v>8.3589900000000006E-14</v>
      </c>
      <c r="Q438" s="3">
        <v>8.4338399999999995E-14</v>
      </c>
      <c r="R438" s="30">
        <v>9.2198399999999999E-14</v>
      </c>
      <c r="T438" s="6"/>
      <c r="U438" s="3">
        <v>1.34742E-14</v>
      </c>
      <c r="V438" s="3">
        <v>7.2111899999999994E-14</v>
      </c>
      <c r="W438" s="3">
        <v>6.7246199999999994E-14</v>
      </c>
      <c r="X438" s="35">
        <v>5.3023399999999998E-14</v>
      </c>
      <c r="Z438" s="6"/>
      <c r="AA438" s="3">
        <v>4.9904500000000001E-16</v>
      </c>
      <c r="AB438" s="3">
        <v>5.9011999999999999E-14</v>
      </c>
      <c r="AC438" s="3">
        <v>6.2630100000000001E-14</v>
      </c>
      <c r="AD438" s="30">
        <v>5.4645400000000001E-14</v>
      </c>
      <c r="AF438" s="6"/>
      <c r="AG438" s="3"/>
      <c r="AH438" s="3">
        <v>1.24761E-16</v>
      </c>
      <c r="AI438" s="3">
        <v>3.7428200000000002E-16</v>
      </c>
      <c r="AJ438" s="30">
        <v>1.24761E-16</v>
      </c>
      <c r="AL438" s="6"/>
      <c r="AM438" s="3"/>
      <c r="AN438" s="3"/>
      <c r="AO438" s="3"/>
      <c r="AP438" s="30"/>
      <c r="AR438" s="6"/>
      <c r="AS438" s="3">
        <v>1.4971299999999999E-15</v>
      </c>
      <c r="AT438" s="3">
        <v>1.1228500000000001E-15</v>
      </c>
      <c r="AU438" s="30">
        <v>2.4952199999999999E-16</v>
      </c>
      <c r="AV438" s="3">
        <v>1.62189E-15</v>
      </c>
    </row>
    <row r="439" spans="3:48" x14ac:dyDescent="0.25">
      <c r="C439" s="31">
        <v>6.8244300000000003E-14</v>
      </c>
      <c r="D439" s="5">
        <v>5.6154899999999999E-13</v>
      </c>
      <c r="E439" s="3">
        <v>5.5668399999999999E-13</v>
      </c>
      <c r="F439" s="30">
        <v>5.64294E-13</v>
      </c>
      <c r="H439" s="2"/>
      <c r="I439" s="3">
        <v>1.7466499999999999E-14</v>
      </c>
      <c r="J439" s="3">
        <v>8.6833600000000003E-14</v>
      </c>
      <c r="K439" s="3">
        <v>9.6190700000000005E-14</v>
      </c>
      <c r="L439" s="30">
        <v>7.7726099999999996E-14</v>
      </c>
      <c r="N439" s="6"/>
      <c r="O439" s="3">
        <v>7.7351800000000004E-15</v>
      </c>
      <c r="P439" s="3">
        <v>8.3465099999999995E-14</v>
      </c>
      <c r="Q439" s="3">
        <v>8.4088899999999994E-14</v>
      </c>
      <c r="R439" s="30">
        <v>9.15746E-14</v>
      </c>
      <c r="T439" s="6"/>
      <c r="U439" s="3">
        <v>1.34742E-14</v>
      </c>
      <c r="V439" s="3">
        <v>7.1363299999999997E-14</v>
      </c>
      <c r="W439" s="3">
        <v>6.6248099999999997E-14</v>
      </c>
      <c r="X439" s="35">
        <v>5.2524400000000003E-14</v>
      </c>
      <c r="Z439" s="6"/>
      <c r="AA439" s="3">
        <v>4.9904500000000001E-16</v>
      </c>
      <c r="AB439" s="3">
        <v>5.6516799999999997E-14</v>
      </c>
      <c r="AC439" s="3">
        <v>6.1756800000000002E-14</v>
      </c>
      <c r="AD439" s="30">
        <v>5.3647299999999997E-14</v>
      </c>
      <c r="AF439" s="6"/>
      <c r="AG439" s="3"/>
      <c r="AH439" s="3">
        <v>1.24761E-16</v>
      </c>
      <c r="AI439" s="3">
        <v>3.7428200000000002E-16</v>
      </c>
      <c r="AJ439" s="30">
        <v>1.24761E-16</v>
      </c>
      <c r="AL439" s="6"/>
      <c r="AM439" s="3"/>
      <c r="AN439" s="3"/>
      <c r="AO439" s="3"/>
      <c r="AP439" s="30"/>
      <c r="AR439" s="6"/>
      <c r="AS439" s="3">
        <v>1.4971299999999999E-15</v>
      </c>
      <c r="AT439" s="3">
        <v>1.1228500000000001E-15</v>
      </c>
      <c r="AU439" s="30">
        <v>9.64403E-14</v>
      </c>
      <c r="AV439" s="3">
        <v>1.62189E-15</v>
      </c>
    </row>
    <row r="440" spans="3:48" x14ac:dyDescent="0.25">
      <c r="C440" s="31">
        <v>6.8244300000000003E-14</v>
      </c>
      <c r="D440" s="5">
        <v>5.5381400000000003E-13</v>
      </c>
      <c r="E440" s="3">
        <v>5.5281599999999997E-13</v>
      </c>
      <c r="F440" s="30">
        <v>5.6154899999999999E-13</v>
      </c>
      <c r="H440" s="2"/>
      <c r="I440" s="3">
        <v>1.7466499999999999E-14</v>
      </c>
      <c r="J440" s="3">
        <v>8.6459300000000005E-14</v>
      </c>
      <c r="K440" s="3">
        <v>9.4069799999999995E-14</v>
      </c>
      <c r="L440" s="30">
        <v>7.5854699999999999E-14</v>
      </c>
      <c r="N440" s="6"/>
      <c r="O440" s="3">
        <v>7.6104200000000003E-15</v>
      </c>
      <c r="P440" s="3">
        <v>8.3090799999999997E-14</v>
      </c>
      <c r="Q440" s="3">
        <v>8.4088899999999994E-14</v>
      </c>
      <c r="R440" s="30">
        <v>9.07013E-14</v>
      </c>
      <c r="T440" s="6"/>
      <c r="U440" s="3">
        <v>1.33494E-14</v>
      </c>
      <c r="V440" s="3">
        <v>6.9491900000000001E-14</v>
      </c>
      <c r="W440" s="3">
        <v>6.5873799999999998E-14</v>
      </c>
      <c r="X440" s="35">
        <v>5.2274900000000002E-14</v>
      </c>
      <c r="Z440" s="6"/>
      <c r="AA440" s="3">
        <v>4.9904500000000001E-16</v>
      </c>
      <c r="AB440" s="3">
        <v>5.5019699999999999E-14</v>
      </c>
      <c r="AC440" s="3">
        <v>6.1382500000000004E-14</v>
      </c>
      <c r="AD440" s="30">
        <v>5.3647299999999997E-14</v>
      </c>
      <c r="AF440" s="6"/>
      <c r="AG440" s="3"/>
      <c r="AH440" s="3">
        <v>1.24761E-16</v>
      </c>
      <c r="AI440" s="3">
        <v>3.7428200000000002E-16</v>
      </c>
      <c r="AJ440" s="30">
        <v>1.24761E-16</v>
      </c>
      <c r="AL440" s="6"/>
      <c r="AM440" s="3"/>
      <c r="AN440" s="3"/>
      <c r="AO440" s="3"/>
      <c r="AP440" s="30"/>
      <c r="AR440" s="6"/>
      <c r="AS440" s="3">
        <v>1.4971299999999999E-15</v>
      </c>
      <c r="AT440" s="3">
        <v>1.1228500000000001E-15</v>
      </c>
      <c r="AU440" s="30">
        <v>4.4914000000000004E-15</v>
      </c>
      <c r="AV440" s="3">
        <v>1.62189E-15</v>
      </c>
    </row>
    <row r="441" spans="3:48" x14ac:dyDescent="0.25">
      <c r="C441" s="31">
        <v>6.8119500000000006E-14</v>
      </c>
      <c r="D441" s="5">
        <v>5.5057000000000005E-13</v>
      </c>
      <c r="E441" s="3">
        <v>5.5219200000000004E-13</v>
      </c>
      <c r="F441" s="30">
        <v>5.5992799999999997E-13</v>
      </c>
      <c r="H441" s="2"/>
      <c r="I441" s="3">
        <v>1.7341799999999999E-14</v>
      </c>
      <c r="J441" s="3">
        <v>8.4587899999999995E-14</v>
      </c>
      <c r="K441" s="3">
        <v>9.3071699999999998E-14</v>
      </c>
      <c r="L441" s="30">
        <v>7.5854699999999999E-14</v>
      </c>
      <c r="N441" s="6"/>
      <c r="O441" s="3">
        <v>7.6104200000000003E-15</v>
      </c>
      <c r="P441" s="3">
        <v>8.2966099999999994E-14</v>
      </c>
      <c r="Q441" s="3">
        <v>8.3964200000000004E-14</v>
      </c>
      <c r="R441" s="30">
        <v>9.0451700000000005E-14</v>
      </c>
      <c r="T441" s="6"/>
      <c r="U441" s="3">
        <v>1.33494E-14</v>
      </c>
      <c r="V441" s="3">
        <v>6.7994699999999996E-14</v>
      </c>
      <c r="W441" s="3">
        <v>6.54995E-14</v>
      </c>
      <c r="X441" s="35">
        <v>5.17758E-14</v>
      </c>
      <c r="Z441" s="6"/>
      <c r="AA441" s="3">
        <v>4.9904500000000001E-16</v>
      </c>
      <c r="AB441" s="3">
        <v>5.4894900000000001E-14</v>
      </c>
      <c r="AC441" s="3">
        <v>6.0758700000000005E-14</v>
      </c>
      <c r="AD441" s="30">
        <v>5.35225E-14</v>
      </c>
      <c r="AF441" s="6"/>
      <c r="AG441" s="3"/>
      <c r="AH441" s="3">
        <v>1.24761E-16</v>
      </c>
      <c r="AI441" s="3">
        <v>3.7428200000000002E-16</v>
      </c>
      <c r="AJ441" s="30">
        <v>1.24761E-16</v>
      </c>
      <c r="AL441" s="6"/>
      <c r="AM441" s="3"/>
      <c r="AN441" s="3"/>
      <c r="AO441" s="3"/>
      <c r="AP441" s="30"/>
      <c r="AR441" s="6"/>
      <c r="AS441" s="3">
        <v>1.4971299999999999E-15</v>
      </c>
      <c r="AT441" s="3">
        <v>1.1228500000000001E-15</v>
      </c>
      <c r="AU441" s="30">
        <v>6.2380499999999999E-16</v>
      </c>
      <c r="AV441" s="3">
        <v>1.62189E-15</v>
      </c>
    </row>
    <row r="442" spans="3:48" x14ac:dyDescent="0.25">
      <c r="C442" s="31">
        <v>6.7994800000000003E-14</v>
      </c>
      <c r="D442" s="5">
        <v>5.5032099999999999E-13</v>
      </c>
      <c r="E442" s="3">
        <v>5.5181800000000002E-13</v>
      </c>
      <c r="F442" s="30">
        <v>5.5980300000000001E-13</v>
      </c>
      <c r="H442" s="2"/>
      <c r="I442" s="3">
        <v>1.7341799999999999E-14</v>
      </c>
      <c r="J442" s="3">
        <v>8.4587899999999995E-14</v>
      </c>
      <c r="K442" s="3">
        <v>9.1449800000000002E-14</v>
      </c>
      <c r="L442" s="30">
        <v>7.3234699999999994E-14</v>
      </c>
      <c r="N442" s="6"/>
      <c r="O442" s="3">
        <v>7.4856600000000002E-15</v>
      </c>
      <c r="P442" s="3">
        <v>8.09699E-14</v>
      </c>
      <c r="Q442" s="3">
        <v>8.3839400000000006E-14</v>
      </c>
      <c r="R442" s="30">
        <v>9.0327000000000002E-14</v>
      </c>
      <c r="T442" s="6"/>
      <c r="U442" s="3">
        <v>1.33494E-14</v>
      </c>
      <c r="V442" s="3">
        <v>6.525E-14</v>
      </c>
      <c r="W442" s="3">
        <v>6.5374799999999997E-14</v>
      </c>
      <c r="X442" s="35">
        <v>5.0902500000000001E-14</v>
      </c>
      <c r="Z442" s="6"/>
      <c r="AA442" s="3">
        <v>4.9904500000000001E-16</v>
      </c>
      <c r="AB442" s="3">
        <v>5.4894900000000001E-14</v>
      </c>
      <c r="AC442" s="3">
        <v>6.0633899999999995E-14</v>
      </c>
      <c r="AD442" s="30">
        <v>5.23997E-14</v>
      </c>
      <c r="AF442" s="6"/>
      <c r="AG442" s="3"/>
      <c r="AH442" s="3">
        <v>1.24761E-16</v>
      </c>
      <c r="AI442" s="3">
        <v>3.7428200000000002E-16</v>
      </c>
      <c r="AJ442" s="30">
        <v>1.24761E-16</v>
      </c>
      <c r="AL442" s="6"/>
      <c r="AM442" s="3"/>
      <c r="AN442" s="3"/>
      <c r="AO442" s="3"/>
      <c r="AP442" s="30"/>
      <c r="AR442" s="6"/>
      <c r="AS442" s="3">
        <v>1.4971299999999999E-15</v>
      </c>
      <c r="AT442" s="3">
        <v>1.1228500000000001E-15</v>
      </c>
      <c r="AU442" s="30">
        <v>6.2380499999999999E-16</v>
      </c>
      <c r="AV442" s="3">
        <v>1.62189E-15</v>
      </c>
    </row>
    <row r="443" spans="3:48" x14ac:dyDescent="0.25">
      <c r="C443" s="31">
        <v>6.7870000000000005E-14</v>
      </c>
      <c r="D443" s="5">
        <v>5.4807499999999996E-13</v>
      </c>
      <c r="E443" s="3">
        <v>5.4757599999999999E-13</v>
      </c>
      <c r="F443" s="30">
        <v>5.5743200000000002E-13</v>
      </c>
      <c r="H443" s="2"/>
      <c r="I443" s="3">
        <v>1.7341799999999999E-14</v>
      </c>
      <c r="J443" s="3">
        <v>8.4213599999999997E-14</v>
      </c>
      <c r="K443" s="3">
        <v>9.0826000000000003E-14</v>
      </c>
      <c r="L443" s="30">
        <v>7.3234699999999994E-14</v>
      </c>
      <c r="N443" s="6"/>
      <c r="O443" s="3">
        <v>7.4856600000000002E-15</v>
      </c>
      <c r="P443" s="3">
        <v>7.9971800000000003E-14</v>
      </c>
      <c r="Q443" s="3">
        <v>8.3465099999999995E-14</v>
      </c>
      <c r="R443" s="30">
        <v>8.8455600000000006E-14</v>
      </c>
      <c r="T443" s="6"/>
      <c r="U443" s="3">
        <v>1.30999E-14</v>
      </c>
      <c r="V443" s="3">
        <v>6.4750999999999998E-14</v>
      </c>
      <c r="W443" s="3">
        <v>6.5000499999999999E-14</v>
      </c>
      <c r="X443" s="35">
        <v>5.0902500000000001E-14</v>
      </c>
      <c r="Z443" s="6"/>
      <c r="AA443" s="3">
        <v>4.9904500000000001E-16</v>
      </c>
      <c r="AB443" s="3">
        <v>5.3647299999999997E-14</v>
      </c>
      <c r="AC443" s="3">
        <v>6.0633899999999995E-14</v>
      </c>
      <c r="AD443" s="30">
        <v>5.15263E-14</v>
      </c>
      <c r="AF443" s="6"/>
      <c r="AG443" s="3"/>
      <c r="AH443" s="3">
        <v>1.24761E-16</v>
      </c>
      <c r="AI443" s="3">
        <v>3.7428200000000002E-16</v>
      </c>
      <c r="AJ443" s="30">
        <v>1.24761E-16</v>
      </c>
      <c r="AL443" s="6"/>
      <c r="AM443" s="3"/>
      <c r="AN443" s="3"/>
      <c r="AO443" s="3"/>
      <c r="AP443" s="30"/>
      <c r="AR443" s="6"/>
      <c r="AS443" s="3">
        <v>1.4971299999999999E-15</v>
      </c>
      <c r="AT443" s="3">
        <v>1.1228500000000001E-15</v>
      </c>
      <c r="AU443" s="30">
        <v>2.4952199999999999E-16</v>
      </c>
      <c r="AV443" s="3">
        <v>1.62189E-15</v>
      </c>
    </row>
    <row r="444" spans="3:48" x14ac:dyDescent="0.25">
      <c r="C444" s="31">
        <v>6.7745199999999995E-14</v>
      </c>
      <c r="D444" s="5">
        <v>5.4632899999999998E-13</v>
      </c>
      <c r="E444" s="3">
        <v>5.4557999999999998E-13</v>
      </c>
      <c r="F444" s="30">
        <v>5.5593499999999999E-13</v>
      </c>
      <c r="H444" s="2"/>
      <c r="I444" s="3">
        <v>1.7216999999999999E-14</v>
      </c>
      <c r="J444" s="3">
        <v>8.3714599999999996E-14</v>
      </c>
      <c r="K444" s="3">
        <v>8.9952700000000004E-14</v>
      </c>
      <c r="L444" s="30">
        <v>7.2860399999999996E-14</v>
      </c>
      <c r="N444" s="6"/>
      <c r="O444" s="3">
        <v>7.4856600000000002E-15</v>
      </c>
      <c r="P444" s="3">
        <v>7.9971800000000003E-14</v>
      </c>
      <c r="Q444" s="3">
        <v>8.3215599999999995E-14</v>
      </c>
      <c r="R444" s="30">
        <v>8.7332699999999999E-14</v>
      </c>
      <c r="T444" s="6"/>
      <c r="U444" s="3">
        <v>1.30999E-14</v>
      </c>
      <c r="V444" s="3">
        <v>6.4750999999999998E-14</v>
      </c>
      <c r="W444" s="3">
        <v>6.5000499999999999E-14</v>
      </c>
      <c r="X444" s="35">
        <v>5.0528200000000002E-14</v>
      </c>
      <c r="Z444" s="6"/>
      <c r="AA444" s="3">
        <v>4.9904500000000001E-16</v>
      </c>
      <c r="AB444" s="3">
        <v>4.9155900000000002E-14</v>
      </c>
      <c r="AC444" s="3">
        <v>6.0010099999999996E-14</v>
      </c>
      <c r="AD444" s="30">
        <v>5.1401600000000003E-14</v>
      </c>
      <c r="AF444" s="6"/>
      <c r="AG444" s="3"/>
      <c r="AH444" s="3">
        <v>1.24761E-16</v>
      </c>
      <c r="AI444" s="3">
        <v>3.7428200000000002E-16</v>
      </c>
      <c r="AJ444" s="30">
        <v>1.24761E-16</v>
      </c>
      <c r="AL444" s="6"/>
      <c r="AM444" s="3"/>
      <c r="AN444" s="3"/>
      <c r="AO444" s="3"/>
      <c r="AP444" s="30"/>
      <c r="AR444" s="6"/>
      <c r="AS444" s="3">
        <v>1.4971299999999999E-15</v>
      </c>
      <c r="AT444" s="3">
        <v>1.1228500000000001E-15</v>
      </c>
      <c r="AU444" s="30">
        <v>1.99618E-15</v>
      </c>
      <c r="AV444" s="3">
        <v>1.62189E-15</v>
      </c>
    </row>
    <row r="445" spans="3:48" x14ac:dyDescent="0.25">
      <c r="C445" s="31">
        <v>6.7371000000000004E-14</v>
      </c>
      <c r="D445" s="5">
        <v>5.45954E-13</v>
      </c>
      <c r="E445" s="3">
        <v>5.4458200000000003E-13</v>
      </c>
      <c r="F445" s="30">
        <v>5.5518699999999996E-13</v>
      </c>
      <c r="H445" s="2"/>
      <c r="I445" s="3">
        <v>1.7216999999999999E-14</v>
      </c>
      <c r="J445" s="3">
        <v>8.3465099999999995E-14</v>
      </c>
      <c r="K445" s="3">
        <v>8.80812E-14</v>
      </c>
      <c r="L445" s="30">
        <v>7.1862299999999999E-14</v>
      </c>
      <c r="N445" s="6"/>
      <c r="O445" s="3">
        <v>7.4856600000000002E-15</v>
      </c>
      <c r="P445" s="3">
        <v>7.8973700000000006E-14</v>
      </c>
      <c r="Q445" s="3">
        <v>8.3090799999999997E-14</v>
      </c>
      <c r="R445" s="30">
        <v>8.6584100000000002E-14</v>
      </c>
      <c r="T445" s="6"/>
      <c r="U445" s="3">
        <v>1.2975100000000001E-14</v>
      </c>
      <c r="V445" s="3">
        <v>6.4750999999999998E-14</v>
      </c>
      <c r="W445" s="3">
        <v>6.3752900000000001E-14</v>
      </c>
      <c r="X445" s="35">
        <v>5.0403399999999999E-14</v>
      </c>
      <c r="Z445" s="6"/>
      <c r="AA445" s="3">
        <v>4.9904500000000001E-16</v>
      </c>
      <c r="AB445" s="3">
        <v>4.8906400000000001E-14</v>
      </c>
      <c r="AC445" s="3">
        <v>5.8762499999999998E-14</v>
      </c>
      <c r="AD445" s="30">
        <v>5.1276799999999999E-14</v>
      </c>
      <c r="AF445" s="6"/>
      <c r="AG445" s="3"/>
      <c r="AH445" s="3">
        <v>1.24761E-16</v>
      </c>
      <c r="AI445" s="3">
        <v>3.7428200000000002E-16</v>
      </c>
      <c r="AJ445" s="30">
        <v>1.24761E-16</v>
      </c>
      <c r="AL445" s="6"/>
      <c r="AM445" s="3"/>
      <c r="AN445" s="3"/>
      <c r="AO445" s="3"/>
      <c r="AP445" s="30"/>
      <c r="AR445" s="6"/>
      <c r="AS445" s="3">
        <v>1.4971299999999999E-15</v>
      </c>
      <c r="AT445" s="3">
        <v>1.1228500000000001E-15</v>
      </c>
      <c r="AU445" s="30">
        <v>1.3723700000000001E-15</v>
      </c>
      <c r="AV445" s="3">
        <v>1.62189E-15</v>
      </c>
    </row>
    <row r="446" spans="3:48" x14ac:dyDescent="0.25">
      <c r="C446" s="31">
        <v>6.6497599999999997E-14</v>
      </c>
      <c r="D446" s="5">
        <v>5.4183700000000003E-13</v>
      </c>
      <c r="E446" s="3">
        <v>5.4458200000000003E-13</v>
      </c>
      <c r="F446" s="30">
        <v>5.5244199999999996E-13</v>
      </c>
      <c r="H446" s="2"/>
      <c r="I446" s="3">
        <v>1.7216999999999999E-14</v>
      </c>
      <c r="J446" s="3">
        <v>8.3340299999999998E-14</v>
      </c>
      <c r="K446" s="3">
        <v>8.7956499999999997E-14</v>
      </c>
      <c r="L446" s="30">
        <v>7.1612799999999998E-14</v>
      </c>
      <c r="N446" s="6"/>
      <c r="O446" s="3">
        <v>7.3609000000000002E-15</v>
      </c>
      <c r="P446" s="3">
        <v>7.8599399999999995E-14</v>
      </c>
      <c r="Q446" s="3">
        <v>8.2466999999999998E-14</v>
      </c>
      <c r="R446" s="30">
        <v>8.3714599999999996E-14</v>
      </c>
      <c r="T446" s="6"/>
      <c r="U446" s="3">
        <v>1.2850400000000001E-14</v>
      </c>
      <c r="V446" s="3">
        <v>6.4626200000000001E-14</v>
      </c>
      <c r="W446" s="3">
        <v>6.3752900000000001E-14</v>
      </c>
      <c r="X446" s="35">
        <v>5.0278700000000002E-14</v>
      </c>
      <c r="Z446" s="6"/>
      <c r="AA446" s="3">
        <v>4.9904500000000001E-16</v>
      </c>
      <c r="AB446" s="3">
        <v>4.8781599999999997E-14</v>
      </c>
      <c r="AC446" s="3">
        <v>5.4146299999999999E-14</v>
      </c>
      <c r="AD446" s="30">
        <v>5.0029200000000001E-14</v>
      </c>
      <c r="AF446" s="6"/>
      <c r="AG446" s="3"/>
      <c r="AH446" s="3">
        <v>1.24761E-16</v>
      </c>
      <c r="AI446" s="3">
        <v>3.7428200000000002E-16</v>
      </c>
      <c r="AJ446" s="30">
        <v>1.24761E-16</v>
      </c>
      <c r="AL446" s="6"/>
      <c r="AM446" s="3"/>
      <c r="AN446" s="3"/>
      <c r="AO446" s="3"/>
      <c r="AP446" s="30"/>
      <c r="AR446" s="6"/>
      <c r="AS446" s="3">
        <v>1.4971299999999999E-15</v>
      </c>
      <c r="AT446" s="3">
        <v>1.1228500000000001E-15</v>
      </c>
      <c r="AU446" s="30">
        <v>7.3609000000000002E-15</v>
      </c>
      <c r="AV446" s="3">
        <v>1.62189E-15</v>
      </c>
    </row>
    <row r="447" spans="3:48" x14ac:dyDescent="0.25">
      <c r="C447" s="31">
        <v>6.5873799999999998E-14</v>
      </c>
      <c r="D447" s="5">
        <v>5.3859300000000005E-13</v>
      </c>
      <c r="E447" s="3">
        <v>5.4420800000000002E-13</v>
      </c>
      <c r="F447" s="30">
        <v>5.4620400000000002E-13</v>
      </c>
      <c r="H447" s="2"/>
      <c r="I447" s="3">
        <v>1.7216999999999999E-14</v>
      </c>
      <c r="J447" s="3">
        <v>8.1967900000000003E-14</v>
      </c>
      <c r="K447" s="3">
        <v>8.7457400000000002E-14</v>
      </c>
      <c r="L447" s="30">
        <v>7.1612799999999998E-14</v>
      </c>
      <c r="N447" s="6"/>
      <c r="O447" s="3">
        <v>7.3609000000000002E-15</v>
      </c>
      <c r="P447" s="3">
        <v>7.8349899999999995E-14</v>
      </c>
      <c r="Q447" s="3">
        <v>8.1967999999999997E-14</v>
      </c>
      <c r="R447" s="30">
        <v>8.2841299999999997E-14</v>
      </c>
      <c r="T447" s="6"/>
      <c r="U447" s="3">
        <v>1.2850400000000001E-14</v>
      </c>
      <c r="V447" s="3">
        <v>6.3877600000000004E-14</v>
      </c>
      <c r="W447" s="3">
        <v>6.1756699999999995E-14</v>
      </c>
      <c r="X447" s="35">
        <v>4.9904399999999997E-14</v>
      </c>
      <c r="Z447" s="6"/>
      <c r="AA447" s="3">
        <v>4.9904500000000001E-16</v>
      </c>
      <c r="AB447" s="3">
        <v>4.7409200000000002E-14</v>
      </c>
      <c r="AC447" s="3">
        <v>5.35225E-14</v>
      </c>
      <c r="AD447" s="30">
        <v>4.9904499999999998E-14</v>
      </c>
      <c r="AF447" s="6"/>
      <c r="AG447" s="3"/>
      <c r="AH447" s="3">
        <v>1.24761E-16</v>
      </c>
      <c r="AI447" s="3">
        <v>3.7428200000000002E-16</v>
      </c>
      <c r="AJ447" s="30">
        <v>1.24761E-16</v>
      </c>
      <c r="AL447" s="6"/>
      <c r="AM447" s="3"/>
      <c r="AN447" s="3"/>
      <c r="AO447" s="3"/>
      <c r="AP447" s="30"/>
      <c r="AR447" s="6"/>
      <c r="AS447" s="3">
        <v>1.4971299999999999E-15</v>
      </c>
      <c r="AT447" s="3">
        <v>1.1228500000000001E-15</v>
      </c>
      <c r="AU447" s="30">
        <v>9.7313599999999996E-15</v>
      </c>
      <c r="AV447" s="3">
        <v>1.62189E-15</v>
      </c>
    </row>
    <row r="448" spans="3:48" x14ac:dyDescent="0.25">
      <c r="C448" s="31">
        <v>6.5374799999999997E-14</v>
      </c>
      <c r="D448" s="5">
        <v>5.35973E-13</v>
      </c>
      <c r="E448" s="3">
        <v>5.4345900000000002E-13</v>
      </c>
      <c r="F448" s="30">
        <v>5.4583000000000001E-13</v>
      </c>
      <c r="H448" s="2"/>
      <c r="I448" s="3">
        <v>1.7216999999999999E-14</v>
      </c>
      <c r="J448" s="3">
        <v>7.8349899999999995E-14</v>
      </c>
      <c r="K448" s="3">
        <v>8.6085100000000001E-14</v>
      </c>
      <c r="L448" s="30">
        <v>7.1488E-14</v>
      </c>
      <c r="N448" s="6"/>
      <c r="O448" s="3">
        <v>7.3609000000000002E-15</v>
      </c>
      <c r="P448" s="3">
        <v>7.7601400000000005E-14</v>
      </c>
      <c r="Q448" s="3">
        <v>7.9722300000000003E-14</v>
      </c>
      <c r="R448" s="30">
        <v>8.0470899999999999E-14</v>
      </c>
      <c r="T448" s="6"/>
      <c r="U448" s="3">
        <v>1.27256E-14</v>
      </c>
      <c r="V448" s="3">
        <v>6.1631899999999997E-14</v>
      </c>
      <c r="W448" s="3">
        <v>6.1631899999999997E-14</v>
      </c>
      <c r="X448" s="35">
        <v>4.9530099999999999E-14</v>
      </c>
      <c r="Z448" s="6"/>
      <c r="AA448" s="3">
        <v>3.7428299999999999E-16</v>
      </c>
      <c r="AB448" s="3">
        <v>4.7284499999999999E-14</v>
      </c>
      <c r="AC448" s="3">
        <v>5.1900599999999998E-14</v>
      </c>
      <c r="AD448" s="30">
        <v>4.9904499999999998E-14</v>
      </c>
      <c r="AF448" s="6"/>
      <c r="AG448" s="3"/>
      <c r="AH448" s="3">
        <v>1.24761E-16</v>
      </c>
      <c r="AI448" s="3">
        <v>3.7428200000000002E-16</v>
      </c>
      <c r="AJ448" s="30">
        <v>1.24761E-16</v>
      </c>
      <c r="AL448" s="6"/>
      <c r="AM448" s="3"/>
      <c r="AN448" s="3"/>
      <c r="AO448" s="3"/>
      <c r="AP448" s="30"/>
      <c r="AR448" s="6"/>
      <c r="AS448" s="3">
        <v>1.4971299999999999E-15</v>
      </c>
      <c r="AT448" s="3">
        <v>9.9808799999999998E-16</v>
      </c>
      <c r="AU448" s="30">
        <v>1.24761E-15</v>
      </c>
      <c r="AV448" s="3">
        <v>1.4971299999999999E-15</v>
      </c>
    </row>
    <row r="449" spans="3:48" x14ac:dyDescent="0.25">
      <c r="C449" s="31">
        <v>6.5125299999999997E-14</v>
      </c>
      <c r="D449" s="5">
        <v>5.3385200000000004E-13</v>
      </c>
      <c r="E449" s="3">
        <v>5.4059000000000002E-13</v>
      </c>
      <c r="F449" s="30">
        <v>5.4370900000000004E-13</v>
      </c>
      <c r="H449" s="2"/>
      <c r="I449" s="3">
        <v>1.7092299999999999E-14</v>
      </c>
      <c r="J449" s="3">
        <v>7.7726099999999996E-14</v>
      </c>
      <c r="K449" s="3">
        <v>8.5087000000000004E-14</v>
      </c>
      <c r="L449" s="30">
        <v>7.0240400000000003E-14</v>
      </c>
      <c r="N449" s="6"/>
      <c r="O449" s="3">
        <v>7.2361400000000001E-15</v>
      </c>
      <c r="P449" s="3">
        <v>7.5605199999999999E-14</v>
      </c>
      <c r="Q449" s="3">
        <v>7.7975599999999996E-14</v>
      </c>
      <c r="R449" s="30">
        <v>8.0096600000000001E-14</v>
      </c>
      <c r="T449" s="6"/>
      <c r="U449" s="3">
        <v>1.26009E-14</v>
      </c>
      <c r="V449" s="3">
        <v>5.9136700000000002E-14</v>
      </c>
      <c r="W449" s="3">
        <v>6.0259599999999996E-14</v>
      </c>
      <c r="X449" s="35">
        <v>4.69101E-14</v>
      </c>
      <c r="Z449" s="6"/>
      <c r="AA449" s="3">
        <v>3.7428299999999999E-16</v>
      </c>
      <c r="AB449" s="3">
        <v>4.57873E-14</v>
      </c>
      <c r="AC449" s="3">
        <v>4.9904499999999998E-14</v>
      </c>
      <c r="AD449" s="30">
        <v>4.6161599999999998E-14</v>
      </c>
      <c r="AF449" s="6"/>
      <c r="AG449" s="3"/>
      <c r="AH449" s="3">
        <v>1.24761E-16</v>
      </c>
      <c r="AI449" s="3">
        <v>3.7428200000000002E-16</v>
      </c>
      <c r="AJ449" s="30">
        <v>1.24761E-16</v>
      </c>
      <c r="AL449" s="6"/>
      <c r="AM449" s="3"/>
      <c r="AN449" s="3"/>
      <c r="AO449" s="3"/>
      <c r="AP449" s="30"/>
      <c r="AR449" s="6"/>
      <c r="AS449" s="3">
        <v>1.4971299999999999E-15</v>
      </c>
      <c r="AT449" s="3">
        <v>9.9808799999999998E-16</v>
      </c>
      <c r="AU449" s="30">
        <v>1.3723700000000001E-15</v>
      </c>
      <c r="AV449" s="3">
        <v>1.4971299999999999E-15</v>
      </c>
    </row>
    <row r="450" spans="3:48" x14ac:dyDescent="0.25">
      <c r="C450" s="31">
        <v>6.4875700000000001E-14</v>
      </c>
      <c r="D450" s="5">
        <v>5.3098300000000004E-13</v>
      </c>
      <c r="E450" s="3">
        <v>5.4034E-13</v>
      </c>
      <c r="F450" s="30">
        <v>5.4059000000000002E-13</v>
      </c>
      <c r="H450" s="2"/>
      <c r="I450" s="3">
        <v>1.6967500000000001E-14</v>
      </c>
      <c r="J450" s="3">
        <v>7.7601299999999998E-14</v>
      </c>
      <c r="K450" s="3">
        <v>8.4962200000000006E-14</v>
      </c>
      <c r="L450" s="30">
        <v>6.8867999999999995E-14</v>
      </c>
      <c r="N450" s="6"/>
      <c r="O450" s="3">
        <v>7.2361400000000001E-15</v>
      </c>
      <c r="P450" s="3">
        <v>7.5480400000000001E-14</v>
      </c>
      <c r="Q450" s="3">
        <v>7.7227099999999995E-14</v>
      </c>
      <c r="R450" s="30">
        <v>7.9223199999999994E-14</v>
      </c>
      <c r="T450" s="6"/>
      <c r="U450" s="3">
        <v>1.26009E-14</v>
      </c>
      <c r="V450" s="3">
        <v>5.9011900000000004E-14</v>
      </c>
      <c r="W450" s="3">
        <v>5.9011900000000004E-14</v>
      </c>
      <c r="X450" s="35">
        <v>4.6785399999999997E-14</v>
      </c>
      <c r="Z450" s="6"/>
      <c r="AA450" s="3">
        <v>3.7428299999999999E-16</v>
      </c>
      <c r="AB450" s="3">
        <v>4.5413100000000003E-14</v>
      </c>
      <c r="AC450" s="3">
        <v>4.9654900000000003E-14</v>
      </c>
      <c r="AD450" s="30">
        <v>4.6161599999999998E-14</v>
      </c>
      <c r="AF450" s="6"/>
      <c r="AG450" s="3"/>
      <c r="AH450" s="3">
        <v>1.24761E-16</v>
      </c>
      <c r="AI450" s="3">
        <v>3.7428200000000002E-16</v>
      </c>
      <c r="AJ450" s="30">
        <v>1.24761E-16</v>
      </c>
      <c r="AL450" s="6"/>
      <c r="AM450" s="3"/>
      <c r="AN450" s="3"/>
      <c r="AO450" s="3"/>
      <c r="AP450" s="30"/>
      <c r="AR450" s="6"/>
      <c r="AS450" s="3">
        <v>1.4971299999999999E-15</v>
      </c>
      <c r="AT450" s="3">
        <v>9.9808799999999998E-16</v>
      </c>
      <c r="AU450" s="30">
        <v>2.4952199999999999E-16</v>
      </c>
      <c r="AV450" s="3">
        <v>1.4971299999999999E-15</v>
      </c>
    </row>
    <row r="451" spans="3:48" x14ac:dyDescent="0.25">
      <c r="C451" s="31">
        <v>6.4251900000000003E-14</v>
      </c>
      <c r="D451" s="5">
        <v>5.2936100000000005E-13</v>
      </c>
      <c r="E451" s="3">
        <v>5.3734600000000004E-13</v>
      </c>
      <c r="F451" s="30">
        <v>5.3971599999999996E-13</v>
      </c>
      <c r="H451" s="2"/>
      <c r="I451" s="3">
        <v>1.6967500000000001E-14</v>
      </c>
      <c r="J451" s="3">
        <v>7.6852700000000002E-14</v>
      </c>
      <c r="K451" s="3">
        <v>8.4962200000000006E-14</v>
      </c>
      <c r="L451" s="30">
        <v>6.7121399999999996E-14</v>
      </c>
      <c r="N451" s="6"/>
      <c r="O451" s="3">
        <v>7.2361400000000001E-15</v>
      </c>
      <c r="P451" s="3">
        <v>7.5106100000000003E-14</v>
      </c>
      <c r="Q451" s="3">
        <v>7.6353700000000001E-14</v>
      </c>
      <c r="R451" s="30">
        <v>7.8349899999999995E-14</v>
      </c>
      <c r="T451" s="6"/>
      <c r="U451" s="3">
        <v>1.2476099999999999E-14</v>
      </c>
      <c r="V451" s="3">
        <v>5.8637700000000001E-14</v>
      </c>
      <c r="W451" s="3">
        <v>5.8388100000000005E-14</v>
      </c>
      <c r="X451" s="35">
        <v>4.4914000000000001E-14</v>
      </c>
      <c r="Z451" s="6"/>
      <c r="AA451" s="3">
        <v>3.7428299999999999E-16</v>
      </c>
      <c r="AB451" s="3">
        <v>4.5038799999999998E-14</v>
      </c>
      <c r="AC451" s="3">
        <v>4.95302E-14</v>
      </c>
      <c r="AD451" s="30">
        <v>4.5413100000000003E-14</v>
      </c>
      <c r="AF451" s="6"/>
      <c r="AG451" s="3"/>
      <c r="AH451" s="3">
        <v>1.24761E-16</v>
      </c>
      <c r="AI451" s="3">
        <v>3.7428200000000002E-16</v>
      </c>
      <c r="AJ451" s="30">
        <v>1.24761E-16</v>
      </c>
      <c r="AL451" s="6"/>
      <c r="AM451" s="3"/>
      <c r="AN451" s="3"/>
      <c r="AO451" s="3"/>
      <c r="AP451" s="30"/>
      <c r="AR451" s="6"/>
      <c r="AS451" s="3">
        <v>1.4971299999999999E-15</v>
      </c>
      <c r="AT451" s="3">
        <v>9.9808799999999998E-16</v>
      </c>
      <c r="AU451" s="30">
        <v>2.4952199999999999E-16</v>
      </c>
      <c r="AV451" s="3">
        <v>1.4971299999999999E-15</v>
      </c>
    </row>
    <row r="452" spans="3:48" x14ac:dyDescent="0.25">
      <c r="C452" s="31">
        <v>6.4251900000000003E-14</v>
      </c>
      <c r="D452" s="5">
        <v>5.2711500000000002E-13</v>
      </c>
      <c r="E452" s="3">
        <v>5.3272999999999999E-13</v>
      </c>
      <c r="F452" s="30">
        <v>5.3971599999999996E-13</v>
      </c>
      <c r="H452" s="2"/>
      <c r="I452" s="3">
        <v>1.6842700000000001E-14</v>
      </c>
      <c r="J452" s="3">
        <v>7.6727999999999999E-14</v>
      </c>
      <c r="K452" s="3">
        <v>8.3589799999999998E-14</v>
      </c>
      <c r="L452" s="30">
        <v>6.6248099999999997E-14</v>
      </c>
      <c r="N452" s="6"/>
      <c r="O452" s="3">
        <v>7.11138E-15</v>
      </c>
      <c r="P452" s="3">
        <v>7.4108000000000006E-14</v>
      </c>
      <c r="Q452" s="3">
        <v>7.5480400000000001E-14</v>
      </c>
      <c r="R452" s="30">
        <v>7.7975599999999996E-14</v>
      </c>
      <c r="T452" s="6"/>
      <c r="U452" s="3">
        <v>1.23513E-14</v>
      </c>
      <c r="V452" s="3">
        <v>5.8138600000000005E-14</v>
      </c>
      <c r="W452" s="3">
        <v>5.66415E-14</v>
      </c>
      <c r="X452" s="35">
        <v>4.4789200000000003E-14</v>
      </c>
      <c r="Z452" s="6"/>
      <c r="AA452" s="3">
        <v>3.7428299999999999E-16</v>
      </c>
      <c r="AB452" s="3">
        <v>4.4914000000000001E-14</v>
      </c>
      <c r="AC452" s="3">
        <v>4.9031099999999998E-14</v>
      </c>
      <c r="AD452" s="30">
        <v>4.5038799999999998E-14</v>
      </c>
      <c r="AF452" s="6"/>
      <c r="AG452" s="3"/>
      <c r="AH452" s="3">
        <v>1.24761E-16</v>
      </c>
      <c r="AI452" s="3">
        <v>3.7428200000000002E-16</v>
      </c>
      <c r="AJ452" s="30">
        <v>1.24761E-16</v>
      </c>
      <c r="AL452" s="6"/>
      <c r="AM452" s="3"/>
      <c r="AN452" s="3"/>
      <c r="AO452" s="3"/>
      <c r="AP452" s="30"/>
      <c r="AR452" s="6"/>
      <c r="AS452" s="3">
        <v>1.4971299999999999E-15</v>
      </c>
      <c r="AT452" s="3">
        <v>9.9808799999999998E-16</v>
      </c>
      <c r="AU452" s="30">
        <v>4.9904399999999999E-16</v>
      </c>
      <c r="AV452" s="3">
        <v>1.4971299999999999E-15</v>
      </c>
    </row>
    <row r="453" spans="3:48" x14ac:dyDescent="0.25">
      <c r="C453" s="31">
        <v>6.41272E-14</v>
      </c>
      <c r="D453" s="5">
        <v>5.24745E-13</v>
      </c>
      <c r="E453" s="3">
        <v>5.2898700000000004E-13</v>
      </c>
      <c r="F453" s="30">
        <v>5.3871800000000001E-13</v>
      </c>
      <c r="H453" s="2"/>
      <c r="I453" s="3">
        <v>1.6842700000000001E-14</v>
      </c>
      <c r="J453" s="3">
        <v>7.61042E-14</v>
      </c>
      <c r="K453" s="3">
        <v>8.1967900000000003E-14</v>
      </c>
      <c r="L453" s="30">
        <v>6.6123299999999999E-14</v>
      </c>
      <c r="N453" s="6"/>
      <c r="O453" s="3">
        <v>7.11138E-15</v>
      </c>
      <c r="P453" s="3">
        <v>7.1862299999999999E-14</v>
      </c>
      <c r="Q453" s="3">
        <v>7.5230900000000001E-14</v>
      </c>
      <c r="R453" s="30">
        <v>7.7476599999999995E-14</v>
      </c>
      <c r="T453" s="6"/>
      <c r="U453" s="3">
        <v>1.22266E-14</v>
      </c>
      <c r="V453" s="3">
        <v>5.7390100000000003E-14</v>
      </c>
      <c r="W453" s="3">
        <v>5.6017700000000001E-14</v>
      </c>
      <c r="X453" s="35">
        <v>4.4789200000000003E-14</v>
      </c>
      <c r="Z453" s="6"/>
      <c r="AA453" s="3">
        <v>3.7428299999999999E-16</v>
      </c>
      <c r="AB453" s="3">
        <v>4.4789200000000003E-14</v>
      </c>
      <c r="AC453" s="3">
        <v>4.6161599999999998E-14</v>
      </c>
      <c r="AD453" s="30">
        <v>4.4914000000000001E-14</v>
      </c>
      <c r="AF453" s="6"/>
      <c r="AG453" s="3"/>
      <c r="AH453" s="3"/>
      <c r="AI453" s="3">
        <v>3.7428200000000002E-16</v>
      </c>
      <c r="AJ453" s="30">
        <v>1.24761E-16</v>
      </c>
      <c r="AL453" s="6"/>
      <c r="AM453" s="3"/>
      <c r="AN453" s="3"/>
      <c r="AO453" s="3"/>
      <c r="AP453" s="30"/>
      <c r="AR453" s="6"/>
      <c r="AS453" s="3">
        <v>1.4971299999999999E-15</v>
      </c>
      <c r="AT453" s="3">
        <v>9.9808799999999998E-16</v>
      </c>
      <c r="AU453" s="30">
        <v>2.4952199999999999E-16</v>
      </c>
      <c r="AV453" s="3">
        <v>1.4971299999999999E-15</v>
      </c>
    </row>
    <row r="454" spans="3:48" x14ac:dyDescent="0.25">
      <c r="C454" s="31">
        <v>6.3628100000000004E-14</v>
      </c>
      <c r="D454" s="5">
        <v>5.2449499999999998E-13</v>
      </c>
      <c r="E454" s="3">
        <v>5.2798899999999998E-13</v>
      </c>
      <c r="F454" s="30">
        <v>5.3834399999999999E-13</v>
      </c>
      <c r="H454" s="2"/>
      <c r="I454" s="3">
        <v>1.6842700000000001E-14</v>
      </c>
      <c r="J454" s="3">
        <v>7.5979400000000002E-14</v>
      </c>
      <c r="K454" s="3">
        <v>8.1718400000000002E-14</v>
      </c>
      <c r="L454" s="30">
        <v>6.5873799999999998E-14</v>
      </c>
      <c r="N454" s="6"/>
      <c r="O454" s="3">
        <v>6.9866199999999999E-15</v>
      </c>
      <c r="P454" s="3">
        <v>7.1737599999999996E-14</v>
      </c>
      <c r="Q454" s="3">
        <v>7.3983300000000003E-14</v>
      </c>
      <c r="R454" s="30">
        <v>7.6977499999999999E-14</v>
      </c>
      <c r="T454" s="6"/>
      <c r="U454" s="3">
        <v>1.22266E-14</v>
      </c>
      <c r="V454" s="3">
        <v>5.6267200000000002E-14</v>
      </c>
      <c r="W454" s="3">
        <v>5.4021500000000001E-14</v>
      </c>
      <c r="X454" s="35">
        <v>4.4539700000000002E-14</v>
      </c>
      <c r="Z454" s="6"/>
      <c r="AA454" s="3">
        <v>3.7428299999999999E-16</v>
      </c>
      <c r="AB454" s="3">
        <v>4.4414999999999999E-14</v>
      </c>
      <c r="AC454" s="3">
        <v>4.5163500000000001E-14</v>
      </c>
      <c r="AD454" s="30">
        <v>4.3915899999999997E-14</v>
      </c>
      <c r="AF454" s="6"/>
      <c r="AG454" s="3"/>
      <c r="AH454" s="3"/>
      <c r="AI454" s="3">
        <v>3.7428200000000002E-16</v>
      </c>
      <c r="AJ454" s="30">
        <v>1.24761E-16</v>
      </c>
      <c r="AL454" s="6"/>
      <c r="AM454" s="3"/>
      <c r="AN454" s="3"/>
      <c r="AO454" s="3"/>
      <c r="AP454" s="30"/>
      <c r="AR454" s="6"/>
      <c r="AS454" s="3">
        <v>1.4971299999999999E-15</v>
      </c>
      <c r="AT454" s="3">
        <v>9.9808799999999998E-16</v>
      </c>
      <c r="AU454" s="30">
        <v>3.7428299999999999E-16</v>
      </c>
      <c r="AV454" s="3">
        <v>1.4971299999999999E-15</v>
      </c>
    </row>
    <row r="455" spans="3:48" x14ac:dyDescent="0.25">
      <c r="C455" s="31">
        <v>6.3628100000000004E-14</v>
      </c>
      <c r="D455" s="5">
        <v>5.2299800000000005E-13</v>
      </c>
      <c r="E455" s="3">
        <v>5.2511900000000002E-13</v>
      </c>
      <c r="F455" s="30">
        <v>5.3659700000000004E-13</v>
      </c>
      <c r="H455" s="2"/>
      <c r="I455" s="3">
        <v>1.6468399999999999E-14</v>
      </c>
      <c r="J455" s="3">
        <v>7.5729900000000002E-14</v>
      </c>
      <c r="K455" s="3">
        <v>8.09699E-14</v>
      </c>
      <c r="L455" s="30">
        <v>6.5624299999999998E-14</v>
      </c>
      <c r="N455" s="6"/>
      <c r="O455" s="3">
        <v>6.8618599999999998E-15</v>
      </c>
      <c r="P455" s="3">
        <v>6.9741400000000002E-14</v>
      </c>
      <c r="Q455" s="3">
        <v>7.3484199999999994E-14</v>
      </c>
      <c r="R455" s="30">
        <v>7.6603299999999996E-14</v>
      </c>
      <c r="T455" s="6"/>
      <c r="U455" s="3">
        <v>1.22266E-14</v>
      </c>
      <c r="V455" s="3">
        <v>5.6142399999999998E-14</v>
      </c>
      <c r="W455" s="3">
        <v>5.2274900000000002E-14</v>
      </c>
      <c r="X455" s="35">
        <v>4.2418699999999998E-14</v>
      </c>
      <c r="Z455" s="6"/>
      <c r="AA455" s="3">
        <v>3.7428299999999999E-16</v>
      </c>
      <c r="AB455" s="3">
        <v>4.4290200000000002E-14</v>
      </c>
      <c r="AC455" s="3">
        <v>4.4165399999999998E-14</v>
      </c>
      <c r="AD455" s="30">
        <v>4.3292099999999998E-14</v>
      </c>
      <c r="AF455" s="6"/>
      <c r="AG455" s="3"/>
      <c r="AH455" s="3"/>
      <c r="AI455" s="3">
        <v>3.7428200000000002E-16</v>
      </c>
      <c r="AJ455" s="30"/>
      <c r="AL455" s="6"/>
      <c r="AM455" s="3"/>
      <c r="AN455" s="3"/>
      <c r="AO455" s="3"/>
      <c r="AP455" s="30"/>
      <c r="AR455" s="6"/>
      <c r="AS455" s="3">
        <v>1.3723700000000001E-15</v>
      </c>
      <c r="AT455" s="3">
        <v>9.9808799999999998E-16</v>
      </c>
      <c r="AU455" s="30">
        <v>1.0479900000000001E-14</v>
      </c>
      <c r="AV455" s="3">
        <v>1.4971299999999999E-15</v>
      </c>
    </row>
    <row r="456" spans="3:48" x14ac:dyDescent="0.25">
      <c r="C456" s="31">
        <v>6.2879600000000002E-14</v>
      </c>
      <c r="D456" s="5">
        <v>5.2287399999999996E-13</v>
      </c>
      <c r="E456" s="3">
        <v>5.2462000000000004E-13</v>
      </c>
      <c r="F456" s="30">
        <v>5.3559899999999999E-13</v>
      </c>
      <c r="H456" s="2"/>
      <c r="I456" s="3">
        <v>1.6468399999999999E-14</v>
      </c>
      <c r="J456" s="3">
        <v>7.4607100000000002E-14</v>
      </c>
      <c r="K456" s="3">
        <v>7.9597500000000005E-14</v>
      </c>
      <c r="L456" s="30">
        <v>6.5624299999999998E-14</v>
      </c>
      <c r="N456" s="6"/>
      <c r="O456" s="3">
        <v>6.8618599999999998E-15</v>
      </c>
      <c r="P456" s="3">
        <v>6.8992800000000005E-14</v>
      </c>
      <c r="Q456" s="3">
        <v>7.2361399999999994E-14</v>
      </c>
      <c r="R456" s="30">
        <v>7.5979499999999997E-14</v>
      </c>
      <c r="T456" s="6"/>
      <c r="U456" s="3">
        <v>1.21018E-14</v>
      </c>
      <c r="V456" s="3">
        <v>5.6017700000000001E-14</v>
      </c>
      <c r="W456" s="3">
        <v>5.2025300000000001E-14</v>
      </c>
      <c r="X456" s="35">
        <v>4.09216E-14</v>
      </c>
      <c r="Z456" s="6"/>
      <c r="AA456" s="3">
        <v>3.7428299999999999E-16</v>
      </c>
      <c r="AB456" s="3">
        <v>4.4165399999999998E-14</v>
      </c>
      <c r="AC456" s="3">
        <v>4.37912E-14</v>
      </c>
      <c r="AD456" s="30">
        <v>4.29178E-14</v>
      </c>
      <c r="AF456" s="6"/>
      <c r="AG456" s="3"/>
      <c r="AH456" s="3"/>
      <c r="AI456" s="3">
        <v>3.7428200000000002E-16</v>
      </c>
      <c r="AJ456" s="30"/>
      <c r="AL456" s="6"/>
      <c r="AM456" s="3"/>
      <c r="AN456" s="3"/>
      <c r="AO456" s="3"/>
      <c r="AP456" s="30"/>
      <c r="AR456" s="6"/>
      <c r="AS456" s="3">
        <v>1.3723700000000001E-15</v>
      </c>
      <c r="AT456" s="3">
        <v>9.9808799999999998E-16</v>
      </c>
      <c r="AU456" s="30">
        <v>4.9904399999999999E-16</v>
      </c>
      <c r="AV456" s="3">
        <v>1.4971299999999999E-15</v>
      </c>
    </row>
    <row r="457" spans="3:48" x14ac:dyDescent="0.25">
      <c r="C457" s="31">
        <v>6.2629999999999994E-14</v>
      </c>
      <c r="D457" s="5">
        <v>5.2237400000000001E-13</v>
      </c>
      <c r="E457" s="3">
        <v>5.2412099999999996E-13</v>
      </c>
      <c r="F457" s="30">
        <v>5.3173200000000004E-13</v>
      </c>
      <c r="H457" s="2"/>
      <c r="I457" s="3">
        <v>1.6343699999999999E-14</v>
      </c>
      <c r="J457" s="3">
        <v>7.1612799999999998E-14</v>
      </c>
      <c r="K457" s="3">
        <v>7.9348000000000004E-14</v>
      </c>
      <c r="L457" s="30">
        <v>6.54995E-14</v>
      </c>
      <c r="N457" s="6"/>
      <c r="O457" s="3">
        <v>6.8618599999999998E-15</v>
      </c>
      <c r="P457" s="3">
        <v>6.8244300000000003E-14</v>
      </c>
      <c r="Q457" s="3">
        <v>7.1488099999999995E-14</v>
      </c>
      <c r="R457" s="30">
        <v>7.5605199999999999E-14</v>
      </c>
      <c r="T457" s="6"/>
      <c r="U457" s="3">
        <v>1.19771E-14</v>
      </c>
      <c r="V457" s="3">
        <v>5.5393900000000003E-14</v>
      </c>
      <c r="W457" s="3">
        <v>5.1651099999999997E-14</v>
      </c>
      <c r="X457" s="35">
        <v>3.9299699999999998E-14</v>
      </c>
      <c r="Z457" s="6"/>
      <c r="AA457" s="3">
        <v>3.7428299999999999E-16</v>
      </c>
      <c r="AB457" s="3">
        <v>4.1046399999999997E-14</v>
      </c>
      <c r="AC457" s="3">
        <v>4.3042599999999998E-14</v>
      </c>
      <c r="AD457" s="30">
        <v>4.1670200000000003E-14</v>
      </c>
      <c r="AF457" s="6"/>
      <c r="AG457" s="3"/>
      <c r="AH457" s="3"/>
      <c r="AI457" s="3">
        <v>3.7428200000000002E-16</v>
      </c>
      <c r="AJ457" s="30"/>
      <c r="AL457" s="6"/>
      <c r="AM457" s="3"/>
      <c r="AN457" s="3"/>
      <c r="AO457" s="3"/>
      <c r="AP457" s="30"/>
      <c r="AR457" s="6"/>
      <c r="AS457" s="3">
        <v>1.3723700000000001E-15</v>
      </c>
      <c r="AT457" s="3">
        <v>9.9808799999999998E-16</v>
      </c>
      <c r="AU457" s="30">
        <v>8.7332699999999998E-16</v>
      </c>
      <c r="AV457" s="3">
        <v>1.4971299999999999E-15</v>
      </c>
    </row>
    <row r="458" spans="3:48" x14ac:dyDescent="0.25">
      <c r="C458" s="31">
        <v>6.2629999999999994E-14</v>
      </c>
      <c r="D458" s="5">
        <v>5.1925499999999999E-13</v>
      </c>
      <c r="E458" s="3">
        <v>5.2287399999999996E-13</v>
      </c>
      <c r="F458" s="30">
        <v>5.30359E-13</v>
      </c>
      <c r="H458" s="2"/>
      <c r="I458" s="3">
        <v>1.6343699999999999E-14</v>
      </c>
      <c r="J458" s="3">
        <v>7.1363299999999997E-14</v>
      </c>
      <c r="K458" s="3">
        <v>7.9348000000000004E-14</v>
      </c>
      <c r="L458" s="30">
        <v>6.4750900000000004E-14</v>
      </c>
      <c r="N458" s="6"/>
      <c r="O458" s="3">
        <v>6.73709E-15</v>
      </c>
      <c r="P458" s="3">
        <v>6.7620500000000005E-14</v>
      </c>
      <c r="Q458" s="3">
        <v>7.0614700000000001E-14</v>
      </c>
      <c r="R458" s="30">
        <v>7.5355699999999998E-14</v>
      </c>
      <c r="T458" s="6"/>
      <c r="U458" s="3">
        <v>1.1852300000000001E-14</v>
      </c>
      <c r="V458" s="3">
        <v>5.4271000000000002E-14</v>
      </c>
      <c r="W458" s="3">
        <v>5.15263E-14</v>
      </c>
      <c r="X458" s="35">
        <v>3.9299699999999998E-14</v>
      </c>
      <c r="Z458" s="6"/>
      <c r="AA458" s="3">
        <v>3.7428299999999999E-16</v>
      </c>
      <c r="AB458" s="3">
        <v>4.0547400000000002E-14</v>
      </c>
      <c r="AC458" s="3">
        <v>4.2543500000000002E-14</v>
      </c>
      <c r="AD458" s="30">
        <v>4.1046399999999997E-14</v>
      </c>
      <c r="AF458" s="6"/>
      <c r="AG458" s="3"/>
      <c r="AH458" s="3"/>
      <c r="AI458" s="3">
        <v>3.7428200000000002E-16</v>
      </c>
      <c r="AJ458" s="30"/>
      <c r="AL458" s="6"/>
      <c r="AM458" s="3"/>
      <c r="AN458" s="3"/>
      <c r="AO458" s="3"/>
      <c r="AP458" s="30"/>
      <c r="AR458" s="6"/>
      <c r="AS458" s="3">
        <v>1.3723700000000001E-15</v>
      </c>
      <c r="AT458" s="3">
        <v>9.9808799999999998E-16</v>
      </c>
      <c r="AU458" s="30">
        <v>1.24761E-16</v>
      </c>
      <c r="AV458" s="3">
        <v>1.4971299999999999E-15</v>
      </c>
    </row>
    <row r="459" spans="3:48" x14ac:dyDescent="0.25">
      <c r="C459" s="31">
        <v>6.1507199999999994E-14</v>
      </c>
      <c r="D459" s="5">
        <v>5.1900600000000004E-13</v>
      </c>
      <c r="E459" s="3">
        <v>5.2262400000000004E-13</v>
      </c>
      <c r="F459" s="30">
        <v>5.2861300000000002E-13</v>
      </c>
      <c r="H459" s="2"/>
      <c r="I459" s="3">
        <v>1.6343699999999999E-14</v>
      </c>
      <c r="J459" s="3">
        <v>7.0739499999999999E-14</v>
      </c>
      <c r="K459" s="3">
        <v>7.6977499999999999E-14</v>
      </c>
      <c r="L459" s="30">
        <v>6.2879499999999995E-14</v>
      </c>
      <c r="N459" s="6"/>
      <c r="O459" s="3">
        <v>6.73709E-15</v>
      </c>
      <c r="P459" s="3">
        <v>6.6497599999999997E-14</v>
      </c>
      <c r="Q459" s="3">
        <v>7.0614700000000001E-14</v>
      </c>
      <c r="R459" s="30">
        <v>7.49814E-14</v>
      </c>
      <c r="T459" s="6"/>
      <c r="U459" s="3">
        <v>1.17275E-14</v>
      </c>
      <c r="V459" s="3">
        <v>5.3772E-14</v>
      </c>
      <c r="W459" s="3">
        <v>5.1152000000000001E-14</v>
      </c>
      <c r="X459" s="35">
        <v>3.8675899999999999E-14</v>
      </c>
      <c r="Z459" s="6"/>
      <c r="AA459" s="3">
        <v>3.7428299999999999E-16</v>
      </c>
      <c r="AB459" s="3">
        <v>4.0297800000000001E-14</v>
      </c>
      <c r="AC459" s="3">
        <v>4.1795E-14</v>
      </c>
      <c r="AD459" s="30">
        <v>3.9923599999999997E-14</v>
      </c>
      <c r="AF459" s="6"/>
      <c r="AG459" s="3"/>
      <c r="AH459" s="3"/>
      <c r="AI459" s="3">
        <v>3.7428200000000002E-16</v>
      </c>
      <c r="AJ459" s="30"/>
      <c r="AL459" s="6"/>
      <c r="AM459" s="3"/>
      <c r="AN459" s="3"/>
      <c r="AO459" s="3"/>
      <c r="AP459" s="30"/>
      <c r="AR459" s="6"/>
      <c r="AS459" s="3">
        <v>1.3723700000000001E-15</v>
      </c>
      <c r="AT459" s="3">
        <v>9.9808799999999998E-16</v>
      </c>
      <c r="AU459" s="30">
        <v>6.2380499999999999E-16</v>
      </c>
      <c r="AV459" s="3">
        <v>1.4971299999999999E-15</v>
      </c>
    </row>
    <row r="460" spans="3:48" x14ac:dyDescent="0.25">
      <c r="C460" s="31">
        <v>6.1257700000000006E-14</v>
      </c>
      <c r="D460" s="5">
        <v>5.1788300000000003E-13</v>
      </c>
      <c r="E460" s="3">
        <v>5.2237400000000001E-13</v>
      </c>
      <c r="F460" s="30">
        <v>5.2611699999999997E-13</v>
      </c>
      <c r="H460" s="2"/>
      <c r="I460" s="3">
        <v>1.6343699999999999E-14</v>
      </c>
      <c r="J460" s="3">
        <v>6.9616600000000004E-14</v>
      </c>
      <c r="K460" s="3">
        <v>7.6228900000000003E-14</v>
      </c>
      <c r="L460" s="30">
        <v>6.2754800000000004E-14</v>
      </c>
      <c r="N460" s="6"/>
      <c r="O460" s="3">
        <v>6.6123299999999999E-15</v>
      </c>
      <c r="P460" s="3">
        <v>6.5125200000000002E-14</v>
      </c>
      <c r="Q460" s="3">
        <v>7.0489999999999998E-14</v>
      </c>
      <c r="R460" s="30">
        <v>7.3609000000000005E-14</v>
      </c>
      <c r="T460" s="6"/>
      <c r="U460" s="3">
        <v>1.16028E-14</v>
      </c>
      <c r="V460" s="3">
        <v>5.3647200000000003E-14</v>
      </c>
      <c r="W460" s="3">
        <v>5.0653E-14</v>
      </c>
      <c r="X460" s="35">
        <v>3.7677800000000002E-14</v>
      </c>
      <c r="Z460" s="6"/>
      <c r="AA460" s="3">
        <v>3.7428299999999999E-16</v>
      </c>
      <c r="AB460" s="3">
        <v>4.0173099999999998E-14</v>
      </c>
      <c r="AC460" s="3">
        <v>4.0796900000000003E-14</v>
      </c>
      <c r="AD460" s="30">
        <v>3.9299799999999999E-14</v>
      </c>
      <c r="AF460" s="6"/>
      <c r="AG460" s="3"/>
      <c r="AH460" s="3"/>
      <c r="AI460" s="3">
        <v>3.7428200000000002E-16</v>
      </c>
      <c r="AJ460" s="30"/>
      <c r="AL460" s="6"/>
      <c r="AM460" s="3"/>
      <c r="AN460" s="3"/>
      <c r="AO460" s="3"/>
      <c r="AP460" s="30"/>
      <c r="AR460" s="6"/>
      <c r="AS460" s="3">
        <v>1.3723700000000001E-15</v>
      </c>
      <c r="AT460" s="3">
        <v>9.9808799999999998E-16</v>
      </c>
      <c r="AU460" s="30">
        <v>1.24761E-16</v>
      </c>
      <c r="AV460" s="3">
        <v>1.4971299999999999E-15</v>
      </c>
    </row>
    <row r="461" spans="3:48" x14ac:dyDescent="0.25">
      <c r="C461" s="31">
        <v>6.1132899999999996E-14</v>
      </c>
      <c r="D461" s="5">
        <v>5.1713400000000003E-13</v>
      </c>
      <c r="E461" s="3">
        <v>5.2125199999999997E-13</v>
      </c>
      <c r="F461" s="30">
        <v>5.2249899999999997E-13</v>
      </c>
      <c r="H461" s="2"/>
      <c r="I461" s="3">
        <v>1.6218899999999999E-14</v>
      </c>
      <c r="J461" s="3">
        <v>6.9491900000000001E-14</v>
      </c>
      <c r="K461" s="3">
        <v>7.5480400000000001E-14</v>
      </c>
      <c r="L461" s="30">
        <v>6.2505199999999997E-14</v>
      </c>
      <c r="N461" s="6"/>
      <c r="O461" s="3">
        <v>6.4875699999999998E-15</v>
      </c>
      <c r="P461" s="3">
        <v>6.5000499999999999E-14</v>
      </c>
      <c r="Q461" s="3">
        <v>6.9491900000000001E-14</v>
      </c>
      <c r="R461" s="30">
        <v>7.2486099999999997E-14</v>
      </c>
      <c r="T461" s="6"/>
      <c r="U461" s="3">
        <v>1.1478000000000001E-14</v>
      </c>
      <c r="V461" s="3">
        <v>5.35225E-14</v>
      </c>
      <c r="W461" s="3">
        <v>5.0029200000000001E-14</v>
      </c>
      <c r="X461" s="35">
        <v>3.7303499999999997E-14</v>
      </c>
      <c r="Z461" s="6"/>
      <c r="AA461" s="3">
        <v>3.7428299999999999E-16</v>
      </c>
      <c r="AB461" s="3">
        <v>3.9923599999999997E-14</v>
      </c>
      <c r="AC461" s="3">
        <v>4.0422599999999999E-14</v>
      </c>
      <c r="AD461" s="30">
        <v>3.8426399999999998E-14</v>
      </c>
      <c r="AF461" s="6"/>
      <c r="AG461" s="3"/>
      <c r="AH461" s="3"/>
      <c r="AI461" s="3">
        <v>3.7428200000000002E-16</v>
      </c>
      <c r="AJ461" s="30"/>
      <c r="AL461" s="6"/>
      <c r="AM461" s="3"/>
      <c r="AN461" s="3"/>
      <c r="AO461" s="3"/>
      <c r="AP461" s="30"/>
      <c r="AR461" s="6"/>
      <c r="AS461" s="3">
        <v>1.3723700000000001E-15</v>
      </c>
      <c r="AT461" s="3">
        <v>9.9808799999999998E-16</v>
      </c>
      <c r="AU461" s="30">
        <v>1.24761E-16</v>
      </c>
      <c r="AV461" s="3">
        <v>1.4971299999999999E-15</v>
      </c>
    </row>
    <row r="462" spans="3:48" x14ac:dyDescent="0.25">
      <c r="C462" s="31">
        <v>6.0633899999999995E-14</v>
      </c>
      <c r="D462" s="5">
        <v>5.1651099999999996E-13</v>
      </c>
      <c r="E462" s="3">
        <v>5.2037800000000001E-13</v>
      </c>
      <c r="F462" s="30">
        <v>5.2175100000000005E-13</v>
      </c>
      <c r="H462" s="2"/>
      <c r="I462" s="3">
        <v>1.6218899999999999E-14</v>
      </c>
      <c r="J462" s="3">
        <v>6.9367100000000003E-14</v>
      </c>
      <c r="K462" s="3">
        <v>7.3484199999999994E-14</v>
      </c>
      <c r="L462" s="30">
        <v>6.2255699999999996E-14</v>
      </c>
      <c r="N462" s="6"/>
      <c r="O462" s="3">
        <v>6.4875699999999998E-15</v>
      </c>
      <c r="P462" s="3">
        <v>6.4501400000000003E-14</v>
      </c>
      <c r="Q462" s="3">
        <v>6.8868100000000002E-14</v>
      </c>
      <c r="R462" s="30">
        <v>7.1113799999999997E-14</v>
      </c>
      <c r="T462" s="6"/>
      <c r="U462" s="3">
        <v>1.1478000000000001E-14</v>
      </c>
      <c r="V462" s="3">
        <v>5.35225E-14</v>
      </c>
      <c r="W462" s="3">
        <v>4.9654900000000003E-14</v>
      </c>
      <c r="X462" s="35">
        <v>3.6804500000000002E-14</v>
      </c>
      <c r="Z462" s="6"/>
      <c r="AA462" s="3">
        <v>3.7428299999999999E-16</v>
      </c>
      <c r="AB462" s="3">
        <v>3.5931200000000003E-14</v>
      </c>
      <c r="AC462" s="3">
        <v>3.9923599999999997E-14</v>
      </c>
      <c r="AD462" s="30">
        <v>3.8426399999999998E-14</v>
      </c>
      <c r="AF462" s="6"/>
      <c r="AG462" s="3"/>
      <c r="AH462" s="3"/>
      <c r="AI462" s="3">
        <v>2.4952199999999999E-16</v>
      </c>
      <c r="AJ462" s="30"/>
      <c r="AL462" s="6"/>
      <c r="AM462" s="3"/>
      <c r="AN462" s="3"/>
      <c r="AO462" s="3"/>
      <c r="AP462" s="30"/>
      <c r="AR462" s="6"/>
      <c r="AS462" s="3">
        <v>1.3723700000000001E-15</v>
      </c>
      <c r="AT462" s="3">
        <v>9.9808799999999998E-16</v>
      </c>
      <c r="AU462" s="30">
        <v>7.4856599999999998E-16</v>
      </c>
      <c r="AV462" s="3">
        <v>1.4971299999999999E-15</v>
      </c>
    </row>
    <row r="463" spans="3:48" x14ac:dyDescent="0.25">
      <c r="C463" s="31">
        <v>6.0384299999999999E-14</v>
      </c>
      <c r="D463" s="5">
        <v>5.1588700000000002E-13</v>
      </c>
      <c r="E463" s="3">
        <v>5.1701000000000004E-13</v>
      </c>
      <c r="F463" s="30">
        <v>5.1925499999999999E-13</v>
      </c>
      <c r="H463" s="2"/>
      <c r="I463" s="3">
        <v>1.6218899999999999E-14</v>
      </c>
      <c r="J463" s="3">
        <v>6.9242300000000006E-14</v>
      </c>
      <c r="K463" s="3">
        <v>7.1987099999999996E-14</v>
      </c>
      <c r="L463" s="30">
        <v>6.2131000000000006E-14</v>
      </c>
      <c r="N463" s="6"/>
      <c r="O463" s="3">
        <v>6.3628099999999997E-15</v>
      </c>
      <c r="P463" s="3">
        <v>6.3752900000000001E-14</v>
      </c>
      <c r="Q463" s="3">
        <v>6.8368999999999994E-14</v>
      </c>
      <c r="R463" s="30">
        <v>7.0988999999999999E-14</v>
      </c>
      <c r="T463" s="6"/>
      <c r="U463" s="3">
        <v>1.1478000000000001E-14</v>
      </c>
      <c r="V463" s="3">
        <v>5.3272899999999998E-14</v>
      </c>
      <c r="W463" s="3">
        <v>4.8781500000000003E-14</v>
      </c>
      <c r="X463" s="35">
        <v>3.6430199999999998E-14</v>
      </c>
      <c r="Z463" s="6"/>
      <c r="AA463" s="3">
        <v>3.7428299999999999E-16</v>
      </c>
      <c r="AB463" s="3">
        <v>3.5806399999999999E-14</v>
      </c>
      <c r="AC463" s="3">
        <v>3.8675899999999999E-14</v>
      </c>
      <c r="AD463" s="30">
        <v>3.6180699999999997E-14</v>
      </c>
      <c r="AF463" s="6"/>
      <c r="AG463" s="3"/>
      <c r="AH463" s="3"/>
      <c r="AI463" s="3">
        <v>2.4952199999999999E-16</v>
      </c>
      <c r="AJ463" s="30"/>
      <c r="AL463" s="6"/>
      <c r="AM463" s="3"/>
      <c r="AN463" s="3"/>
      <c r="AO463" s="3"/>
      <c r="AP463" s="30"/>
      <c r="AR463" s="6"/>
      <c r="AS463" s="3">
        <v>1.3723700000000001E-15</v>
      </c>
      <c r="AT463" s="3">
        <v>9.9808799999999998E-16</v>
      </c>
      <c r="AU463" s="30">
        <v>1.8714199999999999E-15</v>
      </c>
      <c r="AV463" s="3">
        <v>1.4971299999999999E-15</v>
      </c>
    </row>
    <row r="464" spans="3:48" x14ac:dyDescent="0.25">
      <c r="C464" s="31">
        <v>6.0259599999999996E-14</v>
      </c>
      <c r="D464" s="5">
        <v>5.1501400000000003E-13</v>
      </c>
      <c r="E464" s="3">
        <v>5.1701000000000004E-13</v>
      </c>
      <c r="F464" s="30">
        <v>5.1763399999999997E-13</v>
      </c>
      <c r="H464" s="2"/>
      <c r="I464" s="3">
        <v>1.6218899999999999E-14</v>
      </c>
      <c r="J464" s="3">
        <v>6.8867999999999995E-14</v>
      </c>
      <c r="K464" s="3">
        <v>7.1612799999999998E-14</v>
      </c>
      <c r="L464" s="30">
        <v>6.1881399999999998E-14</v>
      </c>
      <c r="N464" s="6"/>
      <c r="O464" s="3">
        <v>6.2380499999999997E-15</v>
      </c>
      <c r="P464" s="3">
        <v>6.3378600000000003E-14</v>
      </c>
      <c r="Q464" s="3">
        <v>6.7620500000000005E-14</v>
      </c>
      <c r="R464" s="30">
        <v>6.9616600000000004E-14</v>
      </c>
      <c r="T464" s="6"/>
      <c r="U464" s="3">
        <v>1.1478000000000001E-14</v>
      </c>
      <c r="V464" s="3">
        <v>5.26491E-14</v>
      </c>
      <c r="W464" s="3">
        <v>4.8407299999999999E-14</v>
      </c>
      <c r="X464" s="35">
        <v>3.3935000000000003E-14</v>
      </c>
      <c r="Z464" s="6"/>
      <c r="AA464" s="3">
        <v>3.7428299999999999E-16</v>
      </c>
      <c r="AB464" s="3">
        <v>3.3311199999999997E-14</v>
      </c>
      <c r="AC464" s="3">
        <v>3.8551200000000002E-14</v>
      </c>
      <c r="AD464" s="30">
        <v>3.6056000000000001E-14</v>
      </c>
      <c r="AF464" s="6"/>
      <c r="AG464" s="3"/>
      <c r="AH464" s="3"/>
      <c r="AI464" s="3">
        <v>2.4952199999999999E-16</v>
      </c>
      <c r="AJ464" s="30"/>
      <c r="AL464" s="6"/>
      <c r="AM464" s="3"/>
      <c r="AN464" s="3"/>
      <c r="AO464" s="3"/>
      <c r="AP464" s="30"/>
      <c r="AR464" s="6"/>
      <c r="AS464" s="3">
        <v>1.24761E-15</v>
      </c>
      <c r="AT464" s="3">
        <v>9.9808799999999998E-16</v>
      </c>
      <c r="AU464" s="30">
        <v>1.24761E-16</v>
      </c>
      <c r="AV464" s="3">
        <v>1.4971299999999999E-15</v>
      </c>
    </row>
    <row r="465" spans="3:48" x14ac:dyDescent="0.25">
      <c r="C465" s="31">
        <v>6.0259599999999996E-14</v>
      </c>
      <c r="D465" s="5">
        <v>5.1476400000000001E-13</v>
      </c>
      <c r="E465" s="3">
        <v>5.1676000000000001E-13</v>
      </c>
      <c r="F465" s="30">
        <v>5.1538800000000005E-13</v>
      </c>
      <c r="H465" s="2"/>
      <c r="I465" s="3">
        <v>1.6094199999999999E-14</v>
      </c>
      <c r="J465" s="3">
        <v>6.7620399999999997E-14</v>
      </c>
      <c r="K465" s="3">
        <v>7.1113700000000002E-14</v>
      </c>
      <c r="L465" s="30">
        <v>6.1257599999999999E-14</v>
      </c>
      <c r="N465" s="6"/>
      <c r="O465" s="3">
        <v>6.1132900000000004E-15</v>
      </c>
      <c r="P465" s="3">
        <v>6.2629999999999994E-14</v>
      </c>
      <c r="Q465" s="3">
        <v>6.6372899999999994E-14</v>
      </c>
      <c r="R465" s="30">
        <v>6.8868100000000002E-14</v>
      </c>
      <c r="T465" s="6"/>
      <c r="U465" s="3">
        <v>1.1478000000000001E-14</v>
      </c>
      <c r="V465" s="3">
        <v>5.2150099999999998E-14</v>
      </c>
      <c r="W465" s="3">
        <v>4.8282500000000002E-14</v>
      </c>
      <c r="X465" s="35">
        <v>3.3810199999999999E-14</v>
      </c>
      <c r="Z465" s="6"/>
      <c r="AA465" s="3">
        <v>3.7428299999999999E-16</v>
      </c>
      <c r="AB465" s="3">
        <v>3.0067399999999999E-14</v>
      </c>
      <c r="AC465" s="3">
        <v>3.6430199999999998E-14</v>
      </c>
      <c r="AD465" s="30">
        <v>3.5307399999999998E-14</v>
      </c>
      <c r="AF465" s="6"/>
      <c r="AG465" s="3"/>
      <c r="AH465" s="3"/>
      <c r="AI465" s="3">
        <v>2.4952199999999999E-16</v>
      </c>
      <c r="AJ465" s="30"/>
      <c r="AL465" s="6"/>
      <c r="AM465" s="3"/>
      <c r="AN465" s="3"/>
      <c r="AO465" s="3"/>
      <c r="AP465" s="30"/>
      <c r="AR465" s="6"/>
      <c r="AS465" s="3">
        <v>1.24761E-15</v>
      </c>
      <c r="AT465" s="3">
        <v>8.7332699999999998E-16</v>
      </c>
      <c r="AU465" s="30">
        <v>4.4914000000000004E-15</v>
      </c>
      <c r="AV465" s="3">
        <v>1.3723700000000001E-15</v>
      </c>
    </row>
    <row r="466" spans="3:48" x14ac:dyDescent="0.25">
      <c r="C466" s="31">
        <v>6.0010099999999996E-14</v>
      </c>
      <c r="D466" s="5">
        <v>5.1339200000000004E-13</v>
      </c>
      <c r="E466" s="3">
        <v>5.1663500000000005E-13</v>
      </c>
      <c r="F466" s="30">
        <v>5.1538800000000005E-13</v>
      </c>
      <c r="H466" s="2"/>
      <c r="I466" s="3">
        <v>1.6094199999999999E-14</v>
      </c>
      <c r="J466" s="3">
        <v>6.6622399999999995E-14</v>
      </c>
      <c r="K466" s="3">
        <v>7.0988999999999999E-14</v>
      </c>
      <c r="L466" s="30">
        <v>6.0384299999999999E-14</v>
      </c>
      <c r="N466" s="6"/>
      <c r="O466" s="3">
        <v>5.9885300000000003E-15</v>
      </c>
      <c r="P466" s="3">
        <v>6.2380500000000006E-14</v>
      </c>
      <c r="Q466" s="3">
        <v>6.2754800000000004E-14</v>
      </c>
      <c r="R466" s="30">
        <v>6.8368999999999994E-14</v>
      </c>
      <c r="T466" s="6"/>
      <c r="U466" s="3">
        <v>1.1478000000000001E-14</v>
      </c>
      <c r="V466" s="3">
        <v>5.2025300000000001E-14</v>
      </c>
      <c r="W466" s="3">
        <v>4.7034899999999998E-14</v>
      </c>
      <c r="X466" s="35">
        <v>3.3685500000000002E-14</v>
      </c>
      <c r="Z466" s="6"/>
      <c r="AA466" s="3">
        <v>3.7428299999999999E-16</v>
      </c>
      <c r="AB466" s="3">
        <v>2.9817899999999999E-14</v>
      </c>
      <c r="AC466" s="3">
        <v>3.5681700000000002E-14</v>
      </c>
      <c r="AD466" s="30">
        <v>3.51826E-14</v>
      </c>
      <c r="AF466" s="6"/>
      <c r="AG466" s="3"/>
      <c r="AH466" s="3"/>
      <c r="AI466" s="3">
        <v>2.4952199999999999E-16</v>
      </c>
      <c r="AJ466" s="30"/>
      <c r="AL466" s="6"/>
      <c r="AM466" s="3"/>
      <c r="AN466" s="3"/>
      <c r="AO466" s="3"/>
      <c r="AP466" s="30"/>
      <c r="AR466" s="6"/>
      <c r="AS466" s="3">
        <v>1.24761E-15</v>
      </c>
      <c r="AT466" s="3">
        <v>8.7332699999999998E-16</v>
      </c>
      <c r="AU466" s="30">
        <v>8.7332699999999998E-16</v>
      </c>
      <c r="AV466" s="3">
        <v>1.3723700000000001E-15</v>
      </c>
    </row>
    <row r="467" spans="3:48" x14ac:dyDescent="0.25">
      <c r="C467" s="31">
        <v>6.0010099999999996E-14</v>
      </c>
      <c r="D467" s="5">
        <v>5.1089599999999999E-13</v>
      </c>
      <c r="E467" s="3">
        <v>5.1364099999999999E-13</v>
      </c>
      <c r="F467" s="30">
        <v>5.1426500000000003E-13</v>
      </c>
      <c r="H467" s="2"/>
      <c r="I467" s="3">
        <v>1.6094199999999999E-14</v>
      </c>
      <c r="J467" s="3">
        <v>6.525E-14</v>
      </c>
      <c r="K467" s="3">
        <v>7.03652E-14</v>
      </c>
      <c r="L467" s="30">
        <v>5.9011900000000004E-14</v>
      </c>
      <c r="N467" s="6"/>
      <c r="O467" s="3">
        <v>5.9885300000000003E-15</v>
      </c>
      <c r="P467" s="3">
        <v>6.1507199999999994E-14</v>
      </c>
      <c r="Q467" s="3">
        <v>6.0134799999999999E-14</v>
      </c>
      <c r="R467" s="30">
        <v>6.7121399999999996E-14</v>
      </c>
      <c r="T467" s="6"/>
      <c r="U467" s="3">
        <v>1.1478000000000001E-14</v>
      </c>
      <c r="V467" s="3">
        <v>5.1401500000000002E-14</v>
      </c>
      <c r="W467" s="3">
        <v>4.7034899999999998E-14</v>
      </c>
      <c r="X467" s="35">
        <v>3.3685500000000002E-14</v>
      </c>
      <c r="Z467" s="6"/>
      <c r="AA467" s="3">
        <v>3.7428299999999999E-16</v>
      </c>
      <c r="AB467" s="3">
        <v>2.8445499999999997E-14</v>
      </c>
      <c r="AC467" s="3">
        <v>3.5307399999999998E-14</v>
      </c>
      <c r="AD467" s="30">
        <v>3.5057899999999997E-14</v>
      </c>
      <c r="AF467" s="6"/>
      <c r="AG467" s="3"/>
      <c r="AH467" s="3"/>
      <c r="AI467" s="3">
        <v>2.4952199999999999E-16</v>
      </c>
      <c r="AJ467" s="30"/>
      <c r="AL467" s="6"/>
      <c r="AM467" s="3"/>
      <c r="AN467" s="3"/>
      <c r="AO467" s="3"/>
      <c r="AP467" s="30"/>
      <c r="AR467" s="6"/>
      <c r="AS467" s="3">
        <v>1.24761E-15</v>
      </c>
      <c r="AT467" s="3">
        <v>8.7332699999999998E-16</v>
      </c>
      <c r="AU467" s="30">
        <v>1.24761E-16</v>
      </c>
      <c r="AV467" s="3">
        <v>1.3723700000000001E-15</v>
      </c>
    </row>
    <row r="468" spans="3:48" x14ac:dyDescent="0.25">
      <c r="C468" s="31">
        <v>5.9885299999999998E-14</v>
      </c>
      <c r="D468" s="5">
        <v>5.1027300000000002E-13</v>
      </c>
      <c r="E468" s="3">
        <v>5.1289299999999996E-13</v>
      </c>
      <c r="F468" s="30">
        <v>5.1413999999999997E-13</v>
      </c>
      <c r="H468" s="2"/>
      <c r="I468" s="3">
        <v>1.5969400000000001E-14</v>
      </c>
      <c r="J468" s="3">
        <v>6.4750900000000004E-14</v>
      </c>
      <c r="K468" s="3">
        <v>7.03652E-14</v>
      </c>
      <c r="L468" s="30">
        <v>5.8762400000000004E-14</v>
      </c>
      <c r="N468" s="6"/>
      <c r="O468" s="3">
        <v>5.9885300000000003E-15</v>
      </c>
      <c r="P468" s="3">
        <v>6.0509099999999997E-14</v>
      </c>
      <c r="Q468" s="3">
        <v>5.9011999999999999E-14</v>
      </c>
      <c r="R468" s="30">
        <v>6.6871899999999995E-14</v>
      </c>
      <c r="T468" s="6"/>
      <c r="U468" s="3">
        <v>1.1478000000000001E-14</v>
      </c>
      <c r="V468" s="3">
        <v>5.1276799999999999E-14</v>
      </c>
      <c r="W468" s="3">
        <v>4.69101E-14</v>
      </c>
      <c r="X468" s="35">
        <v>3.23131E-14</v>
      </c>
      <c r="Z468" s="6"/>
      <c r="AA468" s="3">
        <v>3.7428299999999999E-16</v>
      </c>
      <c r="AB468" s="3">
        <v>2.6574100000000001E-14</v>
      </c>
      <c r="AC468" s="3">
        <v>3.4184499999999997E-14</v>
      </c>
      <c r="AD468" s="30">
        <v>3.2687399999999999E-14</v>
      </c>
      <c r="AF468" s="6"/>
      <c r="AG468" s="3"/>
      <c r="AH468" s="3"/>
      <c r="AI468" s="3">
        <v>2.4952199999999999E-16</v>
      </c>
      <c r="AJ468" s="30"/>
      <c r="AL468" s="6"/>
      <c r="AM468" s="3"/>
      <c r="AN468" s="3"/>
      <c r="AO468" s="3"/>
      <c r="AP468" s="30"/>
      <c r="AR468" s="6"/>
      <c r="AS468" s="3">
        <v>1.24761E-15</v>
      </c>
      <c r="AT468" s="3">
        <v>8.7332699999999998E-16</v>
      </c>
      <c r="AU468" s="30">
        <v>4.9904399999999999E-16</v>
      </c>
      <c r="AV468" s="3">
        <v>1.3723700000000001E-15</v>
      </c>
    </row>
    <row r="469" spans="3:48" x14ac:dyDescent="0.25">
      <c r="C469" s="31">
        <v>5.9635799999999998E-14</v>
      </c>
      <c r="D469" s="5">
        <v>5.0989800000000004E-13</v>
      </c>
      <c r="E469" s="3">
        <v>5.1164499999999999E-13</v>
      </c>
      <c r="F469" s="30">
        <v>5.1401500000000001E-13</v>
      </c>
      <c r="H469" s="2"/>
      <c r="I469" s="3">
        <v>1.58446E-14</v>
      </c>
      <c r="J469" s="3">
        <v>6.43767E-14</v>
      </c>
      <c r="K469" s="3">
        <v>7.0240400000000003E-14</v>
      </c>
      <c r="L469" s="30">
        <v>5.8138600000000005E-14</v>
      </c>
      <c r="N469" s="6"/>
      <c r="O469" s="3">
        <v>5.9885300000000003E-15</v>
      </c>
      <c r="P469" s="3">
        <v>6.0134799999999999E-14</v>
      </c>
      <c r="Q469" s="3">
        <v>5.8887200000000001E-14</v>
      </c>
      <c r="R469" s="30">
        <v>6.54995E-14</v>
      </c>
      <c r="T469" s="6"/>
      <c r="U469" s="3">
        <v>1.1353299999999999E-14</v>
      </c>
      <c r="V469" s="3">
        <v>5.0777700000000003E-14</v>
      </c>
      <c r="W469" s="3">
        <v>4.5912000000000003E-14</v>
      </c>
      <c r="X469" s="35">
        <v>3.23131E-14</v>
      </c>
      <c r="Z469" s="6"/>
      <c r="AA469" s="3">
        <v>3.7428299999999999E-16</v>
      </c>
      <c r="AB469" s="3">
        <v>2.6574100000000001E-14</v>
      </c>
      <c r="AC469" s="3">
        <v>3.3311199999999997E-14</v>
      </c>
      <c r="AD469" s="30">
        <v>3.0566500000000002E-14</v>
      </c>
      <c r="AF469" s="6"/>
      <c r="AG469" s="3"/>
      <c r="AH469" s="3"/>
      <c r="AI469" s="3">
        <v>2.4952199999999999E-16</v>
      </c>
      <c r="AJ469" s="30"/>
      <c r="AL469" s="6"/>
      <c r="AM469" s="3"/>
      <c r="AN469" s="3"/>
      <c r="AO469" s="3"/>
      <c r="AP469" s="30"/>
      <c r="AR469" s="6"/>
      <c r="AS469" s="3">
        <v>1.24761E-15</v>
      </c>
      <c r="AT469" s="3">
        <v>8.7332699999999998E-16</v>
      </c>
      <c r="AU469" s="30">
        <v>3.7428299999999999E-16</v>
      </c>
      <c r="AV469" s="3">
        <v>1.3723700000000001E-15</v>
      </c>
    </row>
    <row r="470" spans="3:48" x14ac:dyDescent="0.25">
      <c r="C470" s="31">
        <v>5.9386299999999997E-14</v>
      </c>
      <c r="D470" s="5">
        <v>5.0391000000000002E-13</v>
      </c>
      <c r="E470" s="3">
        <v>5.1114600000000001E-13</v>
      </c>
      <c r="F470" s="30">
        <v>5.12019E-13</v>
      </c>
      <c r="H470" s="2"/>
      <c r="I470" s="3">
        <v>1.58446E-14</v>
      </c>
      <c r="J470" s="3">
        <v>6.3877600000000004E-14</v>
      </c>
      <c r="K470" s="3">
        <v>6.9866100000000005E-14</v>
      </c>
      <c r="L470" s="30">
        <v>5.6017700000000001E-14</v>
      </c>
      <c r="N470" s="6"/>
      <c r="O470" s="3">
        <v>5.8637700000000002E-15</v>
      </c>
      <c r="P470" s="3">
        <v>5.8512900000000003E-14</v>
      </c>
      <c r="Q470" s="3">
        <v>5.8263400000000002E-14</v>
      </c>
      <c r="R470" s="30">
        <v>6.5125200000000002E-14</v>
      </c>
      <c r="T470" s="6"/>
      <c r="U470" s="3">
        <v>1.1103699999999999E-14</v>
      </c>
      <c r="V470" s="3">
        <v>4.9654900000000003E-14</v>
      </c>
      <c r="W470" s="3">
        <v>4.5413000000000002E-14</v>
      </c>
      <c r="X470" s="35">
        <v>3.1938800000000002E-14</v>
      </c>
      <c r="Z470" s="6"/>
      <c r="AA470" s="3">
        <v>3.7428299999999999E-16</v>
      </c>
      <c r="AB470" s="3">
        <v>2.60751E-14</v>
      </c>
      <c r="AC470" s="3">
        <v>3.2812200000000003E-14</v>
      </c>
      <c r="AD470" s="30">
        <v>2.8944599999999999E-14</v>
      </c>
      <c r="AF470" s="6"/>
      <c r="AG470" s="3"/>
      <c r="AH470" s="3"/>
      <c r="AI470" s="3">
        <v>2.4952199999999999E-16</v>
      </c>
      <c r="AJ470" s="30"/>
      <c r="AL470" s="6"/>
      <c r="AM470" s="3"/>
      <c r="AN470" s="3"/>
      <c r="AO470" s="3"/>
      <c r="AP470" s="30"/>
      <c r="AR470" s="6"/>
      <c r="AS470" s="3">
        <v>1.24761E-15</v>
      </c>
      <c r="AT470" s="3">
        <v>8.7332699999999998E-16</v>
      </c>
      <c r="AU470" s="30">
        <v>1.3723700000000001E-15</v>
      </c>
      <c r="AV470" s="3">
        <v>1.3723700000000001E-15</v>
      </c>
    </row>
    <row r="471" spans="3:48" x14ac:dyDescent="0.25">
      <c r="C471" s="31">
        <v>5.9011999999999999E-14</v>
      </c>
      <c r="D471" s="5">
        <v>4.9817099999999996E-13</v>
      </c>
      <c r="E471" s="3">
        <v>5.10772E-13</v>
      </c>
      <c r="F471" s="30">
        <v>5.1139499999999996E-13</v>
      </c>
      <c r="H471" s="2"/>
      <c r="I471" s="3">
        <v>1.57199E-14</v>
      </c>
      <c r="J471" s="3">
        <v>6.3877600000000004E-14</v>
      </c>
      <c r="K471" s="3">
        <v>6.8618499999999994E-14</v>
      </c>
      <c r="L471" s="30">
        <v>5.5144300000000001E-14</v>
      </c>
      <c r="N471" s="6"/>
      <c r="O471" s="3">
        <v>5.8637700000000002E-15</v>
      </c>
      <c r="P471" s="3">
        <v>5.7140499999999995E-14</v>
      </c>
      <c r="Q471" s="3">
        <v>5.8263400000000002E-14</v>
      </c>
      <c r="R471" s="30">
        <v>6.4501400000000003E-14</v>
      </c>
      <c r="T471" s="6"/>
      <c r="U471" s="3">
        <v>1.0979E-14</v>
      </c>
      <c r="V471" s="3">
        <v>4.7284399999999998E-14</v>
      </c>
      <c r="W471" s="3">
        <v>4.5038699999999997E-14</v>
      </c>
      <c r="X471" s="35">
        <v>3.1938800000000002E-14</v>
      </c>
      <c r="Z471" s="6"/>
      <c r="AA471" s="3">
        <v>3.7428299999999999E-16</v>
      </c>
      <c r="AB471" s="3">
        <v>2.5825599999999999E-14</v>
      </c>
      <c r="AC471" s="3">
        <v>3.2562700000000002E-14</v>
      </c>
      <c r="AD471" s="30">
        <v>2.6948399999999999E-14</v>
      </c>
      <c r="AF471" s="6"/>
      <c r="AG471" s="3"/>
      <c r="AH471" s="3"/>
      <c r="AI471" s="3">
        <v>2.4952199999999999E-16</v>
      </c>
      <c r="AJ471" s="30"/>
      <c r="AL471" s="6"/>
      <c r="AM471" s="3"/>
      <c r="AN471" s="3"/>
      <c r="AO471" s="3"/>
      <c r="AP471" s="30"/>
      <c r="AR471" s="6"/>
      <c r="AS471" s="3">
        <v>1.24761E-15</v>
      </c>
      <c r="AT471" s="3">
        <v>8.7332699999999998E-16</v>
      </c>
      <c r="AU471" s="30">
        <v>9.9808799999999998E-16</v>
      </c>
      <c r="AV471" s="3">
        <v>1.3723700000000001E-15</v>
      </c>
    </row>
    <row r="472" spans="3:48" x14ac:dyDescent="0.25">
      <c r="C472" s="31">
        <v>5.8637700000000001E-14</v>
      </c>
      <c r="D472" s="5">
        <v>4.98046E-13</v>
      </c>
      <c r="E472" s="3">
        <v>5.0790200000000003E-13</v>
      </c>
      <c r="F472" s="30">
        <v>5.1127099999999997E-13</v>
      </c>
      <c r="H472" s="2"/>
      <c r="I472" s="3">
        <v>1.57199E-14</v>
      </c>
      <c r="J472" s="3">
        <v>6.3628100000000004E-14</v>
      </c>
      <c r="K472" s="3">
        <v>6.7870000000000005E-14</v>
      </c>
      <c r="L472" s="30">
        <v>5.46453E-14</v>
      </c>
      <c r="N472" s="6"/>
      <c r="O472" s="3">
        <v>5.8637700000000002E-15</v>
      </c>
      <c r="P472" s="3">
        <v>5.6516700000000003E-14</v>
      </c>
      <c r="Q472" s="3">
        <v>5.8138600000000005E-14</v>
      </c>
      <c r="R472" s="30">
        <v>6.3253800000000006E-14</v>
      </c>
      <c r="T472" s="6"/>
      <c r="U472" s="3">
        <v>1.0979E-14</v>
      </c>
      <c r="V472" s="3">
        <v>4.7034899999999998E-14</v>
      </c>
      <c r="W472" s="3">
        <v>4.4664399999999999E-14</v>
      </c>
      <c r="X472" s="35">
        <v>3.1190199999999999E-14</v>
      </c>
      <c r="Z472" s="6"/>
      <c r="AA472" s="3">
        <v>3.7428299999999999E-16</v>
      </c>
      <c r="AB472" s="3">
        <v>2.5576000000000001E-14</v>
      </c>
      <c r="AC472" s="3">
        <v>3.1938800000000002E-14</v>
      </c>
      <c r="AD472" s="30">
        <v>2.6823600000000001E-14</v>
      </c>
      <c r="AF472" s="6"/>
      <c r="AG472" s="3"/>
      <c r="AH472" s="3"/>
      <c r="AI472" s="3">
        <v>2.4952199999999999E-16</v>
      </c>
      <c r="AJ472" s="30"/>
      <c r="AL472" s="6"/>
      <c r="AM472" s="3"/>
      <c r="AN472" s="3"/>
      <c r="AO472" s="3"/>
      <c r="AP472" s="30"/>
      <c r="AR472" s="6"/>
      <c r="AS472" s="3">
        <v>1.24761E-15</v>
      </c>
      <c r="AT472" s="3">
        <v>8.7332699999999998E-16</v>
      </c>
      <c r="AU472" s="30">
        <v>1.24761E-16</v>
      </c>
      <c r="AV472" s="3">
        <v>1.3723700000000001E-15</v>
      </c>
    </row>
    <row r="473" spans="3:48" x14ac:dyDescent="0.25">
      <c r="C473" s="31">
        <v>5.8512900000000003E-14</v>
      </c>
      <c r="D473" s="5">
        <v>4.9717300000000001E-13</v>
      </c>
      <c r="E473" s="3">
        <v>5.07154E-13</v>
      </c>
      <c r="F473" s="30">
        <v>5.0790200000000003E-13</v>
      </c>
      <c r="H473" s="2"/>
      <c r="I473" s="3">
        <v>1.54704E-14</v>
      </c>
      <c r="J473" s="3">
        <v>6.3004300000000005E-14</v>
      </c>
      <c r="K473" s="3">
        <v>6.7620399999999997E-14</v>
      </c>
      <c r="L473" s="30">
        <v>5.3772E-14</v>
      </c>
      <c r="N473" s="6"/>
      <c r="O473" s="3">
        <v>5.8637700000000002E-15</v>
      </c>
      <c r="P473" s="3">
        <v>5.6392E-14</v>
      </c>
      <c r="Q473" s="3">
        <v>5.6516700000000003E-14</v>
      </c>
      <c r="R473" s="30">
        <v>6.2131000000000006E-14</v>
      </c>
      <c r="T473" s="6"/>
      <c r="U473" s="3">
        <v>1.0979E-14</v>
      </c>
      <c r="V473" s="3">
        <v>4.6660599999999999E-14</v>
      </c>
      <c r="W473" s="3">
        <v>4.37911E-14</v>
      </c>
      <c r="X473" s="35">
        <v>3.1065500000000003E-14</v>
      </c>
      <c r="Z473" s="6"/>
      <c r="AA473" s="3">
        <v>3.7428299999999999E-16</v>
      </c>
      <c r="AB473" s="3">
        <v>2.3829399999999999E-14</v>
      </c>
      <c r="AC473" s="3">
        <v>3.1564599999999999E-14</v>
      </c>
      <c r="AD473" s="30">
        <v>2.63246E-14</v>
      </c>
      <c r="AF473" s="6"/>
      <c r="AG473" s="3"/>
      <c r="AH473" s="3"/>
      <c r="AI473" s="3">
        <v>2.4952199999999999E-16</v>
      </c>
      <c r="AJ473" s="30"/>
      <c r="AL473" s="6"/>
      <c r="AM473" s="3"/>
      <c r="AN473" s="3"/>
      <c r="AO473" s="3"/>
      <c r="AP473" s="30"/>
      <c r="AR473" s="6"/>
      <c r="AS473" s="3">
        <v>1.24761E-15</v>
      </c>
      <c r="AT473" s="3">
        <v>8.7332699999999998E-16</v>
      </c>
      <c r="AU473" s="30">
        <v>4.1171100000000004E-15</v>
      </c>
      <c r="AV473" s="3">
        <v>1.3723700000000001E-15</v>
      </c>
    </row>
    <row r="474" spans="3:48" x14ac:dyDescent="0.25">
      <c r="C474" s="31">
        <v>5.8263400000000002E-14</v>
      </c>
      <c r="D474" s="5">
        <v>4.9604999999999999E-13</v>
      </c>
      <c r="E474" s="3">
        <v>5.0677900000000002E-13</v>
      </c>
      <c r="F474" s="30">
        <v>5.0677900000000002E-13</v>
      </c>
      <c r="H474" s="2"/>
      <c r="I474" s="3">
        <v>1.54704E-14</v>
      </c>
      <c r="J474" s="3">
        <v>6.1881399999999998E-14</v>
      </c>
      <c r="K474" s="3">
        <v>6.6248099999999997E-14</v>
      </c>
      <c r="L474" s="30">
        <v>5.3272899999999998E-14</v>
      </c>
      <c r="N474" s="6"/>
      <c r="O474" s="3">
        <v>5.7390100000000001E-15</v>
      </c>
      <c r="P474" s="3">
        <v>5.6017700000000001E-14</v>
      </c>
      <c r="Q474" s="3">
        <v>5.6516700000000003E-14</v>
      </c>
      <c r="R474" s="30">
        <v>6.1257700000000006E-14</v>
      </c>
      <c r="T474" s="6"/>
      <c r="U474" s="3">
        <v>1.08542E-14</v>
      </c>
      <c r="V474" s="3">
        <v>4.6411099999999999E-14</v>
      </c>
      <c r="W474" s="3">
        <v>4.3666300000000002E-14</v>
      </c>
      <c r="X474" s="35">
        <v>3.03169E-14</v>
      </c>
      <c r="Z474" s="6"/>
      <c r="AA474" s="3">
        <v>3.7428299999999999E-16</v>
      </c>
      <c r="AB474" s="3">
        <v>2.32056E-14</v>
      </c>
      <c r="AC474" s="3">
        <v>3.09408E-14</v>
      </c>
      <c r="AD474" s="30">
        <v>2.5576000000000001E-14</v>
      </c>
      <c r="AF474" s="6"/>
      <c r="AG474" s="3"/>
      <c r="AH474" s="3"/>
      <c r="AI474" s="3">
        <v>2.4952199999999999E-16</v>
      </c>
      <c r="AJ474" s="30"/>
      <c r="AL474" s="6"/>
      <c r="AM474" s="3"/>
      <c r="AN474" s="3"/>
      <c r="AO474" s="3"/>
      <c r="AP474" s="30"/>
      <c r="AR474" s="6"/>
      <c r="AS474" s="3">
        <v>1.24761E-15</v>
      </c>
      <c r="AT474" s="3">
        <v>8.7332699999999998E-16</v>
      </c>
      <c r="AU474" s="30">
        <v>8.7332699999999998E-16</v>
      </c>
      <c r="AV474" s="3">
        <v>1.3723700000000001E-15</v>
      </c>
    </row>
    <row r="475" spans="3:48" x14ac:dyDescent="0.25">
      <c r="C475" s="31">
        <v>5.8138600000000005E-14</v>
      </c>
      <c r="D475" s="5">
        <v>4.9492699999999998E-13</v>
      </c>
      <c r="E475" s="3">
        <v>5.0590600000000003E-13</v>
      </c>
      <c r="F475" s="30">
        <v>5.0465800000000005E-13</v>
      </c>
      <c r="H475" s="2"/>
      <c r="I475" s="3">
        <v>1.5345599999999999E-14</v>
      </c>
      <c r="J475" s="3">
        <v>5.9511E-14</v>
      </c>
      <c r="K475" s="3">
        <v>6.2754800000000004E-14</v>
      </c>
      <c r="L475" s="30">
        <v>5.17758E-14</v>
      </c>
      <c r="N475" s="6"/>
      <c r="O475" s="3">
        <v>5.7390100000000001E-15</v>
      </c>
      <c r="P475" s="3">
        <v>5.5892899999999998E-14</v>
      </c>
      <c r="Q475" s="3">
        <v>5.6142499999999999E-14</v>
      </c>
      <c r="R475" s="30">
        <v>6.1008099999999998E-14</v>
      </c>
      <c r="T475" s="6"/>
      <c r="U475" s="3">
        <v>1.08542E-14</v>
      </c>
      <c r="V475" s="3">
        <v>4.4165399999999998E-14</v>
      </c>
      <c r="W475" s="3">
        <v>4.3167300000000001E-14</v>
      </c>
      <c r="X475" s="35">
        <v>2.9443600000000001E-14</v>
      </c>
      <c r="Z475" s="6"/>
      <c r="AA475" s="3">
        <v>3.7428299999999999E-16</v>
      </c>
      <c r="AB475" s="3">
        <v>2.3080799999999999E-14</v>
      </c>
      <c r="AC475" s="3">
        <v>3.0067399999999999E-14</v>
      </c>
      <c r="AD475" s="30">
        <v>2.4952199999999999E-14</v>
      </c>
      <c r="AF475" s="6"/>
      <c r="AG475" s="3"/>
      <c r="AH475" s="3"/>
      <c r="AI475" s="3">
        <v>2.4952199999999999E-16</v>
      </c>
      <c r="AJ475" s="30"/>
      <c r="AL475" s="6"/>
      <c r="AM475" s="3"/>
      <c r="AN475" s="3"/>
      <c r="AO475" s="3"/>
      <c r="AP475" s="30"/>
      <c r="AR475" s="6"/>
      <c r="AS475" s="3">
        <v>1.24761E-15</v>
      </c>
      <c r="AT475" s="3">
        <v>8.7332699999999998E-16</v>
      </c>
      <c r="AU475" s="30">
        <v>3.7428299999999999E-16</v>
      </c>
      <c r="AV475" s="3">
        <v>1.3723700000000001E-15</v>
      </c>
    </row>
    <row r="476" spans="3:48" x14ac:dyDescent="0.25">
      <c r="C476" s="31">
        <v>5.8138600000000005E-14</v>
      </c>
      <c r="D476" s="5">
        <v>4.9467800000000003E-13</v>
      </c>
      <c r="E476" s="3">
        <v>5.0378499999999996E-13</v>
      </c>
      <c r="F476" s="30">
        <v>5.04409E-13</v>
      </c>
      <c r="H476" s="2"/>
      <c r="I476" s="3">
        <v>1.5345599999999999E-14</v>
      </c>
      <c r="J476" s="3">
        <v>5.9136700000000002E-14</v>
      </c>
      <c r="K476" s="3">
        <v>6.1631899999999997E-14</v>
      </c>
      <c r="L476" s="30">
        <v>5.1651000000000003E-14</v>
      </c>
      <c r="N476" s="6"/>
      <c r="O476" s="3">
        <v>5.7390100000000001E-15</v>
      </c>
      <c r="P476" s="3">
        <v>5.46453E-14</v>
      </c>
      <c r="Q476" s="3">
        <v>5.4770099999999998E-14</v>
      </c>
      <c r="R476" s="30">
        <v>6.1008099999999998E-14</v>
      </c>
      <c r="T476" s="6"/>
      <c r="U476" s="3">
        <v>1.08542E-14</v>
      </c>
      <c r="V476" s="3">
        <v>4.3915899999999997E-14</v>
      </c>
      <c r="W476" s="3">
        <v>4.0172999999999997E-14</v>
      </c>
      <c r="X476" s="35">
        <v>2.9318800000000003E-14</v>
      </c>
      <c r="Z476" s="6"/>
      <c r="AA476" s="3">
        <v>3.7428299999999999E-16</v>
      </c>
      <c r="AB476" s="3">
        <v>2.2706500000000001E-14</v>
      </c>
      <c r="AC476" s="3">
        <v>2.8196E-14</v>
      </c>
      <c r="AD476" s="30">
        <v>2.34551E-14</v>
      </c>
      <c r="AF476" s="6"/>
      <c r="AG476" s="3"/>
      <c r="AH476" s="3"/>
      <c r="AI476" s="3">
        <v>2.4952199999999999E-16</v>
      </c>
      <c r="AJ476" s="30"/>
      <c r="AL476" s="6"/>
      <c r="AM476" s="3"/>
      <c r="AN476" s="3"/>
      <c r="AO476" s="3"/>
      <c r="AP476" s="30"/>
      <c r="AR476" s="6"/>
      <c r="AS476" s="3">
        <v>1.24761E-15</v>
      </c>
      <c r="AT476" s="3">
        <v>8.7332699999999998E-16</v>
      </c>
      <c r="AU476" s="30">
        <v>3.8675900000000002E-15</v>
      </c>
      <c r="AV476" s="3">
        <v>1.3723700000000001E-15</v>
      </c>
    </row>
    <row r="477" spans="3:48" x14ac:dyDescent="0.25">
      <c r="C477" s="31">
        <v>5.8138600000000005E-14</v>
      </c>
      <c r="D477" s="5">
        <v>4.9343000000000005E-13</v>
      </c>
      <c r="E477" s="3">
        <v>5.0328599999999998E-13</v>
      </c>
      <c r="F477" s="30">
        <v>5.0415899999999997E-13</v>
      </c>
      <c r="H477" s="2"/>
      <c r="I477" s="3">
        <v>1.5220800000000002E-14</v>
      </c>
      <c r="J477" s="3">
        <v>5.9011900000000004E-14</v>
      </c>
      <c r="K477" s="3">
        <v>6.1008099999999998E-14</v>
      </c>
      <c r="L477" s="30">
        <v>5.1276799999999999E-14</v>
      </c>
      <c r="N477" s="6"/>
      <c r="O477" s="3">
        <v>5.6142500000000001E-15</v>
      </c>
      <c r="P477" s="3">
        <v>5.3896799999999998E-14</v>
      </c>
      <c r="Q477" s="3">
        <v>5.4146299999999999E-14</v>
      </c>
      <c r="R477" s="30">
        <v>5.9885299999999998E-14</v>
      </c>
      <c r="T477" s="6"/>
      <c r="U477" s="3">
        <v>1.08542E-14</v>
      </c>
      <c r="V477" s="3">
        <v>4.37911E-14</v>
      </c>
      <c r="W477" s="3">
        <v>3.9050199999999997E-14</v>
      </c>
      <c r="X477" s="35">
        <v>2.91941E-14</v>
      </c>
      <c r="Z477" s="6"/>
      <c r="AA477" s="3">
        <v>3.7428299999999999E-16</v>
      </c>
      <c r="AB477" s="3">
        <v>2.22075E-14</v>
      </c>
      <c r="AC477" s="3">
        <v>2.80713E-14</v>
      </c>
      <c r="AD477" s="30">
        <v>2.2956000000000001E-14</v>
      </c>
      <c r="AF477" s="6"/>
      <c r="AG477" s="3"/>
      <c r="AH477" s="3"/>
      <c r="AI477" s="3">
        <v>2.4952199999999999E-16</v>
      </c>
      <c r="AJ477" s="30"/>
      <c r="AL477" s="6"/>
      <c r="AM477" s="3"/>
      <c r="AN477" s="3"/>
      <c r="AO477" s="3"/>
      <c r="AP477" s="30"/>
      <c r="AR477" s="6"/>
      <c r="AS477" s="3">
        <v>1.24761E-15</v>
      </c>
      <c r="AT477" s="3">
        <v>8.7332699999999998E-16</v>
      </c>
      <c r="AU477" s="30">
        <v>2.0959899999999999E-14</v>
      </c>
      <c r="AV477" s="3">
        <v>1.3723700000000001E-15</v>
      </c>
    </row>
    <row r="478" spans="3:48" x14ac:dyDescent="0.25">
      <c r="C478" s="31">
        <v>5.7889100000000004E-14</v>
      </c>
      <c r="D478" s="5">
        <v>4.9255699999999996E-13</v>
      </c>
      <c r="E478" s="3">
        <v>4.9966799999999999E-13</v>
      </c>
      <c r="F478" s="30">
        <v>5.0391000000000002E-13</v>
      </c>
      <c r="H478" s="2"/>
      <c r="I478" s="3">
        <v>1.5220800000000002E-14</v>
      </c>
      <c r="J478" s="3">
        <v>5.8637600000000006E-14</v>
      </c>
      <c r="K478" s="3">
        <v>6.0883300000000001E-14</v>
      </c>
      <c r="L478" s="30">
        <v>5.0902500000000001E-14</v>
      </c>
      <c r="N478" s="6"/>
      <c r="O478" s="3">
        <v>5.6142500000000001E-15</v>
      </c>
      <c r="P478" s="3">
        <v>5.3647200000000003E-14</v>
      </c>
      <c r="Q478" s="3">
        <v>5.4146299999999999E-14</v>
      </c>
      <c r="R478" s="30">
        <v>5.9885299999999998E-14</v>
      </c>
      <c r="T478" s="6"/>
      <c r="U478" s="3">
        <v>1.08542E-14</v>
      </c>
      <c r="V478" s="3">
        <v>4.3666300000000002E-14</v>
      </c>
      <c r="W478" s="3">
        <v>3.8426399999999998E-14</v>
      </c>
      <c r="X478" s="35">
        <v>2.91941E-14</v>
      </c>
      <c r="Z478" s="6"/>
      <c r="AA478" s="3">
        <v>3.7428299999999999E-16</v>
      </c>
      <c r="AB478" s="3">
        <v>2.2082699999999999E-14</v>
      </c>
      <c r="AC478" s="3">
        <v>2.5201699999999999E-14</v>
      </c>
      <c r="AD478" s="30">
        <v>2.2332199999999999E-14</v>
      </c>
      <c r="AF478" s="6"/>
      <c r="AG478" s="3"/>
      <c r="AH478" s="3"/>
      <c r="AI478" s="3">
        <v>2.4952199999999999E-16</v>
      </c>
      <c r="AJ478" s="30"/>
      <c r="AL478" s="6"/>
      <c r="AM478" s="3"/>
      <c r="AN478" s="3"/>
      <c r="AO478" s="3"/>
      <c r="AP478" s="30"/>
      <c r="AR478" s="6"/>
      <c r="AS478" s="3">
        <v>1.24761E-15</v>
      </c>
      <c r="AT478" s="3">
        <v>8.7332699999999998E-16</v>
      </c>
      <c r="AU478" s="30">
        <v>2.4952199999999999E-16</v>
      </c>
      <c r="AV478" s="3">
        <v>1.3723700000000001E-15</v>
      </c>
    </row>
    <row r="479" spans="3:48" x14ac:dyDescent="0.25">
      <c r="C479" s="31">
        <v>5.7015800000000005E-14</v>
      </c>
      <c r="D479" s="5">
        <v>4.9205799999999998E-13</v>
      </c>
      <c r="E479" s="3">
        <v>4.9891899999999999E-13</v>
      </c>
      <c r="F479" s="30">
        <v>5.0191400000000002E-13</v>
      </c>
      <c r="H479" s="2"/>
      <c r="I479" s="3">
        <v>1.5220800000000002E-14</v>
      </c>
      <c r="J479" s="3">
        <v>5.8388100000000005E-14</v>
      </c>
      <c r="K479" s="3">
        <v>6.06338E-14</v>
      </c>
      <c r="L479" s="30">
        <v>5.0902500000000001E-14</v>
      </c>
      <c r="N479" s="6"/>
      <c r="O479" s="3">
        <v>5.6142500000000001E-15</v>
      </c>
      <c r="P479" s="3">
        <v>5.3272999999999999E-14</v>
      </c>
      <c r="Q479" s="3">
        <v>5.4021500000000001E-14</v>
      </c>
      <c r="R479" s="30">
        <v>5.7514800000000006E-14</v>
      </c>
      <c r="T479" s="6"/>
      <c r="U479" s="3">
        <v>1.08542E-14</v>
      </c>
      <c r="V479" s="3">
        <v>4.3541599999999999E-14</v>
      </c>
      <c r="W479" s="3">
        <v>3.8301600000000001E-14</v>
      </c>
      <c r="X479" s="35">
        <v>2.7696900000000001E-14</v>
      </c>
      <c r="Z479" s="6"/>
      <c r="AA479" s="3">
        <v>3.7428299999999999E-16</v>
      </c>
      <c r="AB479" s="3">
        <v>2.1708400000000001E-14</v>
      </c>
      <c r="AC479" s="3">
        <v>2.3954099999999998E-14</v>
      </c>
      <c r="AD479" s="30">
        <v>2.1084599999999999E-14</v>
      </c>
      <c r="AF479" s="6"/>
      <c r="AG479" s="3"/>
      <c r="AH479" s="3"/>
      <c r="AI479" s="3">
        <v>2.4952199999999999E-16</v>
      </c>
      <c r="AJ479" s="30"/>
      <c r="AL479" s="6"/>
      <c r="AM479" s="3"/>
      <c r="AN479" s="3"/>
      <c r="AO479" s="3"/>
      <c r="AP479" s="30"/>
      <c r="AR479" s="6"/>
      <c r="AS479" s="3">
        <v>1.1228500000000001E-15</v>
      </c>
      <c r="AT479" s="3">
        <v>8.7332699999999998E-16</v>
      </c>
      <c r="AU479" s="30">
        <v>7.4856599999999998E-16</v>
      </c>
      <c r="AV479" s="3">
        <v>1.3723700000000001E-15</v>
      </c>
    </row>
    <row r="480" spans="3:48" x14ac:dyDescent="0.25">
      <c r="C480" s="31">
        <v>5.66415E-14</v>
      </c>
      <c r="D480" s="5">
        <v>4.9155800000000003E-13</v>
      </c>
      <c r="E480" s="3">
        <v>4.9867000000000003E-13</v>
      </c>
      <c r="F480" s="30">
        <v>5.0191400000000002E-13</v>
      </c>
      <c r="H480" s="2"/>
      <c r="I480" s="3">
        <v>1.5220800000000002E-14</v>
      </c>
      <c r="J480" s="3">
        <v>5.6766199999999997E-14</v>
      </c>
      <c r="K480" s="3">
        <v>6.0384299999999999E-14</v>
      </c>
      <c r="L480" s="30">
        <v>5.0777700000000003E-14</v>
      </c>
      <c r="N480" s="6"/>
      <c r="O480" s="3">
        <v>5.4894800000000002E-15</v>
      </c>
      <c r="P480" s="3">
        <v>5.1651099999999997E-14</v>
      </c>
      <c r="Q480" s="3">
        <v>5.3896799999999998E-14</v>
      </c>
      <c r="R480" s="30">
        <v>5.6267200000000002E-14</v>
      </c>
      <c r="T480" s="6"/>
      <c r="U480" s="3">
        <v>1.07294E-14</v>
      </c>
      <c r="V480" s="3">
        <v>4.3167300000000001E-14</v>
      </c>
      <c r="W480" s="3">
        <v>3.80521E-14</v>
      </c>
      <c r="X480" s="35">
        <v>2.73227E-14</v>
      </c>
      <c r="Z480" s="6"/>
      <c r="AA480" s="3">
        <v>3.7428299999999999E-16</v>
      </c>
      <c r="AB480" s="3">
        <v>2.13342E-14</v>
      </c>
      <c r="AC480" s="3">
        <v>2.2457E-14</v>
      </c>
      <c r="AD480" s="30">
        <v>2.0585600000000001E-14</v>
      </c>
      <c r="AF480" s="6"/>
      <c r="AG480" s="3"/>
      <c r="AH480" s="3"/>
      <c r="AI480" s="3">
        <v>2.4952199999999999E-16</v>
      </c>
      <c r="AJ480" s="30"/>
      <c r="AL480" s="6"/>
      <c r="AM480" s="3"/>
      <c r="AN480" s="3"/>
      <c r="AO480" s="3"/>
      <c r="AP480" s="30"/>
      <c r="AR480" s="6"/>
      <c r="AS480" s="3">
        <v>1.1228500000000001E-15</v>
      </c>
      <c r="AT480" s="3">
        <v>8.7332699999999998E-16</v>
      </c>
      <c r="AU480" s="30">
        <v>8.7332699999999998E-16</v>
      </c>
      <c r="AV480" s="3">
        <v>1.3723700000000001E-15</v>
      </c>
    </row>
    <row r="481" spans="3:48" x14ac:dyDescent="0.25">
      <c r="C481" s="31">
        <v>5.6017700000000001E-14</v>
      </c>
      <c r="D481" s="5">
        <v>4.88065E-13</v>
      </c>
      <c r="E481" s="3">
        <v>4.9779700000000004E-13</v>
      </c>
      <c r="F481" s="30">
        <v>4.9767199999999998E-13</v>
      </c>
      <c r="H481" s="2"/>
      <c r="I481" s="3">
        <v>1.5220800000000002E-14</v>
      </c>
      <c r="J481" s="3">
        <v>5.6267200000000002E-14</v>
      </c>
      <c r="K481" s="3">
        <v>6.0384299999999999E-14</v>
      </c>
      <c r="L481" s="30">
        <v>4.9530099999999999E-14</v>
      </c>
      <c r="N481" s="6"/>
      <c r="O481" s="3">
        <v>5.4894800000000002E-15</v>
      </c>
      <c r="P481" s="3">
        <v>5.15263E-14</v>
      </c>
      <c r="Q481" s="3">
        <v>5.2399599999999999E-14</v>
      </c>
      <c r="R481" s="30">
        <v>5.6017700000000001E-14</v>
      </c>
      <c r="T481" s="6"/>
      <c r="U481" s="3">
        <v>1.07294E-14</v>
      </c>
      <c r="V481" s="3">
        <v>4.26683E-14</v>
      </c>
      <c r="W481" s="3">
        <v>3.7802599999999999E-14</v>
      </c>
      <c r="X481" s="35">
        <v>2.6948399999999999E-14</v>
      </c>
      <c r="Z481" s="6"/>
      <c r="AA481" s="3">
        <v>3.7428299999999999E-16</v>
      </c>
      <c r="AB481" s="3">
        <v>2.0211299999999999E-14</v>
      </c>
      <c r="AC481" s="3">
        <v>2.2457E-14</v>
      </c>
      <c r="AD481" s="30">
        <v>2.04608E-14</v>
      </c>
      <c r="AF481" s="6"/>
      <c r="AG481" s="3"/>
      <c r="AH481" s="3"/>
      <c r="AI481" s="3">
        <v>2.4952199999999999E-16</v>
      </c>
      <c r="AJ481" s="30"/>
      <c r="AL481" s="6"/>
      <c r="AM481" s="3"/>
      <c r="AN481" s="3"/>
      <c r="AO481" s="3"/>
      <c r="AP481" s="30"/>
      <c r="AR481" s="6"/>
      <c r="AS481" s="3">
        <v>1.1228500000000001E-15</v>
      </c>
      <c r="AT481" s="3">
        <v>8.7332699999999998E-16</v>
      </c>
      <c r="AU481" s="30">
        <v>1.31798E-12</v>
      </c>
      <c r="AV481" s="3">
        <v>1.3723700000000001E-15</v>
      </c>
    </row>
    <row r="482" spans="3:48" x14ac:dyDescent="0.25">
      <c r="C482" s="31">
        <v>5.5892899999999998E-14</v>
      </c>
      <c r="D482" s="5">
        <v>4.8719200000000001E-13</v>
      </c>
      <c r="E482" s="3">
        <v>4.9654899999999997E-13</v>
      </c>
      <c r="F482" s="30">
        <v>4.97297E-13</v>
      </c>
      <c r="H482" s="2"/>
      <c r="I482" s="3">
        <v>1.5096099999999999E-14</v>
      </c>
      <c r="J482" s="3">
        <v>5.3647200000000003E-14</v>
      </c>
      <c r="K482" s="3">
        <v>6.0259500000000002E-14</v>
      </c>
      <c r="L482" s="30">
        <v>4.9405300000000002E-14</v>
      </c>
      <c r="N482" s="6"/>
      <c r="O482" s="3">
        <v>5.4894800000000002E-15</v>
      </c>
      <c r="P482" s="3">
        <v>5.1276799999999999E-14</v>
      </c>
      <c r="Q482" s="3">
        <v>5.1900599999999998E-14</v>
      </c>
      <c r="R482" s="30">
        <v>5.5019599999999998E-14</v>
      </c>
      <c r="T482" s="6"/>
      <c r="U482" s="3">
        <v>1.06047E-14</v>
      </c>
      <c r="V482" s="3">
        <v>4.2169199999999997E-14</v>
      </c>
      <c r="W482" s="3">
        <v>3.51826E-14</v>
      </c>
      <c r="X482" s="35">
        <v>2.45779E-14</v>
      </c>
      <c r="Z482" s="6"/>
      <c r="AA482" s="3">
        <v>3.7428299999999999E-16</v>
      </c>
      <c r="AB482" s="3">
        <v>1.9961799999999999E-14</v>
      </c>
      <c r="AC482" s="3">
        <v>2.22075E-14</v>
      </c>
      <c r="AD482" s="30">
        <v>2.0211299999999999E-14</v>
      </c>
      <c r="AF482" s="6"/>
      <c r="AG482" s="3"/>
      <c r="AH482" s="3"/>
      <c r="AI482" s="3">
        <v>2.4952199999999999E-16</v>
      </c>
      <c r="AJ482" s="30"/>
      <c r="AL482" s="6"/>
      <c r="AM482" s="3"/>
      <c r="AN482" s="3"/>
      <c r="AO482" s="3"/>
      <c r="AP482" s="30"/>
      <c r="AR482" s="6"/>
      <c r="AS482" s="3">
        <v>1.1228500000000001E-15</v>
      </c>
      <c r="AT482" s="3">
        <v>8.7332699999999998E-16</v>
      </c>
      <c r="AU482" s="30">
        <v>9.1013200000000002E-13</v>
      </c>
      <c r="AV482" s="3">
        <v>1.3723700000000001E-15</v>
      </c>
    </row>
    <row r="483" spans="3:48" x14ac:dyDescent="0.25">
      <c r="C483" s="31">
        <v>5.5643399999999997E-14</v>
      </c>
      <c r="D483" s="5">
        <v>4.8719200000000001E-13</v>
      </c>
      <c r="E483" s="3">
        <v>4.9555100000000002E-13</v>
      </c>
      <c r="F483" s="30">
        <v>4.9692299999999998E-13</v>
      </c>
      <c r="H483" s="2"/>
      <c r="I483" s="3">
        <v>1.4971300000000001E-14</v>
      </c>
      <c r="J483" s="3">
        <v>5.3272899999999998E-14</v>
      </c>
      <c r="K483" s="3">
        <v>6.0134799999999999E-14</v>
      </c>
      <c r="L483" s="30">
        <v>4.8781500000000003E-14</v>
      </c>
      <c r="N483" s="6"/>
      <c r="O483" s="3">
        <v>5.3647200000000001E-15</v>
      </c>
      <c r="P483" s="3">
        <v>5.1276799999999999E-14</v>
      </c>
      <c r="Q483" s="3">
        <v>5.17758E-14</v>
      </c>
      <c r="R483" s="30">
        <v>5.3272999999999999E-14</v>
      </c>
      <c r="T483" s="6"/>
      <c r="U483" s="3">
        <v>1.06047E-14</v>
      </c>
      <c r="V483" s="3">
        <v>4.11711E-14</v>
      </c>
      <c r="W483" s="3">
        <v>3.3810199999999999E-14</v>
      </c>
      <c r="X483" s="35">
        <v>2.2831299999999998E-14</v>
      </c>
      <c r="Z483" s="6"/>
      <c r="AA483" s="3">
        <v>2.4952199999999999E-16</v>
      </c>
      <c r="AB483" s="3">
        <v>1.9712300000000001E-14</v>
      </c>
      <c r="AC483" s="3">
        <v>2.0959899999999999E-14</v>
      </c>
      <c r="AD483" s="30">
        <v>1.95875E-14</v>
      </c>
      <c r="AF483" s="6"/>
      <c r="AG483" s="3"/>
      <c r="AH483" s="3"/>
      <c r="AI483" s="3">
        <v>2.4952199999999999E-16</v>
      </c>
      <c r="AJ483" s="30"/>
      <c r="AL483" s="6"/>
      <c r="AM483" s="3"/>
      <c r="AN483" s="3"/>
      <c r="AO483" s="3"/>
      <c r="AP483" s="30"/>
      <c r="AR483" s="6"/>
      <c r="AS483" s="3">
        <v>1.1228500000000001E-15</v>
      </c>
      <c r="AT483" s="3">
        <v>8.7332699999999998E-16</v>
      </c>
      <c r="AU483" s="30">
        <v>1.24761E-16</v>
      </c>
      <c r="AV483" s="3">
        <v>1.3723700000000001E-15</v>
      </c>
    </row>
    <row r="484" spans="3:48" x14ac:dyDescent="0.25">
      <c r="C484" s="31">
        <v>5.5269099999999999E-14</v>
      </c>
      <c r="D484" s="5">
        <v>4.86069E-13</v>
      </c>
      <c r="E484" s="3">
        <v>4.8906299999999995E-13</v>
      </c>
      <c r="F484" s="30">
        <v>4.9654899999999997E-13</v>
      </c>
      <c r="H484" s="2"/>
      <c r="I484" s="3">
        <v>1.4971300000000001E-14</v>
      </c>
      <c r="J484" s="3">
        <v>5.26491E-14</v>
      </c>
      <c r="K484" s="3">
        <v>5.8263400000000002E-14</v>
      </c>
      <c r="L484" s="30">
        <v>4.7783399999999999E-14</v>
      </c>
      <c r="N484" s="6"/>
      <c r="O484" s="3">
        <v>5.3647200000000001E-15</v>
      </c>
      <c r="P484" s="3">
        <v>4.9904399999999997E-14</v>
      </c>
      <c r="Q484" s="3">
        <v>5.1152000000000001E-14</v>
      </c>
      <c r="R484" s="30">
        <v>5.1401500000000002E-14</v>
      </c>
      <c r="T484" s="6"/>
      <c r="U484" s="3">
        <v>1.0479900000000001E-14</v>
      </c>
      <c r="V484" s="3">
        <v>3.8925399999999999E-14</v>
      </c>
      <c r="W484" s="3">
        <v>3.3685500000000002E-14</v>
      </c>
      <c r="X484" s="35">
        <v>2.1957900000000001E-14</v>
      </c>
      <c r="Z484" s="6"/>
      <c r="AA484" s="3">
        <v>2.4952199999999999E-16</v>
      </c>
      <c r="AB484" s="3">
        <v>1.94627E-14</v>
      </c>
      <c r="AC484" s="3">
        <v>2.0211299999999999E-14</v>
      </c>
      <c r="AD484" s="30">
        <v>1.9338E-14</v>
      </c>
      <c r="AF484" s="6"/>
      <c r="AG484" s="3"/>
      <c r="AH484" s="3"/>
      <c r="AI484" s="3">
        <v>2.4952199999999999E-16</v>
      </c>
      <c r="AJ484" s="30"/>
      <c r="AL484" s="6"/>
      <c r="AM484" s="3"/>
      <c r="AN484" s="3"/>
      <c r="AO484" s="3"/>
      <c r="AP484" s="30"/>
      <c r="AR484" s="6"/>
      <c r="AS484" s="3">
        <v>1.1228500000000001E-15</v>
      </c>
      <c r="AT484" s="3">
        <v>8.7332699999999998E-16</v>
      </c>
      <c r="AU484" s="30">
        <v>4.9904399999999999E-16</v>
      </c>
      <c r="AV484" s="3">
        <v>1.3723700000000001E-15</v>
      </c>
    </row>
    <row r="485" spans="3:48" x14ac:dyDescent="0.25">
      <c r="C485" s="31">
        <v>5.5144400000000002E-14</v>
      </c>
      <c r="D485" s="5">
        <v>4.8432200000000004E-13</v>
      </c>
      <c r="E485" s="3">
        <v>4.8843900000000002E-13</v>
      </c>
      <c r="F485" s="30">
        <v>4.9604999999999999E-13</v>
      </c>
      <c r="H485" s="2"/>
      <c r="I485" s="3">
        <v>1.4846600000000001E-14</v>
      </c>
      <c r="J485" s="3">
        <v>5.1900599999999998E-14</v>
      </c>
      <c r="K485" s="3">
        <v>5.7389999999999996E-14</v>
      </c>
      <c r="L485" s="30">
        <v>4.6286300000000001E-14</v>
      </c>
      <c r="N485" s="6"/>
      <c r="O485" s="3">
        <v>5.3647200000000001E-15</v>
      </c>
      <c r="P485" s="3">
        <v>4.9530099999999999E-14</v>
      </c>
      <c r="Q485" s="3">
        <v>5.0902500000000001E-14</v>
      </c>
      <c r="R485" s="30">
        <v>5.1276799999999999E-14</v>
      </c>
      <c r="T485" s="6"/>
      <c r="U485" s="3">
        <v>1.0479900000000001E-14</v>
      </c>
      <c r="V485" s="3">
        <v>3.8925399999999999E-14</v>
      </c>
      <c r="W485" s="3">
        <v>3.2687399999999999E-14</v>
      </c>
      <c r="X485" s="35">
        <v>2.1833200000000001E-14</v>
      </c>
      <c r="Z485" s="6"/>
      <c r="AA485" s="3">
        <v>2.4952199999999999E-16</v>
      </c>
      <c r="AB485" s="3">
        <v>1.8963699999999999E-14</v>
      </c>
      <c r="AC485" s="3">
        <v>1.9837000000000001E-14</v>
      </c>
      <c r="AD485" s="30">
        <v>1.8714200000000001E-14</v>
      </c>
      <c r="AF485" s="6"/>
      <c r="AG485" s="3"/>
      <c r="AH485" s="3"/>
      <c r="AI485" s="3">
        <v>2.4952199999999999E-16</v>
      </c>
      <c r="AJ485" s="30"/>
      <c r="AL485" s="6"/>
      <c r="AM485" s="3"/>
      <c r="AN485" s="3"/>
      <c r="AO485" s="3"/>
      <c r="AP485" s="30"/>
      <c r="AR485" s="6"/>
      <c r="AS485" s="3">
        <v>1.1228500000000001E-15</v>
      </c>
      <c r="AT485" s="3">
        <v>8.7332699999999998E-16</v>
      </c>
      <c r="AU485" s="30">
        <v>1.24761E-16</v>
      </c>
      <c r="AV485" s="3">
        <v>1.3723700000000001E-15</v>
      </c>
    </row>
    <row r="486" spans="3:48" x14ac:dyDescent="0.25">
      <c r="C486" s="31">
        <v>5.5144400000000002E-14</v>
      </c>
      <c r="D486" s="5">
        <v>4.8095399999999997E-13</v>
      </c>
      <c r="E486" s="3">
        <v>4.8831500000000003E-13</v>
      </c>
      <c r="F486" s="30">
        <v>4.9380399999999996E-13</v>
      </c>
      <c r="H486" s="2"/>
      <c r="I486" s="3">
        <v>1.4846600000000001E-14</v>
      </c>
      <c r="J486" s="3">
        <v>5.17758E-14</v>
      </c>
      <c r="K486" s="3">
        <v>5.7265300000000005E-14</v>
      </c>
      <c r="L486" s="30">
        <v>4.57873E-14</v>
      </c>
      <c r="N486" s="6"/>
      <c r="O486" s="3">
        <v>5.3647200000000001E-15</v>
      </c>
      <c r="P486" s="3">
        <v>4.8157799999999999E-14</v>
      </c>
      <c r="Q486" s="3">
        <v>5.0902500000000001E-14</v>
      </c>
      <c r="R486" s="30">
        <v>5.1027299999999998E-14</v>
      </c>
      <c r="T486" s="6"/>
      <c r="U486" s="3">
        <v>1.0355200000000001E-14</v>
      </c>
      <c r="V486" s="3">
        <v>3.8925399999999999E-14</v>
      </c>
      <c r="W486" s="3">
        <v>3.1938800000000002E-14</v>
      </c>
      <c r="X486" s="35">
        <v>2.14589E-14</v>
      </c>
      <c r="Z486" s="6"/>
      <c r="AA486" s="3">
        <v>2.4952199999999999E-16</v>
      </c>
      <c r="AB486" s="3">
        <v>1.7965600000000001E-14</v>
      </c>
      <c r="AC486" s="3">
        <v>1.9088499999999999E-14</v>
      </c>
      <c r="AD486" s="30">
        <v>1.75913E-14</v>
      </c>
      <c r="AF486" s="6"/>
      <c r="AG486" s="3"/>
      <c r="AH486" s="3"/>
      <c r="AI486" s="3">
        <v>2.4952199999999999E-16</v>
      </c>
      <c r="AJ486" s="30"/>
      <c r="AL486" s="6"/>
      <c r="AM486" s="3"/>
      <c r="AN486" s="3"/>
      <c r="AO486" s="3"/>
      <c r="AP486" s="30"/>
      <c r="AR486" s="6"/>
      <c r="AS486" s="3">
        <v>1.1228500000000001E-15</v>
      </c>
      <c r="AT486" s="3">
        <v>8.7332699999999998E-16</v>
      </c>
      <c r="AU486" s="30">
        <v>8.7332699999999998E-16</v>
      </c>
      <c r="AV486" s="3">
        <v>1.3723700000000001E-15</v>
      </c>
    </row>
    <row r="487" spans="3:48" x14ac:dyDescent="0.25">
      <c r="C487" s="31">
        <v>5.5144400000000002E-14</v>
      </c>
      <c r="D487" s="5">
        <v>4.7958100000000003E-13</v>
      </c>
      <c r="E487" s="3">
        <v>4.8769099999999999E-13</v>
      </c>
      <c r="F487" s="30">
        <v>4.88065E-13</v>
      </c>
      <c r="H487" s="2"/>
      <c r="I487" s="3">
        <v>1.47218E-14</v>
      </c>
      <c r="J487" s="3">
        <v>5.1651000000000003E-14</v>
      </c>
      <c r="K487" s="3">
        <v>5.7265300000000005E-14</v>
      </c>
      <c r="L487" s="30">
        <v>4.5662500000000002E-14</v>
      </c>
      <c r="N487" s="6"/>
      <c r="O487" s="3">
        <v>5.3647200000000001E-15</v>
      </c>
      <c r="P487" s="3">
        <v>4.8157799999999999E-14</v>
      </c>
      <c r="Q487" s="3">
        <v>4.9155800000000001E-14</v>
      </c>
      <c r="R487" s="30">
        <v>5.0777700000000003E-14</v>
      </c>
      <c r="T487" s="6"/>
      <c r="U487" s="3">
        <v>1.0355200000000001E-14</v>
      </c>
      <c r="V487" s="3">
        <v>3.8426399999999998E-14</v>
      </c>
      <c r="W487" s="3">
        <v>3.1689300000000002E-14</v>
      </c>
      <c r="X487" s="35">
        <v>2.14589E-14</v>
      </c>
      <c r="Z487" s="6"/>
      <c r="AA487" s="3">
        <v>2.4952199999999999E-16</v>
      </c>
      <c r="AB487" s="3">
        <v>1.7840800000000001E-14</v>
      </c>
      <c r="AC487" s="3">
        <v>1.8963699999999999E-14</v>
      </c>
      <c r="AD487" s="30">
        <v>1.74666E-14</v>
      </c>
      <c r="AF487" s="6"/>
      <c r="AG487" s="3"/>
      <c r="AH487" s="3"/>
      <c r="AI487" s="3">
        <v>2.4952199999999999E-16</v>
      </c>
      <c r="AJ487" s="30"/>
      <c r="AL487" s="6"/>
      <c r="AM487" s="3"/>
      <c r="AN487" s="3"/>
      <c r="AO487" s="3"/>
      <c r="AP487" s="30"/>
      <c r="AR487" s="6"/>
      <c r="AS487" s="3">
        <v>1.1228500000000001E-15</v>
      </c>
      <c r="AT487" s="3">
        <v>8.7332699999999998E-16</v>
      </c>
      <c r="AU487" s="30">
        <v>1.24761E-16</v>
      </c>
      <c r="AV487" s="3">
        <v>1.3723700000000001E-15</v>
      </c>
    </row>
    <row r="488" spans="3:48" x14ac:dyDescent="0.25">
      <c r="C488" s="31">
        <v>5.5019599999999998E-14</v>
      </c>
      <c r="D488" s="5">
        <v>4.7758500000000003E-13</v>
      </c>
      <c r="E488" s="3">
        <v>4.8644300000000001E-13</v>
      </c>
      <c r="F488" s="30">
        <v>4.8769099999999999E-13</v>
      </c>
      <c r="H488" s="2"/>
      <c r="I488" s="3">
        <v>1.47218E-14</v>
      </c>
      <c r="J488" s="3">
        <v>4.97796E-14</v>
      </c>
      <c r="K488" s="3">
        <v>5.4021500000000001E-14</v>
      </c>
      <c r="L488" s="30">
        <v>4.5163500000000001E-14</v>
      </c>
      <c r="N488" s="6"/>
      <c r="O488" s="3">
        <v>5.2399600000000001E-15</v>
      </c>
      <c r="P488" s="3">
        <v>4.8033000000000001E-14</v>
      </c>
      <c r="Q488" s="3">
        <v>4.9031099999999998E-14</v>
      </c>
      <c r="R488" s="30">
        <v>5.0777700000000003E-14</v>
      </c>
      <c r="T488" s="6"/>
      <c r="U488" s="3">
        <v>1.0355200000000001E-14</v>
      </c>
      <c r="V488" s="3">
        <v>3.7553099999999999E-14</v>
      </c>
      <c r="W488" s="3">
        <v>3.1689300000000002E-14</v>
      </c>
      <c r="X488" s="35">
        <v>2.1209399999999999E-14</v>
      </c>
      <c r="Z488" s="6"/>
      <c r="AA488" s="3">
        <v>2.4952199999999999E-16</v>
      </c>
      <c r="AB488" s="3">
        <v>1.6343699999999999E-14</v>
      </c>
      <c r="AC488" s="3">
        <v>1.83399E-14</v>
      </c>
      <c r="AD488" s="30">
        <v>1.6343699999999999E-14</v>
      </c>
      <c r="AF488" s="6"/>
      <c r="AG488" s="3"/>
      <c r="AH488" s="3"/>
      <c r="AI488" s="3">
        <v>2.4952199999999999E-16</v>
      </c>
      <c r="AJ488" s="30"/>
      <c r="AL488" s="6"/>
      <c r="AM488" s="3"/>
      <c r="AN488" s="3"/>
      <c r="AO488" s="3"/>
      <c r="AP488" s="30"/>
      <c r="AR488" s="6"/>
      <c r="AS488" s="3">
        <v>1.1228500000000001E-15</v>
      </c>
      <c r="AT488" s="3">
        <v>8.7332699999999998E-16</v>
      </c>
      <c r="AU488" s="30">
        <v>1.99618E-15</v>
      </c>
      <c r="AV488" s="3">
        <v>1.3723700000000001E-15</v>
      </c>
    </row>
    <row r="489" spans="3:48" x14ac:dyDescent="0.25">
      <c r="C489" s="31">
        <v>5.4894900000000001E-14</v>
      </c>
      <c r="D489" s="5">
        <v>4.7733599999999998E-13</v>
      </c>
      <c r="E489" s="3">
        <v>4.8631900000000002E-13</v>
      </c>
      <c r="F489" s="30">
        <v>4.8769099999999999E-13</v>
      </c>
      <c r="H489" s="2"/>
      <c r="I489" s="3">
        <v>1.4597E-14</v>
      </c>
      <c r="J489" s="3">
        <v>4.9654900000000003E-14</v>
      </c>
      <c r="K489" s="3">
        <v>5.3148200000000002E-14</v>
      </c>
      <c r="L489" s="30">
        <v>4.49139E-14</v>
      </c>
      <c r="N489" s="6"/>
      <c r="O489" s="3">
        <v>5.2399600000000001E-15</v>
      </c>
      <c r="P489" s="3">
        <v>4.77835E-14</v>
      </c>
      <c r="Q489" s="3">
        <v>4.9031099999999998E-14</v>
      </c>
      <c r="R489" s="30">
        <v>4.9155800000000001E-14</v>
      </c>
      <c r="T489" s="6"/>
      <c r="U489" s="3">
        <v>1.02304E-14</v>
      </c>
      <c r="V489" s="3">
        <v>3.5681600000000001E-14</v>
      </c>
      <c r="W489" s="3">
        <v>3.1564499999999998E-14</v>
      </c>
      <c r="X489" s="35">
        <v>2.1084599999999999E-14</v>
      </c>
      <c r="Z489" s="6"/>
      <c r="AA489" s="3">
        <v>2.4952199999999999E-16</v>
      </c>
      <c r="AB489" s="3">
        <v>1.5844700000000001E-14</v>
      </c>
      <c r="AC489" s="3">
        <v>1.8090399999999999E-14</v>
      </c>
      <c r="AD489" s="30">
        <v>1.57199E-14</v>
      </c>
      <c r="AF489" s="6"/>
      <c r="AG489" s="3"/>
      <c r="AH489" s="3"/>
      <c r="AI489" s="3">
        <v>2.4952199999999999E-16</v>
      </c>
      <c r="AJ489" s="30"/>
      <c r="AL489" s="6"/>
      <c r="AM489" s="3"/>
      <c r="AN489" s="3"/>
      <c r="AO489" s="3"/>
      <c r="AP489" s="30"/>
      <c r="AR489" s="6"/>
      <c r="AS489" s="3">
        <v>1.1228500000000001E-15</v>
      </c>
      <c r="AT489" s="3">
        <v>7.4856599999999998E-16</v>
      </c>
      <c r="AU489" s="30">
        <v>1.24761E-16</v>
      </c>
      <c r="AV489" s="3">
        <v>1.24761E-15</v>
      </c>
    </row>
    <row r="490" spans="3:48" x14ac:dyDescent="0.25">
      <c r="C490" s="31">
        <v>5.4520599999999997E-14</v>
      </c>
      <c r="D490" s="5">
        <v>4.7496499999999999E-13</v>
      </c>
      <c r="E490" s="3">
        <v>4.8581899999999997E-13</v>
      </c>
      <c r="F490" s="30">
        <v>4.8594400000000003E-13</v>
      </c>
      <c r="H490" s="2"/>
      <c r="I490" s="3">
        <v>1.44723E-14</v>
      </c>
      <c r="J490" s="3">
        <v>4.9280599999999999E-14</v>
      </c>
      <c r="K490" s="3">
        <v>5.28986E-14</v>
      </c>
      <c r="L490" s="30">
        <v>4.4789200000000003E-14</v>
      </c>
      <c r="N490" s="6"/>
      <c r="O490" s="3">
        <v>5.2399600000000001E-15</v>
      </c>
      <c r="P490" s="3">
        <v>4.6036800000000001E-14</v>
      </c>
      <c r="Q490" s="3">
        <v>4.89063E-14</v>
      </c>
      <c r="R490" s="30">
        <v>4.89063E-14</v>
      </c>
      <c r="T490" s="6"/>
      <c r="U490" s="3">
        <v>1.02304E-14</v>
      </c>
      <c r="V490" s="3">
        <v>3.5556899999999998E-14</v>
      </c>
      <c r="W490" s="3">
        <v>3.0940699999999999E-14</v>
      </c>
      <c r="X490" s="35">
        <v>2.0835100000000001E-14</v>
      </c>
      <c r="Z490" s="6"/>
      <c r="AA490" s="3">
        <v>2.4952199999999999E-16</v>
      </c>
      <c r="AB490" s="3">
        <v>1.4971300000000001E-14</v>
      </c>
      <c r="AC490" s="3">
        <v>1.7716100000000001E-14</v>
      </c>
      <c r="AD490" s="30">
        <v>1.54704E-14</v>
      </c>
      <c r="AF490" s="6"/>
      <c r="AG490" s="3"/>
      <c r="AH490" s="3"/>
      <c r="AI490" s="3">
        <v>2.4952199999999999E-16</v>
      </c>
      <c r="AJ490" s="30"/>
      <c r="AL490" s="6"/>
      <c r="AM490" s="3"/>
      <c r="AN490" s="3"/>
      <c r="AO490" s="3"/>
      <c r="AP490" s="30"/>
      <c r="AR490" s="6"/>
      <c r="AS490" s="3">
        <v>1.1228500000000001E-15</v>
      </c>
      <c r="AT490" s="3">
        <v>7.4856599999999998E-16</v>
      </c>
      <c r="AU490" s="30">
        <v>8.7332699999999998E-16</v>
      </c>
      <c r="AV490" s="3">
        <v>1.24761E-15</v>
      </c>
    </row>
    <row r="491" spans="3:48" x14ac:dyDescent="0.25">
      <c r="C491" s="31">
        <v>5.4395799999999999E-14</v>
      </c>
      <c r="D491" s="5">
        <v>4.7259499999999997E-13</v>
      </c>
      <c r="E491" s="3">
        <v>4.8344899999999995E-13</v>
      </c>
      <c r="F491" s="30">
        <v>4.8444700000000001E-13</v>
      </c>
      <c r="H491" s="2"/>
      <c r="I491" s="3">
        <v>1.44723E-14</v>
      </c>
      <c r="J491" s="3">
        <v>4.9155800000000001E-14</v>
      </c>
      <c r="K491" s="3">
        <v>5.26491E-14</v>
      </c>
      <c r="L491" s="30">
        <v>4.3666300000000002E-14</v>
      </c>
      <c r="N491" s="6"/>
      <c r="O491" s="3">
        <v>5.1152E-15</v>
      </c>
      <c r="P491" s="3">
        <v>4.5912099999999998E-14</v>
      </c>
      <c r="Q491" s="3">
        <v>4.77835E-14</v>
      </c>
      <c r="R491" s="30">
        <v>4.8407299999999999E-14</v>
      </c>
      <c r="T491" s="6"/>
      <c r="U491" s="3">
        <v>1.02304E-14</v>
      </c>
      <c r="V491" s="3">
        <v>3.51826E-14</v>
      </c>
      <c r="W491" s="3">
        <v>3.0691199999999998E-14</v>
      </c>
      <c r="X491" s="35">
        <v>2.0335999999999999E-14</v>
      </c>
      <c r="Z491" s="6"/>
      <c r="AA491" s="3">
        <v>2.4952199999999999E-16</v>
      </c>
      <c r="AB491" s="3">
        <v>1.4347499999999999E-14</v>
      </c>
      <c r="AC491" s="3">
        <v>1.7092299999999999E-14</v>
      </c>
      <c r="AD491" s="30">
        <v>1.5220899999999999E-14</v>
      </c>
      <c r="AF491" s="6"/>
      <c r="AG491" s="3"/>
      <c r="AH491" s="3"/>
      <c r="AI491" s="3">
        <v>2.4952199999999999E-16</v>
      </c>
      <c r="AJ491" s="30"/>
      <c r="AL491" s="6"/>
      <c r="AM491" s="3"/>
      <c r="AN491" s="3"/>
      <c r="AO491" s="3"/>
      <c r="AP491" s="30"/>
      <c r="AR491" s="6"/>
      <c r="AS491" s="3">
        <v>1.1228500000000001E-15</v>
      </c>
      <c r="AT491" s="3">
        <v>7.4856599999999998E-16</v>
      </c>
      <c r="AU491" s="30">
        <v>1.62189E-15</v>
      </c>
      <c r="AV491" s="3">
        <v>1.24761E-15</v>
      </c>
    </row>
    <row r="492" spans="3:48" x14ac:dyDescent="0.25">
      <c r="C492" s="31">
        <v>5.4271100000000003E-14</v>
      </c>
      <c r="D492" s="5">
        <v>4.6748000000000004E-13</v>
      </c>
      <c r="E492" s="3">
        <v>4.82451E-13</v>
      </c>
      <c r="F492" s="30">
        <v>4.8357400000000002E-13</v>
      </c>
      <c r="H492" s="2"/>
      <c r="I492" s="3">
        <v>1.44723E-14</v>
      </c>
      <c r="J492" s="3">
        <v>4.8407299999999999E-14</v>
      </c>
      <c r="K492" s="3">
        <v>5.2524400000000003E-14</v>
      </c>
      <c r="L492" s="30">
        <v>4.3292099999999998E-14</v>
      </c>
      <c r="N492" s="6"/>
      <c r="O492" s="3">
        <v>5.1152E-15</v>
      </c>
      <c r="P492" s="3">
        <v>4.5163500000000001E-14</v>
      </c>
      <c r="Q492" s="3">
        <v>4.77835E-14</v>
      </c>
      <c r="R492" s="30">
        <v>4.8282500000000002E-14</v>
      </c>
      <c r="T492" s="6"/>
      <c r="U492" s="3">
        <v>1.02304E-14</v>
      </c>
      <c r="V492" s="3">
        <v>3.4184499999999997E-14</v>
      </c>
      <c r="W492" s="3">
        <v>3.0566400000000001E-14</v>
      </c>
      <c r="X492" s="35">
        <v>1.97122E-14</v>
      </c>
      <c r="Z492" s="6"/>
      <c r="AA492" s="3">
        <v>2.4952199999999999E-16</v>
      </c>
      <c r="AB492" s="3">
        <v>1.4222799999999999E-14</v>
      </c>
      <c r="AC492" s="3">
        <v>1.6842800000000001E-14</v>
      </c>
      <c r="AD492" s="30">
        <v>1.47218E-14</v>
      </c>
      <c r="AF492" s="6"/>
      <c r="AG492" s="3"/>
      <c r="AH492" s="3"/>
      <c r="AI492" s="3">
        <v>2.4952199999999999E-16</v>
      </c>
      <c r="AJ492" s="30"/>
      <c r="AL492" s="6"/>
      <c r="AM492" s="3"/>
      <c r="AN492" s="3"/>
      <c r="AO492" s="3"/>
      <c r="AP492" s="30"/>
      <c r="AR492" s="6"/>
      <c r="AS492" s="3">
        <v>1.1228500000000001E-15</v>
      </c>
      <c r="AT492" s="3">
        <v>7.4856599999999998E-16</v>
      </c>
      <c r="AU492" s="30">
        <v>5.8637700000000002E-15</v>
      </c>
      <c r="AV492" s="3">
        <v>1.24761E-15</v>
      </c>
    </row>
    <row r="493" spans="3:48" x14ac:dyDescent="0.25">
      <c r="C493" s="31">
        <v>5.3896799999999998E-14</v>
      </c>
      <c r="D493" s="5">
        <v>4.6660599999999998E-13</v>
      </c>
      <c r="E493" s="3">
        <v>4.82451E-13</v>
      </c>
      <c r="F493" s="30">
        <v>4.8207699999999999E-13</v>
      </c>
      <c r="H493" s="2"/>
      <c r="I493" s="3">
        <v>1.4347499999999999E-14</v>
      </c>
      <c r="J493" s="3">
        <v>4.7658700000000003E-14</v>
      </c>
      <c r="K493" s="3">
        <v>5.2025300000000001E-14</v>
      </c>
      <c r="L493" s="30">
        <v>4.1046399999999997E-14</v>
      </c>
      <c r="N493" s="6"/>
      <c r="O493" s="3">
        <v>4.9904399999999999E-15</v>
      </c>
      <c r="P493" s="3">
        <v>4.4539700000000002E-14</v>
      </c>
      <c r="Q493" s="3">
        <v>4.6785399999999997E-14</v>
      </c>
      <c r="R493" s="30">
        <v>4.8282500000000002E-14</v>
      </c>
      <c r="T493" s="6"/>
      <c r="U493" s="3">
        <v>1.0105600000000001E-14</v>
      </c>
      <c r="V493" s="3">
        <v>3.40598E-14</v>
      </c>
      <c r="W493" s="3">
        <v>3.0192199999999997E-14</v>
      </c>
      <c r="X493" s="35">
        <v>1.9338E-14</v>
      </c>
      <c r="Z493" s="6"/>
      <c r="AA493" s="3">
        <v>2.4952199999999999E-16</v>
      </c>
      <c r="AB493" s="3">
        <v>1.3848499999999999E-14</v>
      </c>
      <c r="AC493" s="3">
        <v>1.6218899999999999E-14</v>
      </c>
      <c r="AD493" s="30">
        <v>1.45971E-14</v>
      </c>
      <c r="AF493" s="6"/>
      <c r="AG493" s="3"/>
      <c r="AH493" s="3"/>
      <c r="AI493" s="3">
        <v>2.4952199999999999E-16</v>
      </c>
      <c r="AJ493" s="30"/>
      <c r="AL493" s="6"/>
      <c r="AM493" s="3"/>
      <c r="AN493" s="3"/>
      <c r="AO493" s="3"/>
      <c r="AP493" s="30"/>
      <c r="AR493" s="6"/>
      <c r="AS493" s="3">
        <v>1.1228500000000001E-15</v>
      </c>
      <c r="AT493" s="3">
        <v>7.4856599999999998E-16</v>
      </c>
      <c r="AU493" s="30">
        <v>1.4971299999999999E-15</v>
      </c>
      <c r="AV493" s="3">
        <v>1.24761E-15</v>
      </c>
    </row>
    <row r="494" spans="3:48" x14ac:dyDescent="0.25">
      <c r="C494" s="31">
        <v>5.3397700000000002E-14</v>
      </c>
      <c r="D494" s="5">
        <v>4.6610700000000001E-13</v>
      </c>
      <c r="E494" s="3">
        <v>4.8070400000000005E-13</v>
      </c>
      <c r="F494" s="30">
        <v>4.8207699999999999E-13</v>
      </c>
      <c r="H494" s="2"/>
      <c r="I494" s="3">
        <v>1.4347499999999999E-14</v>
      </c>
      <c r="J494" s="3">
        <v>4.7034899999999998E-14</v>
      </c>
      <c r="K494" s="3">
        <v>5.1900599999999998E-14</v>
      </c>
      <c r="L494" s="30">
        <v>4.0796800000000002E-14</v>
      </c>
      <c r="N494" s="6"/>
      <c r="O494" s="3">
        <v>4.9904399999999999E-15</v>
      </c>
      <c r="P494" s="3">
        <v>4.2543500000000002E-14</v>
      </c>
      <c r="Q494" s="3">
        <v>4.3167300000000001E-14</v>
      </c>
      <c r="R494" s="30">
        <v>4.7159700000000001E-14</v>
      </c>
      <c r="T494" s="6"/>
      <c r="U494" s="3">
        <v>1.0105600000000001E-14</v>
      </c>
      <c r="V494" s="3">
        <v>3.20636E-14</v>
      </c>
      <c r="W494" s="3">
        <v>2.8944599999999999E-14</v>
      </c>
      <c r="X494" s="35">
        <v>1.8838900000000001E-14</v>
      </c>
      <c r="Z494" s="6"/>
      <c r="AA494" s="3">
        <v>2.4952199999999999E-16</v>
      </c>
      <c r="AB494" s="3">
        <v>1.26009E-14</v>
      </c>
      <c r="AC494" s="3">
        <v>1.54704E-14</v>
      </c>
      <c r="AD494" s="30">
        <v>1.3599E-14</v>
      </c>
      <c r="AF494" s="6"/>
      <c r="AG494" s="3"/>
      <c r="AH494" s="3"/>
      <c r="AI494" s="3">
        <v>2.4952199999999999E-16</v>
      </c>
      <c r="AJ494" s="30"/>
      <c r="AL494" s="6"/>
      <c r="AM494" s="3"/>
      <c r="AN494" s="3"/>
      <c r="AO494" s="3"/>
      <c r="AP494" s="30"/>
      <c r="AR494" s="6"/>
      <c r="AS494" s="3">
        <v>1.1228500000000001E-15</v>
      </c>
      <c r="AT494" s="3">
        <v>7.4856599999999998E-16</v>
      </c>
      <c r="AU494" s="30">
        <v>2.4952199999999999E-16</v>
      </c>
      <c r="AV494" s="3">
        <v>1.24761E-15</v>
      </c>
    </row>
    <row r="495" spans="3:48" x14ac:dyDescent="0.25">
      <c r="C495" s="31">
        <v>5.3272999999999999E-14</v>
      </c>
      <c r="D495" s="5">
        <v>4.6560800000000003E-13</v>
      </c>
      <c r="E495" s="3">
        <v>4.7870800000000004E-13</v>
      </c>
      <c r="F495" s="30">
        <v>4.8070400000000005E-13</v>
      </c>
      <c r="H495" s="2"/>
      <c r="I495" s="3">
        <v>1.4347499999999999E-14</v>
      </c>
      <c r="J495" s="3">
        <v>4.7034899999999998E-14</v>
      </c>
      <c r="K495" s="3">
        <v>5.1276799999999999E-14</v>
      </c>
      <c r="L495" s="30">
        <v>4.0672099999999999E-14</v>
      </c>
      <c r="N495" s="6"/>
      <c r="O495" s="3">
        <v>4.9904399999999999E-15</v>
      </c>
      <c r="P495" s="3">
        <v>4.0422599999999999E-14</v>
      </c>
      <c r="Q495" s="3">
        <v>4.1919700000000003E-14</v>
      </c>
      <c r="R495" s="30">
        <v>4.6785399999999997E-14</v>
      </c>
      <c r="T495" s="6"/>
      <c r="U495" s="3">
        <v>1.0105600000000001E-14</v>
      </c>
      <c r="V495" s="3">
        <v>3.0940699999999999E-14</v>
      </c>
      <c r="W495" s="3">
        <v>2.7821699999999998E-14</v>
      </c>
      <c r="X495" s="35">
        <v>1.7216999999999999E-14</v>
      </c>
      <c r="Z495" s="6"/>
      <c r="AA495" s="3">
        <v>2.4952199999999999E-16</v>
      </c>
      <c r="AB495" s="3">
        <v>1.2476099999999999E-14</v>
      </c>
      <c r="AC495" s="3">
        <v>1.4971300000000001E-14</v>
      </c>
      <c r="AD495" s="30">
        <v>1.29752E-14</v>
      </c>
      <c r="AF495" s="6"/>
      <c r="AG495" s="3"/>
      <c r="AH495" s="3"/>
      <c r="AI495" s="3">
        <v>1.24761E-16</v>
      </c>
      <c r="AJ495" s="30"/>
      <c r="AL495" s="6"/>
      <c r="AM495" s="3"/>
      <c r="AN495" s="3"/>
      <c r="AO495" s="3"/>
      <c r="AP495" s="30"/>
      <c r="AR495" s="6"/>
      <c r="AS495" s="3">
        <v>9.9808799999999998E-16</v>
      </c>
      <c r="AT495" s="3">
        <v>7.4856599999999998E-16</v>
      </c>
      <c r="AU495" s="30">
        <v>3.49331E-15</v>
      </c>
      <c r="AV495" s="3">
        <v>1.24761E-15</v>
      </c>
    </row>
    <row r="496" spans="3:48" x14ac:dyDescent="0.25">
      <c r="C496" s="31">
        <v>5.3272999999999999E-14</v>
      </c>
      <c r="D496" s="5">
        <v>4.6498399999999999E-13</v>
      </c>
      <c r="E496" s="3">
        <v>4.7721100000000002E-13</v>
      </c>
      <c r="F496" s="30">
        <v>4.7745999999999997E-13</v>
      </c>
      <c r="H496" s="2"/>
      <c r="I496" s="3">
        <v>1.4222700000000001E-14</v>
      </c>
      <c r="J496" s="3">
        <v>4.5912000000000003E-14</v>
      </c>
      <c r="K496" s="3">
        <v>5.0528200000000002E-14</v>
      </c>
      <c r="L496" s="30">
        <v>4.0422599999999999E-14</v>
      </c>
      <c r="N496" s="6"/>
      <c r="O496" s="3">
        <v>4.8656799999999998E-15</v>
      </c>
      <c r="P496" s="3">
        <v>4.00483E-14</v>
      </c>
      <c r="Q496" s="3">
        <v>4.1794899999999999E-14</v>
      </c>
      <c r="R496" s="30">
        <v>4.6660599999999999E-14</v>
      </c>
      <c r="T496" s="6"/>
      <c r="U496" s="3">
        <v>1.0105600000000001E-14</v>
      </c>
      <c r="V496" s="3">
        <v>3.0940699999999999E-14</v>
      </c>
      <c r="W496" s="3">
        <v>2.7696900000000001E-14</v>
      </c>
      <c r="X496" s="35">
        <v>1.5969400000000001E-14</v>
      </c>
      <c r="Z496" s="6"/>
      <c r="AA496" s="3">
        <v>2.4952199999999999E-16</v>
      </c>
      <c r="AB496" s="3">
        <v>1.21018E-14</v>
      </c>
      <c r="AC496" s="3">
        <v>1.45971E-14</v>
      </c>
      <c r="AD496" s="30">
        <v>1.26009E-14</v>
      </c>
      <c r="AF496" s="6"/>
      <c r="AG496" s="3"/>
      <c r="AH496" s="3"/>
      <c r="AI496" s="3">
        <v>1.24761E-16</v>
      </c>
      <c r="AJ496" s="30"/>
      <c r="AL496" s="6"/>
      <c r="AM496" s="3"/>
      <c r="AN496" s="3"/>
      <c r="AO496" s="3"/>
      <c r="AP496" s="30"/>
      <c r="AR496" s="6"/>
      <c r="AS496" s="3">
        <v>9.9808799999999998E-16</v>
      </c>
      <c r="AT496" s="3">
        <v>7.4856599999999998E-16</v>
      </c>
      <c r="AU496" s="30">
        <v>9.9808799999999998E-16</v>
      </c>
      <c r="AV496" s="3">
        <v>1.24761E-15</v>
      </c>
    </row>
    <row r="497" spans="3:48" x14ac:dyDescent="0.25">
      <c r="C497" s="31">
        <v>5.3023399999999998E-14</v>
      </c>
      <c r="D497" s="5">
        <v>4.6348699999999996E-13</v>
      </c>
      <c r="E497" s="3">
        <v>4.7721100000000002E-13</v>
      </c>
      <c r="F497" s="30">
        <v>4.7646200000000001E-13</v>
      </c>
      <c r="H497" s="2"/>
      <c r="I497" s="3">
        <v>1.4222700000000001E-14</v>
      </c>
      <c r="J497" s="3">
        <v>4.5413000000000002E-14</v>
      </c>
      <c r="K497" s="3">
        <v>5.00291E-14</v>
      </c>
      <c r="L497" s="30">
        <v>3.9424500000000002E-14</v>
      </c>
      <c r="N497" s="6"/>
      <c r="O497" s="3">
        <v>4.8656799999999998E-15</v>
      </c>
      <c r="P497" s="3">
        <v>3.9424500000000002E-14</v>
      </c>
      <c r="Q497" s="3">
        <v>4.1420700000000002E-14</v>
      </c>
      <c r="R497" s="30">
        <v>4.6411099999999999E-14</v>
      </c>
      <c r="T497" s="6"/>
      <c r="U497" s="3">
        <v>9.9808799999999998E-15</v>
      </c>
      <c r="V497" s="3">
        <v>3.0691199999999998E-14</v>
      </c>
      <c r="W497" s="3">
        <v>2.7073099999999999E-14</v>
      </c>
      <c r="X497" s="35">
        <v>1.5096099999999999E-14</v>
      </c>
      <c r="Z497" s="6"/>
      <c r="AA497" s="3">
        <v>2.4952199999999999E-16</v>
      </c>
      <c r="AB497" s="3">
        <v>1.08542E-14</v>
      </c>
      <c r="AC497" s="3">
        <v>1.44723E-14</v>
      </c>
      <c r="AD497" s="30">
        <v>1.16028E-14</v>
      </c>
      <c r="AF497" s="6"/>
      <c r="AG497" s="3"/>
      <c r="AH497" s="3"/>
      <c r="AI497" s="3">
        <v>1.24761E-16</v>
      </c>
      <c r="AJ497" s="30"/>
      <c r="AL497" s="6"/>
      <c r="AM497" s="3"/>
      <c r="AN497" s="3"/>
      <c r="AO497" s="3"/>
      <c r="AP497" s="30"/>
      <c r="AR497" s="6"/>
      <c r="AS497" s="3">
        <v>9.9808799999999998E-16</v>
      </c>
      <c r="AT497" s="3">
        <v>7.4856599999999998E-16</v>
      </c>
      <c r="AU497" s="30">
        <v>1.24761E-16</v>
      </c>
      <c r="AV497" s="3">
        <v>1.24761E-15</v>
      </c>
    </row>
    <row r="498" spans="3:48" x14ac:dyDescent="0.25">
      <c r="C498" s="31">
        <v>5.2773899999999997E-14</v>
      </c>
      <c r="D498" s="5">
        <v>4.6261399999999997E-13</v>
      </c>
      <c r="E498" s="3">
        <v>4.7671200000000004E-13</v>
      </c>
      <c r="F498" s="30">
        <v>4.7596300000000004E-13</v>
      </c>
      <c r="H498" s="2"/>
      <c r="I498" s="3">
        <v>1.4098E-14</v>
      </c>
      <c r="J498" s="3">
        <v>4.4664399999999999E-14</v>
      </c>
      <c r="K498" s="3">
        <v>4.9654900000000003E-14</v>
      </c>
      <c r="L498" s="30">
        <v>3.9050199999999997E-14</v>
      </c>
      <c r="N498" s="6"/>
      <c r="O498" s="3">
        <v>4.8656799999999998E-15</v>
      </c>
      <c r="P498" s="3">
        <v>3.9299699999999998E-14</v>
      </c>
      <c r="Q498" s="3">
        <v>4.11711E-14</v>
      </c>
      <c r="R498" s="30">
        <v>4.5912099999999998E-14</v>
      </c>
      <c r="T498" s="6"/>
      <c r="U498" s="3">
        <v>9.8561199999999997E-15</v>
      </c>
      <c r="V498" s="3">
        <v>2.9817899999999999E-14</v>
      </c>
      <c r="W498" s="3">
        <v>2.6574100000000001E-14</v>
      </c>
      <c r="X498" s="35">
        <v>1.4971300000000001E-14</v>
      </c>
      <c r="Z498" s="6"/>
      <c r="AA498" s="3">
        <v>2.4952199999999999E-16</v>
      </c>
      <c r="AB498" s="3">
        <v>1.08542E-14</v>
      </c>
      <c r="AC498" s="3">
        <v>1.4222799999999999E-14</v>
      </c>
      <c r="AD498" s="30">
        <v>1.16028E-14</v>
      </c>
      <c r="AF498" s="6"/>
      <c r="AG498" s="3"/>
      <c r="AH498" s="3"/>
      <c r="AI498" s="3">
        <v>1.24761E-16</v>
      </c>
      <c r="AJ498" s="30"/>
      <c r="AL498" s="6"/>
      <c r="AM498" s="3"/>
      <c r="AN498" s="3"/>
      <c r="AO498" s="3"/>
      <c r="AP498" s="30"/>
      <c r="AR498" s="6"/>
      <c r="AS498" s="3">
        <v>9.9808799999999998E-16</v>
      </c>
      <c r="AT498" s="3">
        <v>7.4856599999999998E-16</v>
      </c>
      <c r="AU498" s="30">
        <v>2.4952199999999999E-16</v>
      </c>
      <c r="AV498" s="3">
        <v>1.24761E-15</v>
      </c>
    </row>
    <row r="499" spans="3:48" x14ac:dyDescent="0.25">
      <c r="C499" s="31">
        <v>5.26492E-14</v>
      </c>
      <c r="D499" s="5">
        <v>4.6248900000000001E-13</v>
      </c>
      <c r="E499" s="3">
        <v>4.7521500000000001E-13</v>
      </c>
      <c r="F499" s="30">
        <v>4.7284400000000002E-13</v>
      </c>
      <c r="H499" s="2"/>
      <c r="I499" s="3">
        <v>1.4098E-14</v>
      </c>
      <c r="J499" s="3">
        <v>4.4664399999999999E-14</v>
      </c>
      <c r="K499" s="3">
        <v>4.9280599999999999E-14</v>
      </c>
      <c r="L499" s="30">
        <v>3.7428300000000001E-14</v>
      </c>
      <c r="N499" s="6"/>
      <c r="O499" s="3">
        <v>4.7409199999999997E-15</v>
      </c>
      <c r="P499" s="3">
        <v>3.8675899999999999E-14</v>
      </c>
      <c r="Q499" s="3">
        <v>4.11711E-14</v>
      </c>
      <c r="R499" s="30">
        <v>4.5413000000000002E-14</v>
      </c>
      <c r="T499" s="6"/>
      <c r="U499" s="3">
        <v>9.7313599999999996E-15</v>
      </c>
      <c r="V499" s="3">
        <v>2.8694999999999998E-14</v>
      </c>
      <c r="W499" s="3">
        <v>2.5576000000000001E-14</v>
      </c>
      <c r="X499" s="35">
        <v>1.4846600000000001E-14</v>
      </c>
      <c r="Z499" s="6"/>
      <c r="AA499" s="3">
        <v>2.4952199999999999E-16</v>
      </c>
      <c r="AB499" s="3">
        <v>1.06047E-14</v>
      </c>
      <c r="AC499" s="3">
        <v>1.4098E-14</v>
      </c>
      <c r="AD499" s="30">
        <v>1.1103699999999999E-14</v>
      </c>
      <c r="AF499" s="6"/>
      <c r="AG499" s="3"/>
      <c r="AH499" s="3"/>
      <c r="AI499" s="3">
        <v>1.24761E-16</v>
      </c>
      <c r="AJ499" s="30"/>
      <c r="AL499" s="6"/>
      <c r="AM499" s="3"/>
      <c r="AN499" s="3"/>
      <c r="AO499" s="3"/>
      <c r="AP499" s="30"/>
      <c r="AR499" s="6"/>
      <c r="AS499" s="3">
        <v>9.9808799999999998E-16</v>
      </c>
      <c r="AT499" s="3">
        <v>7.4856599999999998E-16</v>
      </c>
      <c r="AU499" s="30">
        <v>7.9847100000000003E-15</v>
      </c>
      <c r="AV499" s="3">
        <v>1.24761E-15</v>
      </c>
    </row>
    <row r="500" spans="3:48" x14ac:dyDescent="0.25">
      <c r="C500" s="31">
        <v>5.26492E-14</v>
      </c>
      <c r="D500" s="5">
        <v>4.60493E-13</v>
      </c>
      <c r="E500" s="3">
        <v>4.7521500000000001E-13</v>
      </c>
      <c r="F500" s="30">
        <v>4.7272000000000003E-13</v>
      </c>
      <c r="H500" s="2"/>
      <c r="I500" s="3">
        <v>1.3848499999999999E-14</v>
      </c>
      <c r="J500" s="3">
        <v>4.4165399999999998E-14</v>
      </c>
      <c r="K500" s="3">
        <v>4.8781500000000003E-14</v>
      </c>
      <c r="L500" s="30">
        <v>3.5556899999999998E-14</v>
      </c>
      <c r="N500" s="6"/>
      <c r="O500" s="3">
        <v>4.7409199999999997E-15</v>
      </c>
      <c r="P500" s="3">
        <v>3.7428300000000001E-14</v>
      </c>
      <c r="Q500" s="3">
        <v>4.1046399999999997E-14</v>
      </c>
      <c r="R500" s="30">
        <v>4.4914000000000001E-14</v>
      </c>
      <c r="T500" s="6"/>
      <c r="U500" s="3">
        <v>9.7313599999999996E-15</v>
      </c>
      <c r="V500" s="3">
        <v>2.7572200000000001E-14</v>
      </c>
      <c r="W500" s="3">
        <v>2.5076999999999999E-14</v>
      </c>
      <c r="X500" s="35">
        <v>1.4846600000000001E-14</v>
      </c>
      <c r="Z500" s="6"/>
      <c r="AA500" s="3">
        <v>2.4952199999999999E-16</v>
      </c>
      <c r="AB500" s="3">
        <v>9.7313699999999994E-15</v>
      </c>
      <c r="AC500" s="3">
        <v>1.3848499999999999E-14</v>
      </c>
      <c r="AD500" s="30">
        <v>1.08542E-14</v>
      </c>
      <c r="AF500" s="6"/>
      <c r="AG500" s="3"/>
      <c r="AH500" s="3"/>
      <c r="AI500" s="3">
        <v>1.24761E-16</v>
      </c>
      <c r="AJ500" s="30"/>
      <c r="AL500" s="6"/>
      <c r="AM500" s="3"/>
      <c r="AN500" s="3"/>
      <c r="AO500" s="3"/>
      <c r="AP500" s="30"/>
      <c r="AR500" s="6"/>
      <c r="AS500" s="3">
        <v>9.9808799999999998E-16</v>
      </c>
      <c r="AT500" s="3">
        <v>7.4856599999999998E-16</v>
      </c>
      <c r="AU500" s="30">
        <v>2.9942599999999999E-15</v>
      </c>
      <c r="AV500" s="3">
        <v>1.24761E-15</v>
      </c>
    </row>
    <row r="501" spans="3:48" x14ac:dyDescent="0.25">
      <c r="C501" s="31">
        <v>5.2274900000000002E-14</v>
      </c>
      <c r="D501" s="5">
        <v>4.6024299999999998E-13</v>
      </c>
      <c r="E501" s="3">
        <v>4.7321900000000001E-13</v>
      </c>
      <c r="F501" s="30">
        <v>4.70474E-13</v>
      </c>
      <c r="H501" s="2"/>
      <c r="I501" s="3">
        <v>1.3848499999999999E-14</v>
      </c>
      <c r="J501" s="3">
        <v>4.40406E-14</v>
      </c>
      <c r="K501" s="3">
        <v>4.8781500000000003E-14</v>
      </c>
      <c r="L501" s="30">
        <v>3.4433999999999997E-14</v>
      </c>
      <c r="N501" s="6"/>
      <c r="O501" s="3">
        <v>4.7409199999999997E-15</v>
      </c>
      <c r="P501" s="3">
        <v>3.69293E-14</v>
      </c>
      <c r="Q501" s="3">
        <v>4.1046399999999997E-14</v>
      </c>
      <c r="R501" s="30">
        <v>4.4539700000000002E-14</v>
      </c>
      <c r="T501" s="6"/>
      <c r="U501" s="3">
        <v>9.7313599999999996E-15</v>
      </c>
      <c r="V501" s="3">
        <v>2.6823600000000001E-14</v>
      </c>
      <c r="W501" s="3">
        <v>2.3704600000000001E-14</v>
      </c>
      <c r="X501" s="35">
        <v>1.4846600000000001E-14</v>
      </c>
      <c r="Z501" s="6"/>
      <c r="AA501" s="3">
        <v>2.4952199999999999E-16</v>
      </c>
      <c r="AB501" s="3">
        <v>9.6066099999999993E-15</v>
      </c>
      <c r="AC501" s="3">
        <v>1.3848499999999999E-14</v>
      </c>
      <c r="AD501" s="30">
        <v>1.0729500000000001E-14</v>
      </c>
      <c r="AF501" s="6"/>
      <c r="AG501" s="3"/>
      <c r="AH501" s="3"/>
      <c r="AI501" s="3">
        <v>1.24761E-16</v>
      </c>
      <c r="AJ501" s="30"/>
      <c r="AL501" s="6"/>
      <c r="AM501" s="3"/>
      <c r="AN501" s="3"/>
      <c r="AO501" s="3"/>
      <c r="AP501" s="30"/>
      <c r="AR501" s="6"/>
      <c r="AS501" s="3">
        <v>9.9808799999999998E-16</v>
      </c>
      <c r="AT501" s="3">
        <v>7.4856599999999998E-16</v>
      </c>
      <c r="AU501" s="30">
        <v>1.4347499999999999E-14</v>
      </c>
      <c r="AV501" s="3">
        <v>1.24761E-15</v>
      </c>
    </row>
    <row r="502" spans="3:48" x14ac:dyDescent="0.25">
      <c r="C502" s="31">
        <v>5.2274900000000002E-14</v>
      </c>
      <c r="D502" s="5">
        <v>4.6011899999999999E-13</v>
      </c>
      <c r="E502" s="3">
        <v>4.7197100000000003E-13</v>
      </c>
      <c r="F502" s="30">
        <v>4.6984999999999996E-13</v>
      </c>
      <c r="H502" s="2"/>
      <c r="I502" s="3">
        <v>1.3848499999999999E-14</v>
      </c>
      <c r="J502" s="3">
        <v>4.37911E-14</v>
      </c>
      <c r="K502" s="3">
        <v>4.86568E-14</v>
      </c>
      <c r="L502" s="30">
        <v>3.34359E-14</v>
      </c>
      <c r="N502" s="6"/>
      <c r="O502" s="3">
        <v>4.7409199999999997E-15</v>
      </c>
      <c r="P502" s="3">
        <v>3.6430199999999998E-14</v>
      </c>
      <c r="Q502" s="3">
        <v>3.97988E-14</v>
      </c>
      <c r="R502" s="30">
        <v>4.40406E-14</v>
      </c>
      <c r="T502" s="6"/>
      <c r="U502" s="3">
        <v>9.7313599999999996E-15</v>
      </c>
      <c r="V502" s="3">
        <v>2.6698899999999998E-14</v>
      </c>
      <c r="W502" s="3">
        <v>2.25817E-14</v>
      </c>
      <c r="X502" s="35">
        <v>1.44723E-14</v>
      </c>
      <c r="Z502" s="6"/>
      <c r="AA502" s="3">
        <v>2.4952199999999999E-16</v>
      </c>
      <c r="AB502" s="3">
        <v>9.6066099999999993E-15</v>
      </c>
      <c r="AC502" s="3">
        <v>1.37237E-14</v>
      </c>
      <c r="AD502" s="30">
        <v>1.01057E-14</v>
      </c>
      <c r="AF502" s="6"/>
      <c r="AG502" s="3"/>
      <c r="AH502" s="3"/>
      <c r="AI502" s="3">
        <v>1.24761E-16</v>
      </c>
      <c r="AJ502" s="30"/>
      <c r="AL502" s="6"/>
      <c r="AM502" s="3"/>
      <c r="AN502" s="3"/>
      <c r="AO502" s="3"/>
      <c r="AP502" s="30"/>
      <c r="AR502" s="6"/>
      <c r="AS502" s="3">
        <v>9.9808799999999998E-16</v>
      </c>
      <c r="AT502" s="3">
        <v>7.4856599999999998E-16</v>
      </c>
      <c r="AU502" s="30">
        <v>1.4971299999999999E-15</v>
      </c>
      <c r="AV502" s="3">
        <v>1.24761E-15</v>
      </c>
    </row>
    <row r="503" spans="3:48" x14ac:dyDescent="0.25">
      <c r="C503" s="31">
        <v>5.2025400000000002E-14</v>
      </c>
      <c r="D503" s="5">
        <v>4.5986899999999997E-13</v>
      </c>
      <c r="E503" s="3">
        <v>4.6947600000000005E-13</v>
      </c>
      <c r="F503" s="30">
        <v>4.68478E-13</v>
      </c>
      <c r="H503" s="2"/>
      <c r="I503" s="3">
        <v>1.37237E-14</v>
      </c>
      <c r="J503" s="3">
        <v>4.3042500000000003E-14</v>
      </c>
      <c r="K503" s="3">
        <v>4.8407299999999999E-14</v>
      </c>
      <c r="L503" s="30">
        <v>3.2687399999999999E-14</v>
      </c>
      <c r="N503" s="6"/>
      <c r="O503" s="3">
        <v>4.7409199999999997E-15</v>
      </c>
      <c r="P503" s="3">
        <v>3.60559E-14</v>
      </c>
      <c r="Q503" s="3">
        <v>3.9549199999999998E-14</v>
      </c>
      <c r="R503" s="30">
        <v>4.26683E-14</v>
      </c>
      <c r="T503" s="6"/>
      <c r="U503" s="3">
        <v>9.7313599999999996E-15</v>
      </c>
      <c r="V503" s="3">
        <v>2.6698899999999998E-14</v>
      </c>
      <c r="W503" s="3">
        <v>2.2457E-14</v>
      </c>
      <c r="X503" s="35">
        <v>1.4347499999999999E-14</v>
      </c>
      <c r="Z503" s="6"/>
      <c r="AA503" s="3">
        <v>2.4952199999999999E-16</v>
      </c>
      <c r="AB503" s="3">
        <v>9.2323199999999993E-15</v>
      </c>
      <c r="AC503" s="3">
        <v>1.3224700000000001E-14</v>
      </c>
      <c r="AD503" s="30">
        <v>1.01057E-14</v>
      </c>
      <c r="AF503" s="6"/>
      <c r="AG503" s="3"/>
      <c r="AH503" s="3"/>
      <c r="AI503" s="3">
        <v>1.24761E-16</v>
      </c>
      <c r="AJ503" s="30"/>
      <c r="AL503" s="6"/>
      <c r="AM503" s="3"/>
      <c r="AN503" s="3"/>
      <c r="AO503" s="3"/>
      <c r="AP503" s="30"/>
      <c r="AR503" s="6"/>
      <c r="AS503" s="3">
        <v>9.9808799999999998E-16</v>
      </c>
      <c r="AT503" s="3">
        <v>7.4856599999999998E-16</v>
      </c>
      <c r="AU503" s="30">
        <v>4.9904399999999999E-16</v>
      </c>
      <c r="AV503" s="3">
        <v>1.24761E-15</v>
      </c>
    </row>
    <row r="504" spans="3:48" x14ac:dyDescent="0.25">
      <c r="C504" s="31">
        <v>5.2025400000000002E-14</v>
      </c>
      <c r="D504" s="5">
        <v>4.5949499999999995E-13</v>
      </c>
      <c r="E504" s="3">
        <v>4.6560800000000003E-13</v>
      </c>
      <c r="F504" s="30">
        <v>4.67729E-13</v>
      </c>
      <c r="H504" s="2"/>
      <c r="I504" s="3">
        <v>1.3598899999999999E-14</v>
      </c>
      <c r="J504" s="3">
        <v>4.2169199999999997E-14</v>
      </c>
      <c r="K504" s="3">
        <v>4.8407299999999999E-14</v>
      </c>
      <c r="L504" s="30">
        <v>3.2437799999999997E-14</v>
      </c>
      <c r="N504" s="6"/>
      <c r="O504" s="3">
        <v>4.7409199999999997E-15</v>
      </c>
      <c r="P504" s="3">
        <v>3.5307399999999998E-14</v>
      </c>
      <c r="Q504" s="3">
        <v>3.9050199999999997E-14</v>
      </c>
      <c r="R504" s="30">
        <v>4.0547300000000002E-14</v>
      </c>
      <c r="T504" s="6"/>
      <c r="U504" s="3">
        <v>9.6065999999999996E-15</v>
      </c>
      <c r="V504" s="3">
        <v>2.6199799999999999E-14</v>
      </c>
      <c r="W504" s="3">
        <v>2.2457E-14</v>
      </c>
      <c r="X504" s="35">
        <v>1.4347499999999999E-14</v>
      </c>
      <c r="Z504" s="6"/>
      <c r="AA504" s="3">
        <v>2.4952199999999999E-16</v>
      </c>
      <c r="AB504" s="3">
        <v>8.9828000000000007E-15</v>
      </c>
      <c r="AC504" s="3">
        <v>1.29752E-14</v>
      </c>
      <c r="AD504" s="30">
        <v>1.01057E-14</v>
      </c>
      <c r="AF504" s="6"/>
      <c r="AG504" s="3"/>
      <c r="AH504" s="3"/>
      <c r="AI504" s="3">
        <v>1.24761E-16</v>
      </c>
      <c r="AJ504" s="30"/>
      <c r="AL504" s="6"/>
      <c r="AM504" s="3"/>
      <c r="AN504" s="3"/>
      <c r="AO504" s="3"/>
      <c r="AP504" s="30"/>
      <c r="AR504" s="6"/>
      <c r="AS504" s="3">
        <v>9.9808799999999998E-16</v>
      </c>
      <c r="AT504" s="3">
        <v>7.4856599999999998E-16</v>
      </c>
      <c r="AU504" s="30">
        <v>9.9808799999999998E-16</v>
      </c>
      <c r="AV504" s="3">
        <v>1.24761E-15</v>
      </c>
    </row>
    <row r="505" spans="3:48" x14ac:dyDescent="0.25">
      <c r="C505" s="31">
        <v>5.1900599999999998E-14</v>
      </c>
      <c r="D505" s="5">
        <v>4.58497E-13</v>
      </c>
      <c r="E505" s="3">
        <v>4.6510899999999995E-13</v>
      </c>
      <c r="F505" s="30">
        <v>4.6748000000000004E-13</v>
      </c>
      <c r="H505" s="2"/>
      <c r="I505" s="3">
        <v>1.34742E-14</v>
      </c>
      <c r="J505" s="3">
        <v>4.1420600000000001E-14</v>
      </c>
      <c r="K505" s="3">
        <v>4.6036800000000001E-14</v>
      </c>
      <c r="L505" s="30">
        <v>3.23131E-14</v>
      </c>
      <c r="N505" s="6"/>
      <c r="O505" s="3">
        <v>4.7409199999999997E-15</v>
      </c>
      <c r="P505" s="3">
        <v>3.51826E-14</v>
      </c>
      <c r="Q505" s="3">
        <v>3.8800700000000003E-14</v>
      </c>
      <c r="R505" s="30">
        <v>3.8675899999999999E-14</v>
      </c>
      <c r="T505" s="6"/>
      <c r="U505" s="3">
        <v>9.6065999999999996E-15</v>
      </c>
      <c r="V505" s="3">
        <v>2.4702700000000001E-14</v>
      </c>
      <c r="W505" s="3">
        <v>2.2332199999999999E-14</v>
      </c>
      <c r="X505" s="35">
        <v>1.33494E-14</v>
      </c>
      <c r="Z505" s="6"/>
      <c r="AA505" s="3">
        <v>2.4952199999999999E-16</v>
      </c>
      <c r="AB505" s="3">
        <v>8.6085200000000005E-15</v>
      </c>
      <c r="AC505" s="3">
        <v>1.22266E-14</v>
      </c>
      <c r="AD505" s="30">
        <v>9.9808899999999996E-15</v>
      </c>
      <c r="AF505" s="6"/>
      <c r="AG505" s="3"/>
      <c r="AH505" s="3"/>
      <c r="AI505" s="3">
        <v>1.24761E-16</v>
      </c>
      <c r="AJ505" s="30"/>
      <c r="AL505" s="6"/>
      <c r="AM505" s="3"/>
      <c r="AN505" s="3"/>
      <c r="AO505" s="3"/>
      <c r="AP505" s="30"/>
      <c r="AR505" s="6"/>
      <c r="AS505" s="3">
        <v>9.9808799999999998E-16</v>
      </c>
      <c r="AT505" s="3">
        <v>7.4856599999999998E-16</v>
      </c>
      <c r="AU505" s="30">
        <v>2.4952199999999999E-16</v>
      </c>
      <c r="AV505" s="3">
        <v>1.24761E-15</v>
      </c>
    </row>
    <row r="506" spans="3:48" x14ac:dyDescent="0.25">
      <c r="C506" s="31">
        <v>5.17758E-14</v>
      </c>
      <c r="D506" s="5">
        <v>4.54879E-13</v>
      </c>
      <c r="E506" s="3">
        <v>4.6473500000000004E-13</v>
      </c>
      <c r="F506" s="30">
        <v>4.6648199999999999E-13</v>
      </c>
      <c r="H506" s="2"/>
      <c r="I506" s="3">
        <v>1.34742E-14</v>
      </c>
      <c r="J506" s="3">
        <v>4.0172999999999997E-14</v>
      </c>
      <c r="K506" s="3">
        <v>4.57873E-14</v>
      </c>
      <c r="L506" s="30">
        <v>3.1314999999999997E-14</v>
      </c>
      <c r="N506" s="6"/>
      <c r="O506" s="3">
        <v>4.6161599999999997E-15</v>
      </c>
      <c r="P506" s="3">
        <v>3.49331E-14</v>
      </c>
      <c r="Q506" s="3">
        <v>3.8800700000000003E-14</v>
      </c>
      <c r="R506" s="30">
        <v>3.8551200000000002E-14</v>
      </c>
      <c r="T506" s="6"/>
      <c r="U506" s="3">
        <v>9.4818399999999995E-15</v>
      </c>
      <c r="V506" s="3">
        <v>2.45779E-14</v>
      </c>
      <c r="W506" s="3">
        <v>2.2082699999999999E-14</v>
      </c>
      <c r="X506" s="35">
        <v>1.2975100000000001E-14</v>
      </c>
      <c r="Z506" s="6"/>
      <c r="AA506" s="3">
        <v>2.4952199999999999E-16</v>
      </c>
      <c r="AB506" s="3">
        <v>8.6085200000000005E-15</v>
      </c>
      <c r="AC506" s="3">
        <v>1.1852300000000001E-14</v>
      </c>
      <c r="AD506" s="30">
        <v>9.4818499999999993E-15</v>
      </c>
      <c r="AF506" s="6"/>
      <c r="AG506" s="3"/>
      <c r="AH506" s="3"/>
      <c r="AI506" s="3">
        <v>1.24761E-16</v>
      </c>
      <c r="AJ506" s="30"/>
      <c r="AL506" s="6"/>
      <c r="AM506" s="3"/>
      <c r="AN506" s="3"/>
      <c r="AO506" s="3"/>
      <c r="AP506" s="30"/>
      <c r="AR506" s="6"/>
      <c r="AS506" s="3">
        <v>9.9808799999999998E-16</v>
      </c>
      <c r="AT506" s="3">
        <v>7.4856599999999998E-16</v>
      </c>
      <c r="AU506" s="30">
        <v>7.4856599999999998E-16</v>
      </c>
      <c r="AV506" s="3">
        <v>1.1228500000000001E-15</v>
      </c>
    </row>
    <row r="507" spans="3:48" x14ac:dyDescent="0.25">
      <c r="C507" s="31">
        <v>5.17758E-14</v>
      </c>
      <c r="D507" s="5">
        <v>4.5400499999999999E-13</v>
      </c>
      <c r="E507" s="3">
        <v>4.6248900000000001E-13</v>
      </c>
      <c r="F507" s="30">
        <v>4.6610700000000001E-13</v>
      </c>
      <c r="H507" s="2"/>
      <c r="I507" s="3">
        <v>1.33494E-14</v>
      </c>
      <c r="J507" s="3">
        <v>3.8800700000000003E-14</v>
      </c>
      <c r="K507" s="3">
        <v>4.4539700000000002E-14</v>
      </c>
      <c r="L507" s="30">
        <v>3.1065500000000003E-14</v>
      </c>
      <c r="N507" s="6"/>
      <c r="O507" s="3">
        <v>4.6161599999999997E-15</v>
      </c>
      <c r="P507" s="3">
        <v>3.4184499999999997E-14</v>
      </c>
      <c r="Q507" s="3">
        <v>3.8551200000000002E-14</v>
      </c>
      <c r="R507" s="30">
        <v>3.7927300000000002E-14</v>
      </c>
      <c r="T507" s="6"/>
      <c r="U507" s="3">
        <v>9.4818399999999995E-15</v>
      </c>
      <c r="V507" s="3">
        <v>2.3829300000000001E-14</v>
      </c>
      <c r="W507" s="3">
        <v>2.1334099999999999E-14</v>
      </c>
      <c r="X507" s="35">
        <v>1.16028E-14</v>
      </c>
      <c r="Z507" s="6"/>
      <c r="AA507" s="3">
        <v>2.4952199999999999E-16</v>
      </c>
      <c r="AB507" s="3">
        <v>8.4837600000000004E-15</v>
      </c>
      <c r="AC507" s="3">
        <v>1.1103699999999999E-14</v>
      </c>
      <c r="AD507" s="30">
        <v>9.3570799999999994E-15</v>
      </c>
      <c r="AF507" s="6"/>
      <c r="AG507" s="3"/>
      <c r="AH507" s="3"/>
      <c r="AI507" s="3">
        <v>1.24761E-16</v>
      </c>
      <c r="AJ507" s="30"/>
      <c r="AL507" s="6"/>
      <c r="AM507" s="3"/>
      <c r="AN507" s="3"/>
      <c r="AO507" s="3"/>
      <c r="AP507" s="30"/>
      <c r="AR507" s="6"/>
      <c r="AS507" s="3">
        <v>9.9808799999999998E-16</v>
      </c>
      <c r="AT507" s="3">
        <v>7.4856599999999998E-16</v>
      </c>
      <c r="AU507" s="30">
        <v>3.3685499999999999E-15</v>
      </c>
      <c r="AV507" s="3">
        <v>1.1228500000000001E-15</v>
      </c>
    </row>
    <row r="508" spans="3:48" x14ac:dyDescent="0.25">
      <c r="C508" s="31">
        <v>5.1651099999999997E-14</v>
      </c>
      <c r="D508" s="5">
        <v>4.5325700000000001E-13</v>
      </c>
      <c r="E508" s="3">
        <v>4.6149099999999996E-13</v>
      </c>
      <c r="F508" s="30">
        <v>4.6498399999999999E-13</v>
      </c>
      <c r="H508" s="2"/>
      <c r="I508" s="3">
        <v>1.33494E-14</v>
      </c>
      <c r="J508" s="3">
        <v>3.7428300000000001E-14</v>
      </c>
      <c r="K508" s="3">
        <v>4.3292099999999998E-14</v>
      </c>
      <c r="L508" s="30">
        <v>3.0816000000000002E-14</v>
      </c>
      <c r="N508" s="6"/>
      <c r="O508" s="3">
        <v>4.6161599999999997E-15</v>
      </c>
      <c r="P508" s="3">
        <v>3.20636E-14</v>
      </c>
      <c r="Q508" s="3">
        <v>3.7802599999999999E-14</v>
      </c>
      <c r="R508" s="30">
        <v>3.7553099999999999E-14</v>
      </c>
      <c r="T508" s="6"/>
      <c r="U508" s="3">
        <v>9.3570699999999996E-15</v>
      </c>
      <c r="V508" s="3">
        <v>2.35798E-14</v>
      </c>
      <c r="W508" s="3">
        <v>1.87141E-14</v>
      </c>
      <c r="X508" s="35">
        <v>1.08542E-14</v>
      </c>
      <c r="Z508" s="6"/>
      <c r="AA508" s="3">
        <v>2.4952199999999999E-16</v>
      </c>
      <c r="AB508" s="3">
        <v>8.1094700000000004E-15</v>
      </c>
      <c r="AC508" s="3">
        <v>8.3590000000000003E-15</v>
      </c>
      <c r="AD508" s="30">
        <v>9.1075599999999992E-15</v>
      </c>
      <c r="AF508" s="6"/>
      <c r="AG508" s="3"/>
      <c r="AH508" s="3"/>
      <c r="AI508" s="3">
        <v>1.24761E-16</v>
      </c>
      <c r="AJ508" s="30"/>
      <c r="AL508" s="6"/>
      <c r="AM508" s="3"/>
      <c r="AN508" s="3"/>
      <c r="AO508" s="3"/>
      <c r="AP508" s="30"/>
      <c r="AR508" s="6"/>
      <c r="AS508" s="3">
        <v>9.9808799999999998E-16</v>
      </c>
      <c r="AT508" s="3">
        <v>7.4856599999999998E-16</v>
      </c>
      <c r="AU508" s="30">
        <v>1.22266E-14</v>
      </c>
      <c r="AV508" s="3">
        <v>1.1228500000000001E-15</v>
      </c>
    </row>
    <row r="509" spans="3:48" x14ac:dyDescent="0.25">
      <c r="C509" s="31">
        <v>5.1651099999999997E-14</v>
      </c>
      <c r="D509" s="5">
        <v>4.4789200000000002E-13</v>
      </c>
      <c r="E509" s="3">
        <v>4.6011899999999999E-13</v>
      </c>
      <c r="F509" s="30">
        <v>4.6199000000000003E-13</v>
      </c>
      <c r="H509" s="2"/>
      <c r="I509" s="3">
        <v>1.30999E-14</v>
      </c>
      <c r="J509" s="3">
        <v>3.6804500000000002E-14</v>
      </c>
      <c r="K509" s="3">
        <v>4.2793000000000003E-14</v>
      </c>
      <c r="L509" s="30">
        <v>3.0691199999999998E-14</v>
      </c>
      <c r="N509" s="6"/>
      <c r="O509" s="3">
        <v>4.6161599999999997E-15</v>
      </c>
      <c r="P509" s="3">
        <v>3.1689300000000002E-14</v>
      </c>
      <c r="Q509" s="3">
        <v>3.6305500000000001E-14</v>
      </c>
      <c r="R509" s="30">
        <v>3.7553099999999999E-14</v>
      </c>
      <c r="T509" s="6"/>
      <c r="U509" s="3">
        <v>9.3570699999999996E-15</v>
      </c>
      <c r="V509" s="3">
        <v>2.2956000000000001E-14</v>
      </c>
      <c r="W509" s="3">
        <v>1.84646E-14</v>
      </c>
      <c r="X509" s="35">
        <v>1.08542E-14</v>
      </c>
      <c r="Z509" s="6"/>
      <c r="AA509" s="3">
        <v>2.4952199999999999E-16</v>
      </c>
      <c r="AB509" s="3">
        <v>7.7351900000000002E-15</v>
      </c>
      <c r="AC509" s="3">
        <v>7.9847100000000003E-15</v>
      </c>
      <c r="AD509" s="30">
        <v>8.6085200000000005E-15</v>
      </c>
      <c r="AF509" s="6"/>
      <c r="AG509" s="3"/>
      <c r="AH509" s="3"/>
      <c r="AI509" s="3">
        <v>1.24761E-16</v>
      </c>
      <c r="AJ509" s="30"/>
      <c r="AL509" s="6"/>
      <c r="AM509" s="3"/>
      <c r="AN509" s="3"/>
      <c r="AO509" s="3"/>
      <c r="AP509" s="30"/>
      <c r="AR509" s="6"/>
      <c r="AS509" s="3">
        <v>9.9808799999999998E-16</v>
      </c>
      <c r="AT509" s="3">
        <v>7.4856599999999998E-16</v>
      </c>
      <c r="AU509" s="30">
        <v>1.24761E-16</v>
      </c>
      <c r="AV509" s="3">
        <v>1.1228500000000001E-15</v>
      </c>
    </row>
    <row r="510" spans="3:48" x14ac:dyDescent="0.25">
      <c r="C510" s="31">
        <v>5.15263E-14</v>
      </c>
      <c r="D510" s="5">
        <v>4.4726799999999998E-13</v>
      </c>
      <c r="E510" s="3">
        <v>4.58497E-13</v>
      </c>
      <c r="F510" s="30">
        <v>4.6074300000000003E-13</v>
      </c>
      <c r="H510" s="2"/>
      <c r="I510" s="3">
        <v>1.30999E-14</v>
      </c>
      <c r="J510" s="3">
        <v>3.6555000000000002E-14</v>
      </c>
      <c r="K510" s="3">
        <v>4.2543500000000002E-14</v>
      </c>
      <c r="L510" s="30">
        <v>3.0566400000000001E-14</v>
      </c>
      <c r="N510" s="6"/>
      <c r="O510" s="3">
        <v>4.6161599999999997E-15</v>
      </c>
      <c r="P510" s="3">
        <v>3.11903E-14</v>
      </c>
      <c r="Q510" s="3">
        <v>3.6180699999999997E-14</v>
      </c>
      <c r="R510" s="30">
        <v>3.69293E-14</v>
      </c>
      <c r="T510" s="6"/>
      <c r="U510" s="3">
        <v>9.3570699999999996E-15</v>
      </c>
      <c r="V510" s="3">
        <v>2.25817E-14</v>
      </c>
      <c r="W510" s="3">
        <v>1.75913E-14</v>
      </c>
      <c r="X510" s="35">
        <v>1.07294E-14</v>
      </c>
      <c r="Z510" s="6"/>
      <c r="AA510" s="3">
        <v>2.4952199999999999E-16</v>
      </c>
      <c r="AB510" s="3">
        <v>7.6104300000000001E-15</v>
      </c>
      <c r="AC510" s="3">
        <v>7.48567E-15</v>
      </c>
      <c r="AD510" s="30">
        <v>8.6085200000000005E-15</v>
      </c>
      <c r="AF510" s="6"/>
      <c r="AG510" s="3"/>
      <c r="AH510" s="3"/>
      <c r="AI510" s="3">
        <v>1.24761E-16</v>
      </c>
      <c r="AJ510" s="30"/>
      <c r="AL510" s="6"/>
      <c r="AM510" s="3"/>
      <c r="AN510" s="3"/>
      <c r="AO510" s="3"/>
      <c r="AP510" s="30"/>
      <c r="AR510" s="6"/>
      <c r="AS510" s="3">
        <v>9.9808799999999998E-16</v>
      </c>
      <c r="AT510" s="3">
        <v>7.4856599999999998E-16</v>
      </c>
      <c r="AU510" s="30">
        <v>7.4856600000000002E-15</v>
      </c>
      <c r="AV510" s="3">
        <v>1.1228500000000001E-15</v>
      </c>
    </row>
    <row r="511" spans="3:48" x14ac:dyDescent="0.25">
      <c r="C511" s="31">
        <v>5.1027299999999998E-14</v>
      </c>
      <c r="D511" s="5">
        <v>4.4626999999999998E-13</v>
      </c>
      <c r="E511" s="3">
        <v>4.58497E-13</v>
      </c>
      <c r="F511" s="30">
        <v>4.5912100000000004E-13</v>
      </c>
      <c r="H511" s="2"/>
      <c r="I511" s="3">
        <v>1.2975100000000001E-14</v>
      </c>
      <c r="J511" s="3">
        <v>3.5681600000000001E-14</v>
      </c>
      <c r="K511" s="3">
        <v>4.2418699999999998E-14</v>
      </c>
      <c r="L511" s="30">
        <v>3.0441699999999998E-14</v>
      </c>
      <c r="N511" s="6"/>
      <c r="O511" s="3">
        <v>4.6161599999999997E-15</v>
      </c>
      <c r="P511" s="3">
        <v>3.0816000000000002E-14</v>
      </c>
      <c r="Q511" s="3">
        <v>3.49331E-14</v>
      </c>
      <c r="R511" s="30">
        <v>3.5057800000000003E-14</v>
      </c>
      <c r="T511" s="6"/>
      <c r="U511" s="3">
        <v>9.3570699999999996E-15</v>
      </c>
      <c r="V511" s="3">
        <v>2.1084599999999999E-14</v>
      </c>
      <c r="W511" s="3">
        <v>1.75913E-14</v>
      </c>
      <c r="X511" s="35">
        <v>1.07294E-14</v>
      </c>
      <c r="Z511" s="6"/>
      <c r="AA511" s="3">
        <v>2.4952199999999999E-16</v>
      </c>
      <c r="AB511" s="3">
        <v>7.3609099999999999E-15</v>
      </c>
      <c r="AC511" s="3">
        <v>7.48567E-15</v>
      </c>
      <c r="AD511" s="30">
        <v>7.8599500000000002E-15</v>
      </c>
      <c r="AF511" s="6"/>
      <c r="AG511" s="3"/>
      <c r="AH511" s="3"/>
      <c r="AI511" s="3">
        <v>1.24761E-16</v>
      </c>
      <c r="AJ511" s="30"/>
      <c r="AL511" s="6"/>
      <c r="AM511" s="3"/>
      <c r="AN511" s="3"/>
      <c r="AO511" s="3"/>
      <c r="AP511" s="30"/>
      <c r="AR511" s="6"/>
      <c r="AS511" s="3">
        <v>9.9808799999999998E-16</v>
      </c>
      <c r="AT511" s="3">
        <v>7.4856599999999998E-16</v>
      </c>
      <c r="AU511" s="30">
        <v>9.9808799999999998E-15</v>
      </c>
      <c r="AV511" s="3">
        <v>1.1228500000000001E-15</v>
      </c>
    </row>
    <row r="512" spans="3:48" x14ac:dyDescent="0.25">
      <c r="C512" s="31">
        <v>5.0902500000000001E-14</v>
      </c>
      <c r="D512" s="5">
        <v>4.4602100000000002E-13</v>
      </c>
      <c r="E512" s="3">
        <v>4.5637600000000003E-13</v>
      </c>
      <c r="F512" s="30">
        <v>4.5862199999999996E-13</v>
      </c>
      <c r="H512" s="2"/>
      <c r="I512" s="3">
        <v>1.2850400000000001E-14</v>
      </c>
      <c r="J512" s="3">
        <v>3.5556899999999998E-14</v>
      </c>
      <c r="K512" s="3">
        <v>4.1545399999999999E-14</v>
      </c>
      <c r="L512" s="30">
        <v>2.91941E-14</v>
      </c>
      <c r="N512" s="6"/>
      <c r="O512" s="3">
        <v>4.4914000000000004E-15</v>
      </c>
      <c r="P512" s="3">
        <v>2.9568399999999998E-14</v>
      </c>
      <c r="Q512" s="3">
        <v>3.4683599999999999E-14</v>
      </c>
      <c r="R512" s="30">
        <v>3.4808300000000002E-14</v>
      </c>
      <c r="T512" s="6"/>
      <c r="U512" s="3">
        <v>9.3570699999999996E-15</v>
      </c>
      <c r="V512" s="3">
        <v>2.0211299999999999E-14</v>
      </c>
      <c r="W512" s="3">
        <v>1.7466499999999999E-14</v>
      </c>
      <c r="X512" s="35">
        <v>9.7313599999999996E-15</v>
      </c>
      <c r="Z512" s="6"/>
      <c r="AA512" s="3">
        <v>2.4952199999999999E-16</v>
      </c>
      <c r="AB512" s="3">
        <v>7.2361499999999999E-15</v>
      </c>
      <c r="AC512" s="3">
        <v>7.48567E-15</v>
      </c>
      <c r="AD512" s="30">
        <v>6.4875800000000004E-15</v>
      </c>
      <c r="AF512" s="6"/>
      <c r="AG512" s="3"/>
      <c r="AH512" s="3"/>
      <c r="AI512" s="3">
        <v>1.24761E-16</v>
      </c>
      <c r="AJ512" s="30"/>
      <c r="AL512" s="6"/>
      <c r="AM512" s="3"/>
      <c r="AN512" s="3"/>
      <c r="AO512" s="3"/>
      <c r="AP512" s="30"/>
      <c r="AR512" s="6"/>
      <c r="AS512" s="3">
        <v>9.9808799999999998E-16</v>
      </c>
      <c r="AT512" s="3">
        <v>7.4856599999999998E-16</v>
      </c>
      <c r="AU512" s="30">
        <v>5.8637700000000002E-15</v>
      </c>
      <c r="AV512" s="3">
        <v>1.1228500000000001E-15</v>
      </c>
    </row>
    <row r="513" spans="3:48" x14ac:dyDescent="0.25">
      <c r="C513" s="31">
        <v>5.0777700000000003E-14</v>
      </c>
      <c r="D513" s="5">
        <v>4.4377499999999999E-13</v>
      </c>
      <c r="E513" s="3">
        <v>4.53132E-13</v>
      </c>
      <c r="F513" s="30">
        <v>4.5862199999999996E-13</v>
      </c>
      <c r="H513" s="2"/>
      <c r="I513" s="3">
        <v>1.2850400000000001E-14</v>
      </c>
      <c r="J513" s="3">
        <v>3.5307399999999998E-14</v>
      </c>
      <c r="K513" s="3">
        <v>4.0547300000000002E-14</v>
      </c>
      <c r="L513" s="30">
        <v>2.7572200000000001E-14</v>
      </c>
      <c r="N513" s="6"/>
      <c r="O513" s="3">
        <v>4.4914000000000004E-15</v>
      </c>
      <c r="P513" s="3">
        <v>2.91941E-14</v>
      </c>
      <c r="Q513" s="3">
        <v>3.4558800000000001E-14</v>
      </c>
      <c r="R513" s="30">
        <v>3.40598E-14</v>
      </c>
      <c r="T513" s="6"/>
      <c r="U513" s="3">
        <v>9.3570699999999996E-15</v>
      </c>
      <c r="V513" s="3">
        <v>1.9961799999999999E-14</v>
      </c>
      <c r="W513" s="3">
        <v>1.65932E-14</v>
      </c>
      <c r="X513" s="35">
        <v>9.4818399999999995E-15</v>
      </c>
      <c r="Z513" s="6"/>
      <c r="AA513" s="3">
        <v>2.4952199999999999E-16</v>
      </c>
      <c r="AB513" s="3">
        <v>7.11138E-15</v>
      </c>
      <c r="AC513" s="3">
        <v>7.3609099999999999E-15</v>
      </c>
      <c r="AD513" s="30">
        <v>6.1133000000000002E-15</v>
      </c>
      <c r="AF513" s="6"/>
      <c r="AG513" s="3"/>
      <c r="AH513" s="3"/>
      <c r="AI513" s="3">
        <v>1.24761E-16</v>
      </c>
      <c r="AJ513" s="30"/>
      <c r="AL513" s="6"/>
      <c r="AM513" s="3"/>
      <c r="AN513" s="3"/>
      <c r="AO513" s="3"/>
      <c r="AP513" s="30"/>
      <c r="AR513" s="6"/>
      <c r="AS513" s="3">
        <v>9.9808799999999998E-16</v>
      </c>
      <c r="AT513" s="3">
        <v>7.4856599999999998E-16</v>
      </c>
      <c r="AU513" s="30">
        <v>6.6123299999999999E-15</v>
      </c>
      <c r="AV513" s="3">
        <v>1.1228500000000001E-15</v>
      </c>
    </row>
    <row r="514" spans="3:48" x14ac:dyDescent="0.25">
      <c r="C514" s="31">
        <v>5.0777700000000003E-14</v>
      </c>
      <c r="D514" s="5">
        <v>4.4315100000000001E-13</v>
      </c>
      <c r="E514" s="3">
        <v>4.5300699999999999E-13</v>
      </c>
      <c r="F514" s="30">
        <v>4.5662499999999999E-13</v>
      </c>
      <c r="H514" s="2"/>
      <c r="I514" s="3">
        <v>1.2850400000000001E-14</v>
      </c>
      <c r="J514" s="3">
        <v>3.4059699999999999E-14</v>
      </c>
      <c r="K514" s="3">
        <v>4.0172999999999997E-14</v>
      </c>
      <c r="L514" s="30">
        <v>2.6698800000000001E-14</v>
      </c>
      <c r="N514" s="6"/>
      <c r="O514" s="3">
        <v>4.3666400000000003E-15</v>
      </c>
      <c r="P514" s="3">
        <v>2.91941E-14</v>
      </c>
      <c r="Q514" s="3">
        <v>3.4433999999999997E-14</v>
      </c>
      <c r="R514" s="30">
        <v>3.3685500000000002E-14</v>
      </c>
      <c r="T514" s="6"/>
      <c r="U514" s="3">
        <v>9.3570699999999996E-15</v>
      </c>
      <c r="V514" s="3">
        <v>1.87141E-14</v>
      </c>
      <c r="W514" s="3">
        <v>1.65932E-14</v>
      </c>
      <c r="X514" s="35">
        <v>8.8580299999999993E-15</v>
      </c>
      <c r="Z514" s="6"/>
      <c r="AA514" s="3">
        <v>2.4952199999999999E-16</v>
      </c>
      <c r="AB514" s="3">
        <v>6.8618599999999998E-15</v>
      </c>
      <c r="AC514" s="3">
        <v>6.6123399999999997E-15</v>
      </c>
      <c r="AD514" s="30">
        <v>5.6142500000000001E-15</v>
      </c>
      <c r="AF514" s="6"/>
      <c r="AG514" s="3"/>
      <c r="AH514" s="3"/>
      <c r="AI514" s="3">
        <v>1.24761E-16</v>
      </c>
      <c r="AJ514" s="30"/>
      <c r="AL514" s="6"/>
      <c r="AM514" s="3"/>
      <c r="AN514" s="3"/>
      <c r="AO514" s="3"/>
      <c r="AP514" s="30"/>
      <c r="AR514" s="6"/>
      <c r="AS514" s="3">
        <v>9.9808799999999998E-16</v>
      </c>
      <c r="AT514" s="3">
        <v>7.4856599999999998E-16</v>
      </c>
      <c r="AU514" s="30">
        <v>6.2380499999999999E-16</v>
      </c>
      <c r="AV514" s="3">
        <v>1.1228500000000001E-15</v>
      </c>
    </row>
    <row r="515" spans="3:48" x14ac:dyDescent="0.25">
      <c r="C515" s="31">
        <v>4.9779700000000001E-14</v>
      </c>
      <c r="D515" s="5">
        <v>4.4265199999999998E-13</v>
      </c>
      <c r="E515" s="3">
        <v>4.5126100000000001E-13</v>
      </c>
      <c r="F515" s="30">
        <v>4.5600200000000002E-13</v>
      </c>
      <c r="H515" s="2"/>
      <c r="I515" s="3">
        <v>1.2850400000000001E-14</v>
      </c>
      <c r="J515" s="3">
        <v>3.3810199999999999E-14</v>
      </c>
      <c r="K515" s="3">
        <v>4.0172999999999997E-14</v>
      </c>
      <c r="L515" s="30">
        <v>2.54512E-14</v>
      </c>
      <c r="N515" s="6"/>
      <c r="O515" s="3">
        <v>4.3666400000000003E-15</v>
      </c>
      <c r="P515" s="3">
        <v>2.9069300000000002E-14</v>
      </c>
      <c r="Q515" s="3">
        <v>3.4309300000000001E-14</v>
      </c>
      <c r="R515" s="30">
        <v>3.3560699999999998E-14</v>
      </c>
      <c r="T515" s="6"/>
      <c r="U515" s="3">
        <v>9.3570699999999996E-15</v>
      </c>
      <c r="V515" s="3">
        <v>1.84646E-14</v>
      </c>
      <c r="W515" s="3">
        <v>1.6343699999999999E-14</v>
      </c>
      <c r="X515" s="35">
        <v>8.4837500000000006E-15</v>
      </c>
      <c r="Z515" s="6"/>
      <c r="AA515" s="3">
        <v>2.4952199999999999E-16</v>
      </c>
      <c r="AB515" s="3">
        <v>5.7390100000000001E-15</v>
      </c>
      <c r="AC515" s="3">
        <v>6.3628200000000003E-15</v>
      </c>
      <c r="AD515" s="30">
        <v>5.2399699999999998E-15</v>
      </c>
      <c r="AF515" s="6"/>
      <c r="AG515" s="3"/>
      <c r="AH515" s="3"/>
      <c r="AI515" s="3">
        <v>1.24761E-16</v>
      </c>
      <c r="AJ515" s="30"/>
      <c r="AL515" s="6"/>
      <c r="AM515" s="3"/>
      <c r="AN515" s="3"/>
      <c r="AO515" s="3"/>
      <c r="AP515" s="30"/>
      <c r="AR515" s="6"/>
      <c r="AS515" s="3">
        <v>9.9808799999999998E-16</v>
      </c>
      <c r="AT515" s="3">
        <v>6.2380499999999999E-16</v>
      </c>
      <c r="AU515" s="30">
        <v>1.24761E-15</v>
      </c>
      <c r="AV515" s="3">
        <v>1.1228500000000001E-15</v>
      </c>
    </row>
    <row r="516" spans="3:48" x14ac:dyDescent="0.25">
      <c r="C516" s="31">
        <v>4.9654900000000003E-14</v>
      </c>
      <c r="D516" s="5">
        <v>4.42153E-13</v>
      </c>
      <c r="E516" s="3">
        <v>4.51136E-13</v>
      </c>
      <c r="F516" s="30">
        <v>4.5475400000000004E-13</v>
      </c>
      <c r="H516" s="2"/>
      <c r="I516" s="3">
        <v>1.27256E-14</v>
      </c>
      <c r="J516" s="3">
        <v>3.3061699999999997E-14</v>
      </c>
      <c r="K516" s="3">
        <v>3.91749E-14</v>
      </c>
      <c r="L516" s="30">
        <v>2.53265E-14</v>
      </c>
      <c r="N516" s="6"/>
      <c r="O516" s="3">
        <v>4.3666400000000003E-15</v>
      </c>
      <c r="P516" s="3">
        <v>2.8819800000000002E-14</v>
      </c>
      <c r="Q516" s="3">
        <v>3.3061699999999997E-14</v>
      </c>
      <c r="R516" s="30">
        <v>3.3436000000000001E-14</v>
      </c>
      <c r="T516" s="6"/>
      <c r="U516" s="3">
        <v>9.2323099999999995E-15</v>
      </c>
      <c r="V516" s="3">
        <v>1.84646E-14</v>
      </c>
      <c r="W516" s="3">
        <v>1.6218899999999999E-14</v>
      </c>
      <c r="X516" s="35">
        <v>8.3589900000000006E-15</v>
      </c>
      <c r="Z516" s="6"/>
      <c r="AA516" s="3">
        <v>2.4952199999999999E-16</v>
      </c>
      <c r="AB516" s="3">
        <v>5.6142500000000001E-15</v>
      </c>
      <c r="AC516" s="3">
        <v>6.1133000000000002E-15</v>
      </c>
      <c r="AD516" s="30">
        <v>5.2399699999999998E-15</v>
      </c>
      <c r="AF516" s="6"/>
      <c r="AG516" s="3"/>
      <c r="AH516" s="3"/>
      <c r="AI516" s="3">
        <v>1.24761E-16</v>
      </c>
      <c r="AJ516" s="30"/>
      <c r="AL516" s="6"/>
      <c r="AM516" s="3"/>
      <c r="AN516" s="3"/>
      <c r="AO516" s="3"/>
      <c r="AP516" s="30"/>
      <c r="AR516" s="6"/>
      <c r="AS516" s="3">
        <v>9.9808799999999998E-16</v>
      </c>
      <c r="AT516" s="3">
        <v>6.2380499999999999E-16</v>
      </c>
      <c r="AU516" s="30">
        <v>1.4971299999999999E-15</v>
      </c>
      <c r="AV516" s="3">
        <v>1.1228500000000001E-15</v>
      </c>
    </row>
    <row r="517" spans="3:48" x14ac:dyDescent="0.25">
      <c r="C517" s="31">
        <v>4.9405400000000002E-14</v>
      </c>
      <c r="D517" s="5">
        <v>4.4003199999999999E-13</v>
      </c>
      <c r="E517" s="3">
        <v>4.5101099999999999E-13</v>
      </c>
      <c r="F517" s="30">
        <v>4.5363099999999998E-13</v>
      </c>
      <c r="H517" s="2"/>
      <c r="I517" s="3">
        <v>1.26009E-14</v>
      </c>
      <c r="J517" s="3">
        <v>3.2936899999999999E-14</v>
      </c>
      <c r="K517" s="3">
        <v>3.8925399999999999E-14</v>
      </c>
      <c r="L517" s="30">
        <v>2.5076999999999999E-14</v>
      </c>
      <c r="N517" s="6"/>
      <c r="O517" s="3">
        <v>4.3666400000000003E-15</v>
      </c>
      <c r="P517" s="3">
        <v>2.8320800000000001E-14</v>
      </c>
      <c r="Q517" s="3">
        <v>3.2437899999999998E-14</v>
      </c>
      <c r="R517" s="30">
        <v>3.2562600000000001E-14</v>
      </c>
      <c r="T517" s="6"/>
      <c r="U517" s="3">
        <v>9.2323099999999995E-15</v>
      </c>
      <c r="V517" s="3">
        <v>1.8090300000000001E-14</v>
      </c>
      <c r="W517" s="3">
        <v>1.6218899999999999E-14</v>
      </c>
      <c r="X517" s="35">
        <v>8.2342300000000005E-15</v>
      </c>
      <c r="Z517" s="6"/>
      <c r="AA517" s="3">
        <v>2.4952199999999999E-16</v>
      </c>
      <c r="AB517" s="3">
        <v>5.3647299999999999E-15</v>
      </c>
      <c r="AC517" s="3">
        <v>5.9885300000000003E-15</v>
      </c>
      <c r="AD517" s="30">
        <v>4.9904499999999997E-15</v>
      </c>
      <c r="AF517" s="6"/>
      <c r="AG517" s="3"/>
      <c r="AH517" s="3"/>
      <c r="AI517" s="3">
        <v>1.24761E-16</v>
      </c>
      <c r="AJ517" s="30"/>
      <c r="AL517" s="6"/>
      <c r="AM517" s="3"/>
      <c r="AN517" s="3"/>
      <c r="AO517" s="3"/>
      <c r="AP517" s="30"/>
      <c r="AR517" s="6"/>
      <c r="AS517" s="3">
        <v>9.9808799999999998E-16</v>
      </c>
      <c r="AT517" s="3">
        <v>6.2380499999999999E-16</v>
      </c>
      <c r="AU517" s="30">
        <v>3.7428299999999999E-16</v>
      </c>
      <c r="AV517" s="3">
        <v>1.1228500000000001E-15</v>
      </c>
    </row>
    <row r="518" spans="3:48" x14ac:dyDescent="0.25">
      <c r="C518" s="31">
        <v>4.89063E-14</v>
      </c>
      <c r="D518" s="5">
        <v>4.3990699999999998E-13</v>
      </c>
      <c r="E518" s="3">
        <v>4.50387E-13</v>
      </c>
      <c r="F518" s="30">
        <v>4.5238400000000002E-13</v>
      </c>
      <c r="H518" s="2"/>
      <c r="I518" s="3">
        <v>1.26009E-14</v>
      </c>
      <c r="J518" s="3">
        <v>3.1938800000000002E-14</v>
      </c>
      <c r="K518" s="3">
        <v>3.7552999999999998E-14</v>
      </c>
      <c r="L518" s="30">
        <v>2.3954099999999998E-14</v>
      </c>
      <c r="N518" s="6"/>
      <c r="O518" s="3">
        <v>4.3666400000000003E-15</v>
      </c>
      <c r="P518" s="3">
        <v>2.7696900000000001E-14</v>
      </c>
      <c r="Q518" s="3">
        <v>3.1938800000000002E-14</v>
      </c>
      <c r="R518" s="30">
        <v>3.2437899999999998E-14</v>
      </c>
      <c r="T518" s="6"/>
      <c r="U518" s="3">
        <v>9.1075499999999995E-15</v>
      </c>
      <c r="V518" s="3">
        <v>1.7965600000000001E-14</v>
      </c>
      <c r="W518" s="3">
        <v>1.6094199999999999E-14</v>
      </c>
      <c r="X518" s="35">
        <v>8.2342300000000005E-15</v>
      </c>
      <c r="Z518" s="6"/>
      <c r="AA518" s="3">
        <v>2.4952199999999999E-16</v>
      </c>
      <c r="AB518" s="3">
        <v>5.1152099999999998E-15</v>
      </c>
      <c r="AC518" s="3">
        <v>5.8637700000000002E-15</v>
      </c>
      <c r="AD518" s="30">
        <v>4.4914000000000004E-15</v>
      </c>
      <c r="AF518" s="6"/>
      <c r="AG518" s="3"/>
      <c r="AH518" s="3"/>
      <c r="AI518" s="3">
        <v>1.24761E-16</v>
      </c>
      <c r="AJ518" s="30"/>
      <c r="AL518" s="6"/>
      <c r="AM518" s="3"/>
      <c r="AN518" s="3"/>
      <c r="AO518" s="3"/>
      <c r="AP518" s="30"/>
      <c r="AR518" s="6"/>
      <c r="AS518" s="3">
        <v>9.9808799999999998E-16</v>
      </c>
      <c r="AT518" s="3">
        <v>6.2380499999999999E-16</v>
      </c>
      <c r="AU518" s="30">
        <v>1.24761E-16</v>
      </c>
      <c r="AV518" s="3">
        <v>1.1228500000000001E-15</v>
      </c>
    </row>
    <row r="519" spans="3:48" x14ac:dyDescent="0.25">
      <c r="C519" s="31">
        <v>4.8532000000000002E-14</v>
      </c>
      <c r="D519" s="5">
        <v>4.3791100000000002E-13</v>
      </c>
      <c r="E519" s="3">
        <v>4.5026300000000001E-13</v>
      </c>
      <c r="F519" s="30">
        <v>4.51136E-13</v>
      </c>
      <c r="H519" s="2"/>
      <c r="I519" s="3">
        <v>1.2476099999999999E-14</v>
      </c>
      <c r="J519" s="3">
        <v>3.0940699999999999E-14</v>
      </c>
      <c r="K519" s="3">
        <v>3.6804500000000002E-14</v>
      </c>
      <c r="L519" s="30">
        <v>2.3954099999999998E-14</v>
      </c>
      <c r="N519" s="6"/>
      <c r="O519" s="3">
        <v>4.2418699999999996E-15</v>
      </c>
      <c r="P519" s="3">
        <v>2.74474E-14</v>
      </c>
      <c r="Q519" s="3">
        <v>3.1689300000000002E-14</v>
      </c>
      <c r="R519" s="30">
        <v>3.23131E-14</v>
      </c>
      <c r="T519" s="6"/>
      <c r="U519" s="3">
        <v>9.1075499999999995E-15</v>
      </c>
      <c r="V519" s="3">
        <v>1.7840800000000001E-14</v>
      </c>
      <c r="W519" s="3">
        <v>1.57199E-14</v>
      </c>
      <c r="X519" s="35">
        <v>7.9847000000000006E-15</v>
      </c>
      <c r="Z519" s="6"/>
      <c r="AA519" s="3">
        <v>2.4952199999999999E-16</v>
      </c>
      <c r="AB519" s="3">
        <v>4.8656799999999998E-15</v>
      </c>
      <c r="AC519" s="3">
        <v>5.1152099999999998E-15</v>
      </c>
      <c r="AD519" s="30">
        <v>4.3666400000000003E-15</v>
      </c>
      <c r="AF519" s="6"/>
      <c r="AG519" s="3"/>
      <c r="AH519" s="3"/>
      <c r="AI519" s="3">
        <v>1.24761E-16</v>
      </c>
      <c r="AJ519" s="30"/>
      <c r="AL519" s="6"/>
      <c r="AM519" s="3"/>
      <c r="AN519" s="3"/>
      <c r="AO519" s="3"/>
      <c r="AP519" s="30"/>
      <c r="AR519" s="6"/>
      <c r="AS519" s="3">
        <v>9.9808799999999998E-16</v>
      </c>
      <c r="AT519" s="3">
        <v>6.2380499999999999E-16</v>
      </c>
      <c r="AU519" s="30">
        <v>6.6098399999999996E-13</v>
      </c>
      <c r="AV519" s="3">
        <v>1.1228500000000001E-15</v>
      </c>
    </row>
    <row r="520" spans="3:48" x14ac:dyDescent="0.25">
      <c r="C520" s="31">
        <v>4.8407299999999999E-14</v>
      </c>
      <c r="D520" s="5">
        <v>4.3778600000000001E-13</v>
      </c>
      <c r="E520" s="3">
        <v>4.4976399999999998E-13</v>
      </c>
      <c r="F520" s="30">
        <v>4.5026300000000001E-13</v>
      </c>
      <c r="H520" s="2"/>
      <c r="I520" s="3">
        <v>1.2476099999999999E-14</v>
      </c>
      <c r="J520" s="3">
        <v>3.0566400000000001E-14</v>
      </c>
      <c r="K520" s="3">
        <v>3.6555000000000002E-14</v>
      </c>
      <c r="L520" s="30">
        <v>2.35798E-14</v>
      </c>
      <c r="N520" s="6"/>
      <c r="O520" s="3">
        <v>4.2418699999999996E-15</v>
      </c>
      <c r="P520" s="3">
        <v>2.6823600000000001E-14</v>
      </c>
      <c r="Q520" s="3">
        <v>3.0691199999999998E-14</v>
      </c>
      <c r="R520" s="30">
        <v>3.1938800000000002E-14</v>
      </c>
      <c r="T520" s="6"/>
      <c r="U520" s="3">
        <v>9.1075499999999995E-15</v>
      </c>
      <c r="V520" s="3">
        <v>1.7466499999999999E-14</v>
      </c>
      <c r="W520" s="3">
        <v>1.5345599999999999E-14</v>
      </c>
      <c r="X520" s="35">
        <v>7.3609000000000002E-15</v>
      </c>
      <c r="Z520" s="6"/>
      <c r="AA520" s="3">
        <v>2.4952199999999999E-16</v>
      </c>
      <c r="AB520" s="3">
        <v>4.7409199999999997E-15</v>
      </c>
      <c r="AC520" s="3">
        <v>4.8656799999999998E-15</v>
      </c>
      <c r="AD520" s="30">
        <v>4.3666400000000003E-15</v>
      </c>
      <c r="AF520" s="6"/>
      <c r="AG520" s="3"/>
      <c r="AH520" s="3"/>
      <c r="AI520" s="3">
        <v>1.24761E-16</v>
      </c>
      <c r="AJ520" s="30"/>
      <c r="AL520" s="6"/>
      <c r="AM520" s="3"/>
      <c r="AN520" s="3"/>
      <c r="AO520" s="3"/>
      <c r="AP520" s="30"/>
      <c r="AR520" s="6"/>
      <c r="AS520" s="3">
        <v>9.9808799999999998E-16</v>
      </c>
      <c r="AT520" s="3">
        <v>6.2380499999999999E-16</v>
      </c>
      <c r="AU520" s="30">
        <v>6.0509099999999997E-14</v>
      </c>
      <c r="AV520" s="3">
        <v>1.1228500000000001E-15</v>
      </c>
    </row>
    <row r="521" spans="3:48" x14ac:dyDescent="0.25">
      <c r="C521" s="31">
        <v>4.8157799999999999E-14</v>
      </c>
      <c r="D521" s="5">
        <v>4.3766200000000002E-13</v>
      </c>
      <c r="E521" s="3">
        <v>4.4963900000000002E-13</v>
      </c>
      <c r="F521" s="30">
        <v>4.5001299999999998E-13</v>
      </c>
      <c r="H521" s="2"/>
      <c r="I521" s="3">
        <v>1.2476099999999999E-14</v>
      </c>
      <c r="J521" s="3">
        <v>3.03169E-14</v>
      </c>
      <c r="K521" s="3">
        <v>3.4433999999999997E-14</v>
      </c>
      <c r="L521" s="30">
        <v>2.34551E-14</v>
      </c>
      <c r="N521" s="6"/>
      <c r="O521" s="3">
        <v>4.2418699999999996E-15</v>
      </c>
      <c r="P521" s="3">
        <v>2.6698899999999998E-14</v>
      </c>
      <c r="Q521" s="3">
        <v>2.9568399999999998E-14</v>
      </c>
      <c r="R521" s="30">
        <v>3.0566400000000001E-14</v>
      </c>
      <c r="T521" s="6"/>
      <c r="U521" s="3">
        <v>9.1075499999999995E-15</v>
      </c>
      <c r="V521" s="3">
        <v>1.6718000000000001E-14</v>
      </c>
      <c r="W521" s="3">
        <v>1.5096099999999999E-14</v>
      </c>
      <c r="X521" s="35">
        <v>7.2361400000000001E-15</v>
      </c>
      <c r="Z521" s="6"/>
      <c r="AA521" s="3">
        <v>2.4952199999999999E-16</v>
      </c>
      <c r="AB521" s="3">
        <v>4.6161599999999997E-15</v>
      </c>
      <c r="AC521" s="3">
        <v>4.4914000000000004E-15</v>
      </c>
      <c r="AD521" s="30">
        <v>3.49331E-15</v>
      </c>
      <c r="AF521" s="6"/>
      <c r="AG521" s="3"/>
      <c r="AH521" s="3"/>
      <c r="AI521" s="3">
        <v>1.24761E-16</v>
      </c>
      <c r="AJ521" s="30"/>
      <c r="AL521" s="6"/>
      <c r="AM521" s="3"/>
      <c r="AN521" s="3"/>
      <c r="AO521" s="3"/>
      <c r="AP521" s="30"/>
      <c r="AR521" s="6"/>
      <c r="AS521" s="3">
        <v>9.9808799999999998E-16</v>
      </c>
      <c r="AT521" s="3">
        <v>6.2380499999999999E-16</v>
      </c>
      <c r="AU521" s="30">
        <v>1.24761E-16</v>
      </c>
      <c r="AV521" s="3">
        <v>1.1228500000000001E-15</v>
      </c>
    </row>
    <row r="522" spans="3:48" x14ac:dyDescent="0.25">
      <c r="C522" s="31">
        <v>4.8157799999999999E-14</v>
      </c>
      <c r="D522" s="5">
        <v>4.3666400000000002E-13</v>
      </c>
      <c r="E522" s="3">
        <v>4.4951400000000001E-13</v>
      </c>
      <c r="F522" s="30">
        <v>4.4951400000000001E-13</v>
      </c>
      <c r="H522" s="2"/>
      <c r="I522" s="3">
        <v>1.23513E-14</v>
      </c>
      <c r="J522" s="3">
        <v>2.9069300000000002E-14</v>
      </c>
      <c r="K522" s="3">
        <v>3.4309300000000001E-14</v>
      </c>
      <c r="L522" s="30">
        <v>2.34551E-14</v>
      </c>
      <c r="N522" s="6"/>
      <c r="O522" s="3">
        <v>4.2418699999999996E-15</v>
      </c>
      <c r="P522" s="3">
        <v>2.6199799999999999E-14</v>
      </c>
      <c r="Q522" s="3">
        <v>2.8320800000000001E-14</v>
      </c>
      <c r="R522" s="30">
        <v>2.8944599999999999E-14</v>
      </c>
      <c r="T522" s="6"/>
      <c r="U522" s="3">
        <v>9.1075499999999995E-15</v>
      </c>
      <c r="V522" s="3">
        <v>1.5969400000000001E-14</v>
      </c>
      <c r="W522" s="3">
        <v>1.5096099999999999E-14</v>
      </c>
      <c r="X522" s="35">
        <v>6.2380499999999997E-15</v>
      </c>
      <c r="Z522" s="6"/>
      <c r="AA522" s="3">
        <v>2.4952199999999999E-16</v>
      </c>
      <c r="AB522" s="3">
        <v>4.2418800000000002E-15</v>
      </c>
      <c r="AC522" s="3">
        <v>4.2418800000000002E-15</v>
      </c>
      <c r="AD522" s="30">
        <v>3.2437900000000002E-15</v>
      </c>
      <c r="AF522" s="6"/>
      <c r="AG522" s="3"/>
      <c r="AH522" s="3"/>
      <c r="AI522" s="3">
        <v>1.24761E-16</v>
      </c>
      <c r="AJ522" s="30"/>
      <c r="AL522" s="6"/>
      <c r="AM522" s="3"/>
      <c r="AN522" s="3"/>
      <c r="AO522" s="3"/>
      <c r="AP522" s="30"/>
      <c r="AR522" s="6"/>
      <c r="AS522" s="3">
        <v>8.7332699999999998E-16</v>
      </c>
      <c r="AT522" s="3">
        <v>6.2380499999999999E-16</v>
      </c>
      <c r="AU522" s="30">
        <v>4.3666400000000003E-15</v>
      </c>
      <c r="AV522" s="3">
        <v>1.1228500000000001E-15</v>
      </c>
    </row>
    <row r="523" spans="3:48" x14ac:dyDescent="0.25">
      <c r="C523" s="31">
        <v>4.8033000000000001E-14</v>
      </c>
      <c r="D523" s="5">
        <v>4.3628899999999998E-13</v>
      </c>
      <c r="E523" s="3">
        <v>4.4938899999999999E-13</v>
      </c>
      <c r="F523" s="30">
        <v>4.4664500000000001E-13</v>
      </c>
      <c r="H523" s="2"/>
      <c r="I523" s="3">
        <v>1.23513E-14</v>
      </c>
      <c r="J523" s="3">
        <v>2.8570300000000001E-14</v>
      </c>
      <c r="K523" s="3">
        <v>3.4309300000000001E-14</v>
      </c>
      <c r="L523" s="30">
        <v>2.33303E-14</v>
      </c>
      <c r="N523" s="6"/>
      <c r="O523" s="3">
        <v>4.2418699999999996E-15</v>
      </c>
      <c r="P523" s="3">
        <v>2.5201699999999999E-14</v>
      </c>
      <c r="Q523" s="3">
        <v>2.8196E-14</v>
      </c>
      <c r="R523" s="30">
        <v>2.8196E-14</v>
      </c>
      <c r="T523" s="6"/>
      <c r="U523" s="3">
        <v>8.9827899999999994E-15</v>
      </c>
      <c r="V523" s="3">
        <v>1.58446E-14</v>
      </c>
      <c r="W523" s="3">
        <v>1.4846600000000001E-14</v>
      </c>
      <c r="X523" s="35">
        <v>6.1132900000000004E-15</v>
      </c>
      <c r="Z523" s="6"/>
      <c r="AA523" s="3">
        <v>2.4952199999999999E-16</v>
      </c>
      <c r="AB523" s="3">
        <v>4.2418800000000002E-15</v>
      </c>
      <c r="AC523" s="3">
        <v>4.2418800000000002E-15</v>
      </c>
      <c r="AD523" s="30">
        <v>3.1190300000000001E-15</v>
      </c>
      <c r="AF523" s="6"/>
      <c r="AG523" s="3"/>
      <c r="AH523" s="3"/>
      <c r="AI523" s="3">
        <v>1.24761E-16</v>
      </c>
      <c r="AJ523" s="30"/>
      <c r="AL523" s="6"/>
      <c r="AM523" s="3"/>
      <c r="AN523" s="3"/>
      <c r="AO523" s="3"/>
      <c r="AP523" s="30"/>
      <c r="AR523" s="6"/>
      <c r="AS523" s="3">
        <v>8.7332699999999998E-16</v>
      </c>
      <c r="AT523" s="3">
        <v>6.2380499999999999E-16</v>
      </c>
      <c r="AU523" s="30">
        <v>2.4952199999999999E-16</v>
      </c>
      <c r="AV523" s="3">
        <v>1.1228500000000001E-15</v>
      </c>
    </row>
    <row r="524" spans="3:48" x14ac:dyDescent="0.25">
      <c r="C524" s="31">
        <v>4.7658700000000003E-14</v>
      </c>
      <c r="D524" s="5">
        <v>4.3429299999999998E-13</v>
      </c>
      <c r="E524" s="3">
        <v>4.4564599999999999E-13</v>
      </c>
      <c r="F524" s="30">
        <v>4.44773E-13</v>
      </c>
      <c r="H524" s="2"/>
      <c r="I524" s="3">
        <v>1.22266E-14</v>
      </c>
      <c r="J524" s="3">
        <v>2.8570300000000001E-14</v>
      </c>
      <c r="K524" s="3">
        <v>3.4059699999999999E-14</v>
      </c>
      <c r="L524" s="30">
        <v>2.3205499999999999E-14</v>
      </c>
      <c r="N524" s="6"/>
      <c r="O524" s="3">
        <v>4.2418699999999996E-15</v>
      </c>
      <c r="P524" s="3">
        <v>2.5201699999999999E-14</v>
      </c>
      <c r="Q524" s="3">
        <v>2.7946499999999999E-14</v>
      </c>
      <c r="R524" s="30">
        <v>2.74474E-14</v>
      </c>
      <c r="T524" s="6"/>
      <c r="U524" s="3">
        <v>8.9827899999999994E-15</v>
      </c>
      <c r="V524" s="3">
        <v>1.55951E-14</v>
      </c>
      <c r="W524" s="3">
        <v>1.4846600000000001E-14</v>
      </c>
      <c r="X524" s="35">
        <v>5.9885300000000003E-15</v>
      </c>
      <c r="Z524" s="6"/>
      <c r="AA524" s="3">
        <v>2.4952199999999999E-16</v>
      </c>
      <c r="AB524" s="3">
        <v>4.1171200000000001E-15</v>
      </c>
      <c r="AC524" s="3">
        <v>4.2418800000000002E-15</v>
      </c>
      <c r="AD524" s="30">
        <v>2.99427E-15</v>
      </c>
      <c r="AF524" s="6"/>
      <c r="AG524" s="3"/>
      <c r="AH524" s="3"/>
      <c r="AI524" s="3">
        <v>1.24761E-16</v>
      </c>
      <c r="AJ524" s="30"/>
      <c r="AL524" s="6"/>
      <c r="AM524" s="3"/>
      <c r="AN524" s="3"/>
      <c r="AO524" s="3"/>
      <c r="AP524" s="30"/>
      <c r="AR524" s="6"/>
      <c r="AS524" s="3">
        <v>8.7332699999999998E-16</v>
      </c>
      <c r="AT524" s="3">
        <v>6.2380499999999999E-16</v>
      </c>
      <c r="AU524" s="30">
        <v>2.4952199999999999E-16</v>
      </c>
      <c r="AV524" s="3">
        <v>1.1228500000000001E-15</v>
      </c>
    </row>
    <row r="525" spans="3:48" x14ac:dyDescent="0.25">
      <c r="C525" s="31">
        <v>4.7534E-14</v>
      </c>
      <c r="D525" s="5">
        <v>4.32796E-13</v>
      </c>
      <c r="E525" s="3">
        <v>4.4464799999999999E-13</v>
      </c>
      <c r="F525" s="30">
        <v>4.4452399999999999E-13</v>
      </c>
      <c r="H525" s="2"/>
      <c r="I525" s="3">
        <v>1.21018E-14</v>
      </c>
      <c r="J525" s="3">
        <v>2.8196E-14</v>
      </c>
      <c r="K525" s="3">
        <v>3.34359E-14</v>
      </c>
      <c r="L525" s="30">
        <v>2.2956000000000001E-14</v>
      </c>
      <c r="N525" s="6"/>
      <c r="O525" s="3">
        <v>4.2418699999999996E-15</v>
      </c>
      <c r="P525" s="3">
        <v>2.4453200000000001E-14</v>
      </c>
      <c r="Q525" s="3">
        <v>2.64493E-14</v>
      </c>
      <c r="R525" s="30">
        <v>2.73227E-14</v>
      </c>
      <c r="T525" s="6"/>
      <c r="U525" s="3">
        <v>8.8580299999999993E-15</v>
      </c>
      <c r="V525" s="3">
        <v>1.5220800000000002E-14</v>
      </c>
      <c r="W525" s="3">
        <v>1.37237E-14</v>
      </c>
      <c r="X525" s="35">
        <v>5.7390100000000001E-15</v>
      </c>
      <c r="Z525" s="6"/>
      <c r="AA525" s="3">
        <v>2.4952199999999999E-16</v>
      </c>
      <c r="AB525" s="3">
        <v>3.8675900000000002E-15</v>
      </c>
      <c r="AC525" s="3">
        <v>4.2418800000000002E-15</v>
      </c>
      <c r="AD525" s="30">
        <v>2.99427E-15</v>
      </c>
      <c r="AF525" s="6"/>
      <c r="AG525" s="3"/>
      <c r="AH525" s="3"/>
      <c r="AI525" s="3">
        <v>1.24761E-16</v>
      </c>
      <c r="AJ525" s="29"/>
      <c r="AL525" s="6"/>
      <c r="AM525" s="3"/>
      <c r="AN525" s="3"/>
      <c r="AO525" s="3"/>
      <c r="AP525" s="29"/>
      <c r="AR525" s="6"/>
      <c r="AS525" s="3">
        <v>8.7332699999999998E-16</v>
      </c>
      <c r="AT525" s="3">
        <v>6.2380499999999999E-16</v>
      </c>
      <c r="AU525" s="30">
        <v>6.9866199999999999E-15</v>
      </c>
      <c r="AV525" s="3">
        <v>9.9808799999999998E-16</v>
      </c>
    </row>
    <row r="526" spans="3:48" x14ac:dyDescent="0.25">
      <c r="C526" s="31">
        <v>4.7409200000000002E-14</v>
      </c>
      <c r="D526" s="5">
        <v>4.3192300000000001E-13</v>
      </c>
      <c r="E526" s="3">
        <v>4.4414900000000001E-13</v>
      </c>
      <c r="F526" s="30">
        <v>4.4352500000000002E-13</v>
      </c>
      <c r="H526" s="2"/>
      <c r="I526" s="3">
        <v>1.21018E-14</v>
      </c>
      <c r="J526" s="3">
        <v>2.7946499999999999E-14</v>
      </c>
      <c r="K526" s="3">
        <v>3.1689300000000002E-14</v>
      </c>
      <c r="L526" s="30">
        <v>2.2457E-14</v>
      </c>
      <c r="N526" s="6"/>
      <c r="O526" s="3">
        <v>4.1171100000000004E-15</v>
      </c>
      <c r="P526" s="3">
        <v>2.43284E-14</v>
      </c>
      <c r="Q526" s="3">
        <v>2.5950299999999999E-14</v>
      </c>
      <c r="R526" s="30">
        <v>2.71979E-14</v>
      </c>
      <c r="T526" s="6"/>
      <c r="U526" s="3">
        <v>8.8580299999999993E-15</v>
      </c>
      <c r="V526" s="3">
        <v>1.5220800000000002E-14</v>
      </c>
      <c r="W526" s="3">
        <v>1.3224700000000001E-14</v>
      </c>
      <c r="X526" s="35">
        <v>5.7390100000000001E-15</v>
      </c>
      <c r="Z526" s="6"/>
      <c r="AA526" s="3">
        <v>2.4952199999999999E-16</v>
      </c>
      <c r="AB526" s="3">
        <v>3.7428300000000001E-15</v>
      </c>
      <c r="AC526" s="3">
        <v>3.9923600000000001E-15</v>
      </c>
      <c r="AD526" s="30">
        <v>2.99427E-15</v>
      </c>
      <c r="AF526" s="6"/>
      <c r="AG526" s="3"/>
      <c r="AH526" s="3"/>
      <c r="AI526" s="3">
        <v>1.24761E-16</v>
      </c>
      <c r="AJ526" s="29"/>
      <c r="AL526" s="6"/>
      <c r="AM526" s="3"/>
      <c r="AN526" s="3"/>
      <c r="AO526" s="3"/>
      <c r="AP526" s="29"/>
      <c r="AR526" s="6"/>
      <c r="AS526" s="3">
        <v>8.7332699999999998E-16</v>
      </c>
      <c r="AT526" s="3">
        <v>6.2380499999999999E-16</v>
      </c>
      <c r="AU526" s="30">
        <v>7.18748E-13</v>
      </c>
      <c r="AV526" s="3">
        <v>9.9808799999999998E-16</v>
      </c>
    </row>
    <row r="527" spans="3:48" x14ac:dyDescent="0.25">
      <c r="C527" s="31">
        <v>4.7284399999999998E-14</v>
      </c>
      <c r="D527" s="5">
        <v>4.3042599999999998E-13</v>
      </c>
      <c r="E527" s="3">
        <v>4.4327600000000002E-13</v>
      </c>
      <c r="F527" s="30">
        <v>4.4352500000000002E-13</v>
      </c>
      <c r="H527" s="2"/>
      <c r="I527" s="3">
        <v>1.21018E-14</v>
      </c>
      <c r="J527" s="3">
        <v>2.7946499999999999E-14</v>
      </c>
      <c r="K527" s="3">
        <v>3.1689300000000002E-14</v>
      </c>
      <c r="L527" s="30">
        <v>2.1957900000000001E-14</v>
      </c>
      <c r="N527" s="6"/>
      <c r="O527" s="3">
        <v>4.1171100000000004E-15</v>
      </c>
      <c r="P527" s="3">
        <v>2.35798E-14</v>
      </c>
      <c r="Q527" s="3">
        <v>2.5825500000000001E-14</v>
      </c>
      <c r="R527" s="30">
        <v>2.7073099999999999E-14</v>
      </c>
      <c r="T527" s="6"/>
      <c r="U527" s="3">
        <v>8.7332699999999992E-15</v>
      </c>
      <c r="V527" s="3">
        <v>1.4098E-14</v>
      </c>
      <c r="W527" s="3">
        <v>1.30999E-14</v>
      </c>
      <c r="X527" s="35">
        <v>5.1152E-15</v>
      </c>
      <c r="Z527" s="6"/>
      <c r="AA527" s="3">
        <v>2.4952199999999999E-16</v>
      </c>
      <c r="AB527" s="3">
        <v>3.3685499999999999E-15</v>
      </c>
      <c r="AC527" s="3">
        <v>3.7428300000000001E-15</v>
      </c>
      <c r="AD527" s="30">
        <v>2.86951E-15</v>
      </c>
      <c r="AF527" s="6"/>
      <c r="AG527" s="3"/>
      <c r="AH527" s="3"/>
      <c r="AI527" s="3">
        <v>1.24761E-16</v>
      </c>
      <c r="AJ527" s="29"/>
      <c r="AL527" s="6"/>
      <c r="AM527" s="3"/>
      <c r="AN527" s="3"/>
      <c r="AO527" s="3"/>
      <c r="AP527" s="29"/>
      <c r="AR527" s="6"/>
      <c r="AS527" s="3">
        <v>8.7332699999999998E-16</v>
      </c>
      <c r="AT527" s="3">
        <v>6.2380499999999999E-16</v>
      </c>
      <c r="AU527" s="30">
        <v>5.48949E-15</v>
      </c>
      <c r="AV527" s="3">
        <v>9.9808799999999998E-16</v>
      </c>
    </row>
    <row r="528" spans="3:48" x14ac:dyDescent="0.25">
      <c r="C528" s="31">
        <v>4.7284399999999998E-14</v>
      </c>
      <c r="D528" s="5">
        <v>4.2880399999999999E-13</v>
      </c>
      <c r="E528" s="3">
        <v>4.41904E-13</v>
      </c>
      <c r="F528" s="30">
        <v>4.42153E-13</v>
      </c>
      <c r="H528" s="2"/>
      <c r="I528" s="3">
        <v>1.19771E-14</v>
      </c>
      <c r="J528" s="3">
        <v>2.7821699999999998E-14</v>
      </c>
      <c r="K528" s="3">
        <v>3.1564499999999998E-14</v>
      </c>
      <c r="L528" s="30">
        <v>2.15836E-14</v>
      </c>
      <c r="N528" s="6"/>
      <c r="O528" s="3">
        <v>4.1171100000000004E-15</v>
      </c>
      <c r="P528" s="3">
        <v>2.2082699999999999E-14</v>
      </c>
      <c r="Q528" s="3">
        <v>2.53265E-14</v>
      </c>
      <c r="R528" s="30">
        <v>2.6698899999999998E-14</v>
      </c>
      <c r="T528" s="6"/>
      <c r="U528" s="3">
        <v>8.7332699999999992E-15</v>
      </c>
      <c r="V528" s="3">
        <v>1.3598899999999999E-14</v>
      </c>
      <c r="W528" s="3">
        <v>1.21018E-14</v>
      </c>
      <c r="X528" s="35">
        <v>4.8656799999999998E-15</v>
      </c>
      <c r="Z528" s="6"/>
      <c r="AA528" s="3">
        <v>2.4952199999999999E-16</v>
      </c>
      <c r="AB528" s="3">
        <v>3.3685499999999999E-15</v>
      </c>
      <c r="AC528" s="3">
        <v>3.7428300000000001E-15</v>
      </c>
      <c r="AD528" s="30">
        <v>2.7447400000000001E-15</v>
      </c>
      <c r="AF528" s="6"/>
      <c r="AG528" s="3"/>
      <c r="AH528" s="3"/>
      <c r="AI528" s="3">
        <v>1.24761E-16</v>
      </c>
      <c r="AJ528" s="29"/>
      <c r="AL528" s="6"/>
      <c r="AM528" s="3"/>
      <c r="AN528" s="3"/>
      <c r="AO528" s="3"/>
      <c r="AP528" s="29"/>
      <c r="AR528" s="6"/>
      <c r="AS528" s="3">
        <v>8.7332699999999998E-16</v>
      </c>
      <c r="AT528" s="3">
        <v>6.2380499999999999E-16</v>
      </c>
      <c r="AU528" s="30">
        <v>9.9808799999999998E-16</v>
      </c>
      <c r="AV528" s="3">
        <v>9.9808799999999998E-16</v>
      </c>
    </row>
    <row r="529" spans="3:48" x14ac:dyDescent="0.25">
      <c r="C529" s="31">
        <v>4.7034899999999998E-14</v>
      </c>
      <c r="D529" s="5">
        <v>4.2705699999999998E-13</v>
      </c>
      <c r="E529" s="3">
        <v>4.40406E-13</v>
      </c>
      <c r="F529" s="30">
        <v>4.4202799999999999E-13</v>
      </c>
      <c r="H529" s="2"/>
      <c r="I529" s="3">
        <v>1.1852300000000001E-14</v>
      </c>
      <c r="J529" s="3">
        <v>2.74474E-14</v>
      </c>
      <c r="K529" s="3">
        <v>3.1190199999999999E-14</v>
      </c>
      <c r="L529" s="30">
        <v>2.15836E-14</v>
      </c>
      <c r="N529" s="6"/>
      <c r="O529" s="3">
        <v>4.1171100000000004E-15</v>
      </c>
      <c r="P529" s="3">
        <v>2.1708400000000001E-14</v>
      </c>
      <c r="Q529" s="3">
        <v>2.53265E-14</v>
      </c>
      <c r="R529" s="30">
        <v>2.64493E-14</v>
      </c>
      <c r="T529" s="6"/>
      <c r="U529" s="3">
        <v>8.6085100000000007E-15</v>
      </c>
      <c r="V529" s="3">
        <v>1.33494E-14</v>
      </c>
      <c r="W529" s="3">
        <v>1.16028E-14</v>
      </c>
      <c r="X529" s="35">
        <v>4.7409199999999997E-15</v>
      </c>
      <c r="Z529" s="6"/>
      <c r="AA529" s="3">
        <v>2.4952199999999999E-16</v>
      </c>
      <c r="AB529" s="3">
        <v>3.1190300000000001E-15</v>
      </c>
      <c r="AC529" s="3">
        <v>3.61807E-15</v>
      </c>
      <c r="AD529" s="30">
        <v>2.61998E-15</v>
      </c>
      <c r="AF529" s="6"/>
      <c r="AG529" s="3"/>
      <c r="AH529" s="3"/>
      <c r="AI529" s="3">
        <v>1.24761E-16</v>
      </c>
      <c r="AJ529" s="29"/>
      <c r="AL529" s="6"/>
      <c r="AM529" s="3"/>
      <c r="AN529" s="3"/>
      <c r="AO529" s="3"/>
      <c r="AP529" s="29"/>
      <c r="AR529" s="6"/>
      <c r="AS529" s="3">
        <v>8.7332699999999998E-16</v>
      </c>
      <c r="AT529" s="3">
        <v>6.2380499999999999E-16</v>
      </c>
      <c r="AU529" s="30">
        <v>8.7332699999999998E-16</v>
      </c>
      <c r="AV529" s="3">
        <v>9.9808799999999998E-16</v>
      </c>
    </row>
    <row r="530" spans="3:48" x14ac:dyDescent="0.25">
      <c r="C530" s="31">
        <v>4.6535900000000003E-14</v>
      </c>
      <c r="D530" s="5">
        <v>4.23813E-13</v>
      </c>
      <c r="E530" s="3">
        <v>4.39408E-13</v>
      </c>
      <c r="F530" s="30">
        <v>4.41904E-13</v>
      </c>
      <c r="H530" s="2"/>
      <c r="I530" s="3">
        <v>1.1852300000000001E-14</v>
      </c>
      <c r="J530" s="3">
        <v>2.6574100000000001E-14</v>
      </c>
      <c r="K530" s="3">
        <v>2.9443600000000001E-14</v>
      </c>
      <c r="L530" s="30">
        <v>2.1334099999999999E-14</v>
      </c>
      <c r="N530" s="6"/>
      <c r="O530" s="3">
        <v>4.1171100000000004E-15</v>
      </c>
      <c r="P530" s="3">
        <v>2.1084599999999999E-14</v>
      </c>
      <c r="Q530" s="3">
        <v>2.4952199999999999E-14</v>
      </c>
      <c r="R530" s="30">
        <v>2.64493E-14</v>
      </c>
      <c r="T530" s="6"/>
      <c r="U530" s="3">
        <v>8.6085100000000007E-15</v>
      </c>
      <c r="V530" s="3">
        <v>1.27256E-14</v>
      </c>
      <c r="W530" s="3">
        <v>1.16028E-14</v>
      </c>
      <c r="X530" s="35">
        <v>4.4914000000000004E-15</v>
      </c>
      <c r="Z530" s="6"/>
      <c r="AA530" s="3">
        <v>2.4952199999999999E-16</v>
      </c>
      <c r="AB530" s="3">
        <v>2.99427E-15</v>
      </c>
      <c r="AC530" s="3">
        <v>3.61807E-15</v>
      </c>
      <c r="AD530" s="30">
        <v>2.3704599999999999E-15</v>
      </c>
      <c r="AF530" s="6"/>
      <c r="AG530" s="3"/>
      <c r="AH530" s="3"/>
      <c r="AI530" s="3">
        <v>1.24761E-16</v>
      </c>
      <c r="AJ530" s="29"/>
      <c r="AL530" s="6"/>
      <c r="AM530" s="3"/>
      <c r="AN530" s="3"/>
      <c r="AO530" s="3"/>
      <c r="AP530" s="29"/>
      <c r="AR530" s="6"/>
      <c r="AS530" s="3">
        <v>8.7332699999999998E-16</v>
      </c>
      <c r="AT530" s="3">
        <v>6.2380499999999999E-16</v>
      </c>
      <c r="AU530" s="30">
        <v>1.24761E-16</v>
      </c>
      <c r="AV530" s="3">
        <v>9.9808799999999998E-16</v>
      </c>
    </row>
    <row r="531" spans="3:48" x14ac:dyDescent="0.25">
      <c r="C531" s="31">
        <v>4.6535900000000003E-14</v>
      </c>
      <c r="D531" s="5">
        <v>4.2294000000000001E-13</v>
      </c>
      <c r="E531" s="3">
        <v>4.3878499999999998E-13</v>
      </c>
      <c r="F531" s="30">
        <v>4.3890900000000002E-13</v>
      </c>
      <c r="H531" s="2"/>
      <c r="I531" s="3">
        <v>1.1852300000000001E-14</v>
      </c>
      <c r="J531" s="3">
        <v>2.5201699999999999E-14</v>
      </c>
      <c r="K531" s="3">
        <v>2.8944499999999998E-14</v>
      </c>
      <c r="L531" s="30">
        <v>2.1084599999999999E-14</v>
      </c>
      <c r="N531" s="6"/>
      <c r="O531" s="3">
        <v>3.8675900000000002E-15</v>
      </c>
      <c r="P531" s="3">
        <v>2.0585600000000001E-14</v>
      </c>
      <c r="Q531" s="3">
        <v>2.2457E-14</v>
      </c>
      <c r="R531" s="30">
        <v>2.6199799999999999E-14</v>
      </c>
      <c r="T531" s="6"/>
      <c r="U531" s="3">
        <v>8.6085100000000007E-15</v>
      </c>
      <c r="V531" s="3">
        <v>1.2476099999999999E-14</v>
      </c>
      <c r="W531" s="3">
        <v>1.1478000000000001E-14</v>
      </c>
      <c r="X531" s="35">
        <v>4.1171100000000004E-15</v>
      </c>
      <c r="Z531" s="6"/>
      <c r="AA531" s="3">
        <v>2.4952199999999999E-16</v>
      </c>
      <c r="AB531" s="3">
        <v>2.99427E-15</v>
      </c>
      <c r="AC531" s="3">
        <v>3.61807E-15</v>
      </c>
      <c r="AD531" s="30">
        <v>2.1209400000000001E-15</v>
      </c>
      <c r="AF531" s="6"/>
      <c r="AG531" s="3"/>
      <c r="AH531" s="3"/>
      <c r="AI531" s="3">
        <v>1.24761E-16</v>
      </c>
      <c r="AJ531" s="29"/>
      <c r="AL531" s="6"/>
      <c r="AM531" s="3"/>
      <c r="AN531" s="3"/>
      <c r="AO531" s="3"/>
      <c r="AP531" s="29"/>
      <c r="AR531" s="6"/>
      <c r="AS531" s="3">
        <v>8.7332699999999998E-16</v>
      </c>
      <c r="AT531" s="3">
        <v>6.2380499999999999E-16</v>
      </c>
      <c r="AU531" s="30">
        <v>2.4952199999999999E-16</v>
      </c>
      <c r="AV531" s="3">
        <v>9.9808799999999998E-16</v>
      </c>
    </row>
    <row r="532" spans="3:48" x14ac:dyDescent="0.25">
      <c r="C532" s="31">
        <v>4.5912099999999998E-14</v>
      </c>
      <c r="D532" s="5">
        <v>4.22566E-13</v>
      </c>
      <c r="E532" s="3">
        <v>4.3466699999999999E-13</v>
      </c>
      <c r="F532" s="30">
        <v>4.3816099999999999E-13</v>
      </c>
      <c r="H532" s="2"/>
      <c r="I532" s="3">
        <v>1.17275E-14</v>
      </c>
      <c r="J532" s="3">
        <v>2.4702700000000001E-14</v>
      </c>
      <c r="K532" s="3">
        <v>2.8445499999999997E-14</v>
      </c>
      <c r="L532" s="30">
        <v>2.0959800000000001E-14</v>
      </c>
      <c r="N532" s="6"/>
      <c r="O532" s="3">
        <v>3.8675900000000002E-15</v>
      </c>
      <c r="P532" s="3">
        <v>2.0086499999999999E-14</v>
      </c>
      <c r="Q532" s="3">
        <v>2.22075E-14</v>
      </c>
      <c r="R532" s="30">
        <v>2.5825500000000001E-14</v>
      </c>
      <c r="T532" s="6"/>
      <c r="U532" s="3">
        <v>8.6085100000000007E-15</v>
      </c>
      <c r="V532" s="3">
        <v>1.1353299999999999E-14</v>
      </c>
      <c r="W532" s="3">
        <v>1.0479900000000001E-14</v>
      </c>
      <c r="X532" s="35">
        <v>3.9923500000000003E-15</v>
      </c>
      <c r="Z532" s="6"/>
      <c r="AA532" s="3">
        <v>2.4952199999999999E-16</v>
      </c>
      <c r="AB532" s="3">
        <v>2.86951E-15</v>
      </c>
      <c r="AC532" s="3">
        <v>3.61807E-15</v>
      </c>
      <c r="AD532" s="30">
        <v>1.8714199999999999E-15</v>
      </c>
      <c r="AF532" s="6"/>
      <c r="AG532" s="3"/>
      <c r="AH532" s="3"/>
      <c r="AI532" s="3">
        <v>1.24761E-16</v>
      </c>
      <c r="AJ532" s="29"/>
      <c r="AL532" s="6"/>
      <c r="AM532" s="3"/>
      <c r="AN532" s="3"/>
      <c r="AO532" s="3"/>
      <c r="AP532" s="29"/>
      <c r="AR532" s="6"/>
      <c r="AS532" s="3">
        <v>8.7332699999999998E-16</v>
      </c>
      <c r="AT532" s="3">
        <v>6.2380499999999999E-16</v>
      </c>
      <c r="AU532" s="30">
        <v>3.49331E-15</v>
      </c>
      <c r="AV532" s="3">
        <v>9.9808799999999998E-16</v>
      </c>
    </row>
    <row r="533" spans="3:48" x14ac:dyDescent="0.25">
      <c r="C533" s="31">
        <v>4.5537799999999999E-14</v>
      </c>
      <c r="D533" s="5">
        <v>4.1994600000000001E-13</v>
      </c>
      <c r="E533" s="3">
        <v>4.34543E-13</v>
      </c>
      <c r="F533" s="30">
        <v>4.3741199999999999E-13</v>
      </c>
      <c r="H533" s="2"/>
      <c r="I533" s="3">
        <v>1.16028E-14</v>
      </c>
      <c r="J533" s="3">
        <v>2.43284E-14</v>
      </c>
      <c r="K533" s="3">
        <v>2.74474E-14</v>
      </c>
      <c r="L533" s="30">
        <v>2.0086499999999999E-14</v>
      </c>
      <c r="N533" s="6"/>
      <c r="O533" s="3">
        <v>3.8675900000000002E-15</v>
      </c>
      <c r="P533" s="3">
        <v>1.9961799999999999E-14</v>
      </c>
      <c r="Q533" s="3">
        <v>2.1209399999999999E-14</v>
      </c>
      <c r="R533" s="30">
        <v>2.53265E-14</v>
      </c>
      <c r="T533" s="6"/>
      <c r="U533" s="3">
        <v>8.4837500000000006E-15</v>
      </c>
      <c r="V533" s="3">
        <v>1.0979E-14</v>
      </c>
      <c r="W533" s="3">
        <v>1.02304E-14</v>
      </c>
      <c r="X533" s="35">
        <v>3.9923500000000003E-15</v>
      </c>
      <c r="Z533" s="6"/>
      <c r="AA533" s="3">
        <v>2.4952199999999999E-16</v>
      </c>
      <c r="AB533" s="3">
        <v>2.7447400000000001E-15</v>
      </c>
      <c r="AC533" s="3">
        <v>3.3685499999999999E-15</v>
      </c>
      <c r="AD533" s="30">
        <v>1.8714199999999999E-15</v>
      </c>
      <c r="AF533" s="6"/>
      <c r="AG533" s="3"/>
      <c r="AH533" s="3"/>
      <c r="AI533" s="3">
        <v>1.24761E-16</v>
      </c>
      <c r="AJ533" s="29"/>
      <c r="AL533" s="6"/>
      <c r="AM533" s="3"/>
      <c r="AN533" s="3"/>
      <c r="AO533" s="3"/>
      <c r="AP533" s="29"/>
      <c r="AR533" s="6"/>
      <c r="AS533" s="3">
        <v>8.7332699999999998E-16</v>
      </c>
      <c r="AT533" s="3">
        <v>6.2380499999999999E-16</v>
      </c>
      <c r="AU533" s="30">
        <v>2.2082699999999999E-14</v>
      </c>
      <c r="AV533" s="3">
        <v>9.9808799999999998E-16</v>
      </c>
    </row>
    <row r="534" spans="3:48" x14ac:dyDescent="0.25">
      <c r="C534" s="31">
        <v>4.5413000000000002E-14</v>
      </c>
      <c r="D534" s="5">
        <v>4.1907199999999999E-13</v>
      </c>
      <c r="E534" s="3">
        <v>4.3329500000000002E-13</v>
      </c>
      <c r="F534" s="30">
        <v>4.3603999999999998E-13</v>
      </c>
      <c r="H534" s="2"/>
      <c r="I534" s="3">
        <v>1.16028E-14</v>
      </c>
      <c r="J534" s="3">
        <v>2.4203599999999999E-14</v>
      </c>
      <c r="K534" s="3">
        <v>2.71979E-14</v>
      </c>
      <c r="L534" s="30">
        <v>1.97122E-14</v>
      </c>
      <c r="N534" s="6"/>
      <c r="O534" s="3">
        <v>3.8675900000000002E-15</v>
      </c>
      <c r="P534" s="3">
        <v>1.95875E-14</v>
      </c>
      <c r="Q534" s="3">
        <v>2.1209399999999999E-14</v>
      </c>
      <c r="R534" s="30">
        <v>2.2457E-14</v>
      </c>
      <c r="T534" s="6"/>
      <c r="U534" s="3">
        <v>8.3589900000000006E-15</v>
      </c>
      <c r="V534" s="3">
        <v>1.07294E-14</v>
      </c>
      <c r="W534" s="3">
        <v>1.02304E-14</v>
      </c>
      <c r="X534" s="35">
        <v>3.9923500000000003E-15</v>
      </c>
      <c r="Z534" s="6"/>
      <c r="AA534" s="3">
        <v>2.4952199999999999E-16</v>
      </c>
      <c r="AB534" s="3">
        <v>2.61998E-15</v>
      </c>
      <c r="AC534" s="3">
        <v>3.2437900000000002E-15</v>
      </c>
      <c r="AD534" s="30">
        <v>1.7466600000000001E-15</v>
      </c>
      <c r="AF534" s="6"/>
      <c r="AG534" s="3"/>
      <c r="AH534" s="3"/>
      <c r="AI534" s="3">
        <v>1.24761E-16</v>
      </c>
      <c r="AJ534" s="29"/>
      <c r="AL534" s="6"/>
      <c r="AM534" s="3"/>
      <c r="AN534" s="3"/>
      <c r="AO534" s="3"/>
      <c r="AP534" s="29"/>
      <c r="AR534" s="6"/>
      <c r="AS534" s="3">
        <v>8.7332699999999998E-16</v>
      </c>
      <c r="AT534" s="3">
        <v>6.2380499999999999E-16</v>
      </c>
      <c r="AU534" s="30">
        <v>7.4856599999999998E-16</v>
      </c>
      <c r="AV534" s="3">
        <v>9.9808799999999998E-16</v>
      </c>
    </row>
    <row r="535" spans="3:48" x14ac:dyDescent="0.25">
      <c r="C535" s="31">
        <v>4.5413000000000002E-14</v>
      </c>
      <c r="D535" s="5">
        <v>4.1769999999999998E-13</v>
      </c>
      <c r="E535" s="3">
        <v>4.3254699999999999E-13</v>
      </c>
      <c r="F535" s="30">
        <v>4.3466699999999999E-13</v>
      </c>
      <c r="H535" s="2"/>
      <c r="I535" s="3">
        <v>1.16028E-14</v>
      </c>
      <c r="J535" s="3">
        <v>2.4078899999999999E-14</v>
      </c>
      <c r="K535" s="3">
        <v>2.71979E-14</v>
      </c>
      <c r="L535" s="30">
        <v>1.84646E-14</v>
      </c>
      <c r="N535" s="6"/>
      <c r="O535" s="3">
        <v>3.7428300000000001E-15</v>
      </c>
      <c r="P535" s="3">
        <v>1.95875E-14</v>
      </c>
      <c r="Q535" s="3">
        <v>1.9837000000000001E-14</v>
      </c>
      <c r="R535" s="30">
        <v>2.1708400000000001E-14</v>
      </c>
      <c r="T535" s="6"/>
      <c r="U535" s="3">
        <v>8.3589900000000006E-15</v>
      </c>
      <c r="V535" s="3">
        <v>1.07294E-14</v>
      </c>
      <c r="W535" s="3">
        <v>1.0105600000000001E-14</v>
      </c>
      <c r="X535" s="35">
        <v>3.7428300000000001E-15</v>
      </c>
      <c r="Z535" s="6"/>
      <c r="AA535" s="3">
        <v>2.4952199999999999E-16</v>
      </c>
      <c r="AB535" s="3">
        <v>2.3704599999999999E-15</v>
      </c>
      <c r="AC535" s="3">
        <v>3.2437900000000002E-15</v>
      </c>
      <c r="AD535" s="30">
        <v>1.62189E-15</v>
      </c>
      <c r="AF535" s="6"/>
      <c r="AG535" s="3"/>
      <c r="AH535" s="3"/>
      <c r="AI535" s="3">
        <v>1.24761E-16</v>
      </c>
      <c r="AJ535" s="29"/>
      <c r="AL535" s="6"/>
      <c r="AM535" s="3"/>
      <c r="AN535" s="3"/>
      <c r="AO535" s="3"/>
      <c r="AP535" s="29"/>
      <c r="AR535" s="6"/>
      <c r="AS535" s="3">
        <v>8.7332699999999998E-16</v>
      </c>
      <c r="AT535" s="3">
        <v>6.2380499999999999E-16</v>
      </c>
      <c r="AU535" s="30">
        <v>1.3723700000000001E-15</v>
      </c>
      <c r="AV535" s="3">
        <v>9.9808799999999998E-16</v>
      </c>
    </row>
    <row r="536" spans="3:48" x14ac:dyDescent="0.25">
      <c r="C536" s="31">
        <v>4.5288299999999999E-14</v>
      </c>
      <c r="D536" s="5">
        <v>4.1682699999999999E-13</v>
      </c>
      <c r="E536" s="3">
        <v>4.3217200000000001E-13</v>
      </c>
      <c r="F536" s="30">
        <v>4.3254699999999999E-13</v>
      </c>
      <c r="H536" s="2"/>
      <c r="I536" s="3">
        <v>1.1478000000000001E-14</v>
      </c>
      <c r="J536" s="3">
        <v>2.3205499999999999E-14</v>
      </c>
      <c r="K536" s="3">
        <v>2.7073099999999999E-14</v>
      </c>
      <c r="L536" s="30">
        <v>1.75913E-14</v>
      </c>
      <c r="N536" s="6"/>
      <c r="O536" s="3">
        <v>3.7428300000000001E-15</v>
      </c>
      <c r="P536" s="3">
        <v>1.9338E-14</v>
      </c>
      <c r="Q536" s="3">
        <v>1.9837000000000001E-14</v>
      </c>
      <c r="R536" s="30">
        <v>2.14589E-14</v>
      </c>
      <c r="T536" s="6"/>
      <c r="U536" s="3">
        <v>8.3589900000000006E-15</v>
      </c>
      <c r="V536" s="3">
        <v>9.6065999999999996E-15</v>
      </c>
      <c r="W536" s="3">
        <v>1.0105600000000001E-14</v>
      </c>
      <c r="X536" s="35">
        <v>3.7428300000000001E-15</v>
      </c>
      <c r="Z536" s="6"/>
      <c r="AA536" s="3">
        <v>2.4952199999999999E-16</v>
      </c>
      <c r="AB536" s="3">
        <v>2.2457000000000002E-15</v>
      </c>
      <c r="AC536" s="3">
        <v>3.1190300000000001E-15</v>
      </c>
      <c r="AD536" s="30">
        <v>1.4971299999999999E-15</v>
      </c>
      <c r="AF536" s="6"/>
      <c r="AG536" s="3"/>
      <c r="AH536" s="3"/>
      <c r="AI536" s="3">
        <v>1.24761E-16</v>
      </c>
      <c r="AJ536" s="29"/>
      <c r="AL536" s="6"/>
      <c r="AM536" s="3"/>
      <c r="AN536" s="3"/>
      <c r="AO536" s="3"/>
      <c r="AP536" s="29"/>
      <c r="AR536" s="6"/>
      <c r="AS536" s="3">
        <v>8.7332699999999998E-16</v>
      </c>
      <c r="AT536" s="3">
        <v>6.2380499999999999E-16</v>
      </c>
      <c r="AU536" s="30">
        <v>1.99618E-15</v>
      </c>
      <c r="AV536" s="3">
        <v>9.9808799999999998E-16</v>
      </c>
    </row>
    <row r="537" spans="3:48" x14ac:dyDescent="0.25">
      <c r="C537" s="31">
        <v>4.4914000000000001E-14</v>
      </c>
      <c r="D537" s="5">
        <v>4.16203E-13</v>
      </c>
      <c r="E537" s="3">
        <v>4.3217200000000001E-13</v>
      </c>
      <c r="F537" s="30">
        <v>4.29927E-13</v>
      </c>
      <c r="H537" s="2"/>
      <c r="I537" s="3">
        <v>1.1478000000000001E-14</v>
      </c>
      <c r="J537" s="3">
        <v>2.3080799999999999E-14</v>
      </c>
      <c r="K537" s="3">
        <v>2.6823600000000001E-14</v>
      </c>
      <c r="L537" s="30">
        <v>1.6967500000000001E-14</v>
      </c>
      <c r="N537" s="6"/>
      <c r="O537" s="3">
        <v>3.7428300000000001E-15</v>
      </c>
      <c r="P537" s="3">
        <v>1.8714200000000001E-14</v>
      </c>
      <c r="Q537" s="3">
        <v>1.97122E-14</v>
      </c>
      <c r="R537" s="30">
        <v>2.0335999999999999E-14</v>
      </c>
      <c r="T537" s="6"/>
      <c r="U537" s="3">
        <v>8.2342300000000005E-15</v>
      </c>
      <c r="V537" s="3">
        <v>9.4818399999999995E-15</v>
      </c>
      <c r="W537" s="3">
        <v>9.7313599999999996E-15</v>
      </c>
      <c r="X537" s="35">
        <v>3.61807E-15</v>
      </c>
      <c r="Z537" s="6"/>
      <c r="AA537" s="3">
        <v>2.4952199999999999E-16</v>
      </c>
      <c r="AB537" s="3">
        <v>2.2457000000000002E-15</v>
      </c>
      <c r="AC537" s="3">
        <v>2.99427E-15</v>
      </c>
      <c r="AD537" s="30">
        <v>1.4971299999999999E-15</v>
      </c>
      <c r="AF537" s="6"/>
      <c r="AG537" s="3"/>
      <c r="AH537" s="3"/>
      <c r="AI537" s="3">
        <v>1.24761E-16</v>
      </c>
      <c r="AJ537" s="29"/>
      <c r="AL537" s="6"/>
      <c r="AM537" s="3"/>
      <c r="AN537" s="3"/>
      <c r="AO537" s="3"/>
      <c r="AP537" s="29"/>
      <c r="AR537" s="6"/>
      <c r="AS537" s="3">
        <v>8.7332699999999998E-16</v>
      </c>
      <c r="AT537" s="3">
        <v>4.9904399999999999E-16</v>
      </c>
      <c r="AU537" s="30">
        <v>1.24761E-16</v>
      </c>
      <c r="AV537" s="3">
        <v>9.9808799999999998E-16</v>
      </c>
    </row>
    <row r="538" spans="3:48" x14ac:dyDescent="0.25">
      <c r="C538" s="31">
        <v>4.4539700000000002E-14</v>
      </c>
      <c r="D538" s="5">
        <v>4.1607799999999999E-13</v>
      </c>
      <c r="E538" s="3">
        <v>4.3104899999999999E-13</v>
      </c>
      <c r="F538" s="30">
        <v>4.2967699999999998E-13</v>
      </c>
      <c r="H538" s="2"/>
      <c r="I538" s="3">
        <v>1.1478000000000001E-14</v>
      </c>
      <c r="J538" s="3">
        <v>2.2956000000000001E-14</v>
      </c>
      <c r="K538" s="3">
        <v>2.4952199999999999E-14</v>
      </c>
      <c r="L538" s="30">
        <v>1.6967500000000001E-14</v>
      </c>
      <c r="N538" s="6"/>
      <c r="O538" s="3">
        <v>3.61807E-15</v>
      </c>
      <c r="P538" s="3">
        <v>1.85894E-14</v>
      </c>
      <c r="Q538" s="3">
        <v>1.97122E-14</v>
      </c>
      <c r="R538" s="30">
        <v>1.9338E-14</v>
      </c>
      <c r="T538" s="6"/>
      <c r="U538" s="3">
        <v>8.2342300000000005E-15</v>
      </c>
      <c r="V538" s="3">
        <v>8.8580299999999993E-15</v>
      </c>
      <c r="W538" s="3">
        <v>9.7313599999999996E-15</v>
      </c>
      <c r="X538" s="35">
        <v>3.61807E-15</v>
      </c>
      <c r="Z538" s="6"/>
      <c r="AA538" s="3">
        <v>2.4952199999999999E-16</v>
      </c>
      <c r="AB538" s="3">
        <v>1.8714199999999999E-15</v>
      </c>
      <c r="AC538" s="3">
        <v>2.86951E-15</v>
      </c>
      <c r="AD538" s="30">
        <v>1.3723700000000001E-15</v>
      </c>
      <c r="AF538" s="6"/>
      <c r="AG538" s="3"/>
      <c r="AH538" s="3"/>
      <c r="AI538" s="3">
        <v>1.24761E-16</v>
      </c>
      <c r="AJ538" s="29"/>
      <c r="AL538" s="6"/>
      <c r="AM538" s="3"/>
      <c r="AN538" s="3"/>
      <c r="AO538" s="3"/>
      <c r="AP538" s="29"/>
      <c r="AR538" s="6"/>
      <c r="AS538" s="3">
        <v>8.7332699999999998E-16</v>
      </c>
      <c r="AT538" s="3">
        <v>4.9904399999999999E-16</v>
      </c>
      <c r="AU538" s="30">
        <v>2.4952199999999999E-16</v>
      </c>
      <c r="AV538" s="3">
        <v>9.9808799999999998E-16</v>
      </c>
    </row>
    <row r="539" spans="3:48" x14ac:dyDescent="0.25">
      <c r="C539" s="31">
        <v>4.4539700000000002E-14</v>
      </c>
      <c r="D539" s="5">
        <v>4.1570400000000002E-13</v>
      </c>
      <c r="E539" s="3">
        <v>4.30925E-13</v>
      </c>
      <c r="F539" s="30">
        <v>4.2967699999999998E-13</v>
      </c>
      <c r="H539" s="2"/>
      <c r="I539" s="3">
        <v>1.1478000000000001E-14</v>
      </c>
      <c r="J539" s="3">
        <v>2.2706500000000001E-14</v>
      </c>
      <c r="K539" s="3">
        <v>2.44531E-14</v>
      </c>
      <c r="L539" s="30">
        <v>1.6718000000000001E-14</v>
      </c>
      <c r="N539" s="6"/>
      <c r="O539" s="3">
        <v>3.61807E-15</v>
      </c>
      <c r="P539" s="3">
        <v>1.83399E-14</v>
      </c>
      <c r="Q539" s="3">
        <v>1.84646E-14</v>
      </c>
      <c r="R539" s="30">
        <v>1.8838900000000001E-14</v>
      </c>
      <c r="T539" s="6"/>
      <c r="U539" s="3">
        <v>8.2342300000000005E-15</v>
      </c>
      <c r="V539" s="3">
        <v>8.7332699999999992E-15</v>
      </c>
      <c r="W539" s="3">
        <v>9.1075499999999995E-15</v>
      </c>
      <c r="X539" s="35">
        <v>3.49331E-15</v>
      </c>
      <c r="Z539" s="6"/>
      <c r="AA539" s="3">
        <v>2.4952199999999999E-16</v>
      </c>
      <c r="AB539" s="3">
        <v>1.8714199999999999E-15</v>
      </c>
      <c r="AC539" s="3">
        <v>2.61998E-15</v>
      </c>
      <c r="AD539" s="30">
        <v>1.3723700000000001E-15</v>
      </c>
      <c r="AF539" s="6"/>
      <c r="AG539" s="3"/>
      <c r="AH539" s="3"/>
      <c r="AI539" s="3">
        <v>1.24761E-16</v>
      </c>
      <c r="AJ539" s="30"/>
      <c r="AL539" s="6"/>
      <c r="AM539" s="3"/>
      <c r="AN539" s="3"/>
      <c r="AO539" s="3"/>
      <c r="AP539" s="30"/>
      <c r="AR539" s="6"/>
      <c r="AS539" s="3">
        <v>8.7332699999999998E-16</v>
      </c>
      <c r="AT539" s="3">
        <v>4.9904399999999999E-16</v>
      </c>
      <c r="AU539" s="30">
        <v>3.7428299999999999E-16</v>
      </c>
      <c r="AV539" s="3">
        <v>9.9808799999999998E-16</v>
      </c>
    </row>
    <row r="540" spans="3:48" x14ac:dyDescent="0.25">
      <c r="C540" s="31">
        <v>4.4414899999999998E-14</v>
      </c>
      <c r="D540" s="5">
        <v>4.1358300000000001E-13</v>
      </c>
      <c r="E540" s="3">
        <v>4.29427E-13</v>
      </c>
      <c r="F540" s="30">
        <v>4.2792999999999997E-13</v>
      </c>
      <c r="I540" s="3">
        <v>1.1478000000000001E-14</v>
      </c>
      <c r="J540" s="5">
        <v>2.22075E-14</v>
      </c>
      <c r="K540" s="5">
        <v>2.44531E-14</v>
      </c>
      <c r="L540" s="8">
        <v>1.65932E-14</v>
      </c>
      <c r="O540" s="5">
        <v>3.61807E-15</v>
      </c>
      <c r="P540" s="5">
        <v>1.7466499999999999E-14</v>
      </c>
      <c r="Q540" s="5">
        <v>1.7716100000000001E-14</v>
      </c>
      <c r="R540" s="8">
        <v>1.75913E-14</v>
      </c>
      <c r="U540" s="5">
        <v>8.2342300000000005E-15</v>
      </c>
      <c r="V540" s="5">
        <v>8.6085100000000007E-15</v>
      </c>
      <c r="W540" s="5">
        <v>8.9827899999999994E-15</v>
      </c>
      <c r="X540" s="36">
        <v>3.2437900000000002E-15</v>
      </c>
      <c r="AA540" s="5">
        <v>2.4952199999999999E-16</v>
      </c>
      <c r="AB540" s="5">
        <v>1.8714199999999999E-15</v>
      </c>
      <c r="AC540" s="5">
        <v>2.61998E-15</v>
      </c>
      <c r="AD540" s="8">
        <v>1.24761E-15</v>
      </c>
      <c r="AG540" s="5"/>
      <c r="AH540" s="5"/>
      <c r="AI540" s="5">
        <v>1.24761E-16</v>
      </c>
      <c r="AM540" s="5"/>
      <c r="AN540" s="5"/>
      <c r="AO540" s="5"/>
      <c r="AS540" s="5">
        <v>8.7332699999999998E-16</v>
      </c>
      <c r="AT540" s="5">
        <v>4.9904399999999999E-16</v>
      </c>
      <c r="AU540" s="4">
        <v>9.9808799999999998E-16</v>
      </c>
      <c r="AV540" s="4">
        <v>9.9808799999999998E-16</v>
      </c>
    </row>
    <row r="541" spans="3:48" x14ac:dyDescent="0.25">
      <c r="C541" s="31">
        <v>4.4414899999999998E-14</v>
      </c>
      <c r="D541" s="5">
        <v>4.1308399999999998E-13</v>
      </c>
      <c r="E541" s="3">
        <v>4.2755600000000001E-13</v>
      </c>
      <c r="F541" s="30">
        <v>4.2768100000000002E-13</v>
      </c>
      <c r="I541" s="3">
        <v>1.13532E-14</v>
      </c>
      <c r="J541" s="5">
        <v>2.22075E-14</v>
      </c>
      <c r="K541" s="5">
        <v>2.3829300000000001E-14</v>
      </c>
      <c r="L541" s="8">
        <v>1.65932E-14</v>
      </c>
      <c r="O541" s="5">
        <v>3.61807E-15</v>
      </c>
      <c r="P541" s="5">
        <v>1.6842700000000001E-14</v>
      </c>
      <c r="Q541" s="5">
        <v>1.6842700000000001E-14</v>
      </c>
      <c r="R541" s="8">
        <v>1.6343699999999999E-14</v>
      </c>
      <c r="U541" s="5">
        <v>8.2342300000000005E-15</v>
      </c>
      <c r="V541" s="5">
        <v>8.4837500000000006E-15</v>
      </c>
      <c r="W541" s="5">
        <v>8.8580299999999993E-15</v>
      </c>
      <c r="X541" s="36">
        <v>2.9942599999999999E-15</v>
      </c>
      <c r="AA541" s="5">
        <v>2.4952199999999999E-16</v>
      </c>
      <c r="AB541" s="5">
        <v>1.7466600000000001E-15</v>
      </c>
      <c r="AC541" s="5">
        <v>2.4952199999999999E-15</v>
      </c>
      <c r="AD541" s="8">
        <v>1.24761E-15</v>
      </c>
      <c r="AG541" s="5"/>
      <c r="AH541" s="5"/>
      <c r="AI541" s="5">
        <v>1.24761E-16</v>
      </c>
      <c r="AM541" s="5"/>
      <c r="AN541" s="5"/>
      <c r="AO541" s="5"/>
      <c r="AS541" s="5">
        <v>8.7332699999999998E-16</v>
      </c>
      <c r="AT541" s="5">
        <v>4.9904399999999999E-16</v>
      </c>
      <c r="AU541" s="4">
        <v>2.1209400000000001E-15</v>
      </c>
      <c r="AV541" s="4">
        <v>9.9808799999999998E-16</v>
      </c>
    </row>
    <row r="542" spans="3:48" x14ac:dyDescent="0.25">
      <c r="C542" s="31">
        <v>4.4290200000000002E-14</v>
      </c>
      <c r="D542" s="5">
        <v>4.1283400000000001E-13</v>
      </c>
      <c r="E542" s="3">
        <v>4.2693200000000002E-13</v>
      </c>
      <c r="F542" s="30">
        <v>4.2618399999999999E-13</v>
      </c>
      <c r="I542" s="3">
        <v>1.13532E-14</v>
      </c>
      <c r="J542" s="5">
        <v>2.1957900000000001E-14</v>
      </c>
      <c r="K542" s="5">
        <v>2.3829300000000001E-14</v>
      </c>
      <c r="L542" s="8">
        <v>1.4846600000000001E-14</v>
      </c>
      <c r="O542" s="5">
        <v>3.49331E-15</v>
      </c>
      <c r="P542" s="5">
        <v>1.6094199999999999E-14</v>
      </c>
      <c r="Q542" s="5">
        <v>1.5969400000000001E-14</v>
      </c>
      <c r="R542" s="8">
        <v>1.6218899999999999E-14</v>
      </c>
      <c r="U542" s="5">
        <v>8.1094600000000006E-15</v>
      </c>
      <c r="V542" s="5">
        <v>8.3589900000000006E-15</v>
      </c>
      <c r="W542" s="5">
        <v>8.6085100000000007E-15</v>
      </c>
      <c r="X542" s="36">
        <v>2.7447400000000001E-15</v>
      </c>
      <c r="AA542" s="5">
        <v>2.4952199999999999E-16</v>
      </c>
      <c r="AB542" s="5">
        <v>1.62189E-15</v>
      </c>
      <c r="AC542" s="5">
        <v>2.2457000000000002E-15</v>
      </c>
      <c r="AD542" s="8">
        <v>1.24761E-15</v>
      </c>
      <c r="AG542" s="5"/>
      <c r="AH542" s="5"/>
      <c r="AI542" s="5">
        <v>1.24761E-16</v>
      </c>
      <c r="AM542" s="5"/>
      <c r="AN542" s="5"/>
      <c r="AO542" s="5"/>
      <c r="AS542" s="5">
        <v>8.7332699999999998E-16</v>
      </c>
      <c r="AT542" s="5">
        <v>4.9904399999999999E-16</v>
      </c>
      <c r="AU542" s="4">
        <v>5.7390100000000001E-15</v>
      </c>
      <c r="AV542" s="4">
        <v>9.9808799999999998E-16</v>
      </c>
    </row>
    <row r="543" spans="3:48" x14ac:dyDescent="0.25">
      <c r="C543" s="31">
        <v>4.40406E-14</v>
      </c>
      <c r="D543" s="5">
        <v>4.1196100000000002E-13</v>
      </c>
      <c r="E543" s="3">
        <v>4.2618399999999999E-13</v>
      </c>
      <c r="F543" s="30">
        <v>4.2556000000000001E-13</v>
      </c>
      <c r="I543" s="3">
        <v>1.12285E-14</v>
      </c>
      <c r="J543" s="5">
        <v>2.1708400000000001E-14</v>
      </c>
      <c r="K543" s="5">
        <v>2.3080799999999999E-14</v>
      </c>
      <c r="L543" s="8">
        <v>1.4597E-14</v>
      </c>
      <c r="O543" s="5">
        <v>3.49331E-15</v>
      </c>
      <c r="P543" s="5">
        <v>1.6094199999999999E-14</v>
      </c>
      <c r="Q543" s="5">
        <v>1.4971300000000001E-14</v>
      </c>
      <c r="R543" s="8">
        <v>1.5969400000000001E-14</v>
      </c>
      <c r="U543" s="5">
        <v>7.9847000000000006E-15</v>
      </c>
      <c r="V543" s="5">
        <v>7.7351800000000004E-15</v>
      </c>
      <c r="W543" s="5">
        <v>7.4856600000000002E-15</v>
      </c>
      <c r="X543" s="36">
        <v>2.61998E-15</v>
      </c>
      <c r="AA543" s="5">
        <v>2.4952199999999999E-16</v>
      </c>
      <c r="AB543" s="5">
        <v>1.62189E-15</v>
      </c>
      <c r="AC543" s="5">
        <v>2.2457000000000002E-15</v>
      </c>
      <c r="AD543" s="8">
        <v>1.24761E-15</v>
      </c>
      <c r="AG543" s="5"/>
      <c r="AH543" s="5"/>
      <c r="AI543" s="5">
        <v>1.24761E-16</v>
      </c>
      <c r="AM543" s="5"/>
      <c r="AN543" s="5"/>
      <c r="AO543" s="5"/>
      <c r="AS543" s="5">
        <v>8.7332699999999998E-16</v>
      </c>
      <c r="AT543" s="5">
        <v>4.9904399999999999E-16</v>
      </c>
      <c r="AU543" s="4">
        <v>6.92424E-14</v>
      </c>
      <c r="AV543" s="4">
        <v>9.9808799999999998E-16</v>
      </c>
    </row>
    <row r="544" spans="3:48" x14ac:dyDescent="0.25">
      <c r="C544" s="31">
        <v>4.3042599999999998E-14</v>
      </c>
      <c r="D544" s="5">
        <v>4.1133699999999998E-13</v>
      </c>
      <c r="E544" s="3">
        <v>4.2605899999999998E-13</v>
      </c>
      <c r="F544" s="30">
        <v>4.2530999999999998E-13</v>
      </c>
      <c r="I544" s="3">
        <v>1.12285E-14</v>
      </c>
      <c r="J544" s="5">
        <v>2.1084599999999999E-14</v>
      </c>
      <c r="K544" s="5">
        <v>2.2457E-14</v>
      </c>
      <c r="L544" s="8">
        <v>1.3848499999999999E-14</v>
      </c>
      <c r="O544" s="5">
        <v>3.49331E-15</v>
      </c>
      <c r="P544" s="5">
        <v>1.55951E-14</v>
      </c>
      <c r="Q544" s="5">
        <v>1.4971300000000001E-14</v>
      </c>
      <c r="R544" s="8">
        <v>1.4971300000000001E-14</v>
      </c>
      <c r="U544" s="5">
        <v>7.9847000000000006E-15</v>
      </c>
      <c r="V544" s="5">
        <v>7.6104200000000003E-15</v>
      </c>
      <c r="W544" s="5">
        <v>7.4856600000000002E-15</v>
      </c>
      <c r="X544" s="36">
        <v>2.4952199999999999E-15</v>
      </c>
      <c r="AA544" s="5">
        <v>1.24761E-16</v>
      </c>
      <c r="AB544" s="5">
        <v>1.4971299999999999E-15</v>
      </c>
      <c r="AC544" s="5">
        <v>2.2457000000000002E-15</v>
      </c>
      <c r="AD544" s="8">
        <v>1.1228500000000001E-15</v>
      </c>
      <c r="AG544" s="5"/>
      <c r="AH544" s="5"/>
      <c r="AI544" s="5">
        <v>1.24761E-16</v>
      </c>
      <c r="AM544" s="5"/>
      <c r="AN544" s="5"/>
      <c r="AO544" s="5"/>
      <c r="AS544" s="5">
        <v>8.7332699999999998E-16</v>
      </c>
      <c r="AT544" s="5">
        <v>4.9904399999999999E-16</v>
      </c>
      <c r="AU544" s="4">
        <v>2.4952199999999999E-16</v>
      </c>
      <c r="AV544" s="4">
        <v>9.9808799999999998E-16</v>
      </c>
    </row>
    <row r="545" spans="3:48" x14ac:dyDescent="0.25">
      <c r="C545" s="31">
        <v>4.29178E-14</v>
      </c>
      <c r="D545" s="5">
        <v>4.0921600000000001E-13</v>
      </c>
      <c r="E545" s="3">
        <v>4.2605899999999998E-13</v>
      </c>
      <c r="F545" s="30">
        <v>4.2418799999999999E-13</v>
      </c>
      <c r="I545" s="3">
        <v>1.12285E-14</v>
      </c>
      <c r="J545" s="5">
        <v>2.1084599999999999E-14</v>
      </c>
      <c r="K545" s="5">
        <v>2.2457E-14</v>
      </c>
      <c r="L545" s="8">
        <v>1.3598899999999999E-14</v>
      </c>
      <c r="O545" s="5">
        <v>3.3685499999999999E-15</v>
      </c>
      <c r="P545" s="5">
        <v>1.4971300000000001E-14</v>
      </c>
      <c r="Q545" s="5">
        <v>1.4846600000000001E-14</v>
      </c>
      <c r="R545" s="8">
        <v>1.4347499999999999E-14</v>
      </c>
      <c r="U545" s="5">
        <v>7.9847000000000006E-15</v>
      </c>
      <c r="V545" s="5">
        <v>7.6104200000000003E-15</v>
      </c>
      <c r="W545" s="5">
        <v>7.2361400000000001E-15</v>
      </c>
      <c r="X545" s="36">
        <v>2.2457000000000002E-15</v>
      </c>
      <c r="AA545" s="5">
        <v>1.24761E-16</v>
      </c>
      <c r="AB545" s="5">
        <v>1.3723700000000001E-15</v>
      </c>
      <c r="AC545" s="5">
        <v>2.2457000000000002E-15</v>
      </c>
      <c r="AD545" s="8">
        <v>1.1228500000000001E-15</v>
      </c>
      <c r="AG545" s="5"/>
      <c r="AH545" s="5"/>
      <c r="AI545" s="5">
        <v>1.24761E-16</v>
      </c>
      <c r="AM545" s="5"/>
      <c r="AN545" s="5"/>
      <c r="AO545" s="5"/>
      <c r="AS545" s="5">
        <v>8.7332699999999998E-16</v>
      </c>
      <c r="AT545" s="5">
        <v>4.9904399999999999E-16</v>
      </c>
      <c r="AU545" s="4">
        <v>1.24761E-16</v>
      </c>
      <c r="AV545" s="4">
        <v>9.9808799999999998E-16</v>
      </c>
    </row>
    <row r="546" spans="3:48" x14ac:dyDescent="0.25">
      <c r="C546" s="31">
        <v>4.26683E-14</v>
      </c>
      <c r="D546" s="5">
        <v>4.0896700000000001E-13</v>
      </c>
      <c r="E546" s="3">
        <v>4.2593400000000002E-13</v>
      </c>
      <c r="F546" s="30">
        <v>4.2306499999999997E-13</v>
      </c>
      <c r="I546" s="3">
        <v>1.12285E-14</v>
      </c>
      <c r="J546" s="5">
        <v>2.0835100000000001E-14</v>
      </c>
      <c r="K546" s="5">
        <v>2.22075E-14</v>
      </c>
      <c r="L546" s="8">
        <v>1.2975100000000001E-14</v>
      </c>
      <c r="O546" s="5">
        <v>3.3685499999999999E-15</v>
      </c>
      <c r="P546" s="5">
        <v>1.44723E-14</v>
      </c>
      <c r="Q546" s="5">
        <v>1.4597E-14</v>
      </c>
      <c r="R546" s="8">
        <v>1.37237E-14</v>
      </c>
      <c r="U546" s="5">
        <v>7.9847000000000006E-15</v>
      </c>
      <c r="V546" s="5">
        <v>7.4856600000000002E-15</v>
      </c>
      <c r="W546" s="5">
        <v>6.8618500000000001E-15</v>
      </c>
      <c r="X546" s="36">
        <v>2.2457000000000002E-15</v>
      </c>
      <c r="AA546" s="5">
        <v>1.24761E-16</v>
      </c>
      <c r="AB546" s="5">
        <v>1.3723700000000001E-15</v>
      </c>
      <c r="AC546" s="5">
        <v>2.1209400000000001E-15</v>
      </c>
      <c r="AD546" s="8">
        <v>1.1228500000000001E-15</v>
      </c>
      <c r="AG546" s="5"/>
      <c r="AH546" s="5"/>
      <c r="AI546" s="5">
        <v>1.24761E-16</v>
      </c>
      <c r="AM546" s="5"/>
      <c r="AN546" s="5"/>
      <c r="AO546" s="5"/>
      <c r="AS546" s="5">
        <v>8.7332699999999998E-16</v>
      </c>
      <c r="AT546" s="5">
        <v>4.9904399999999999E-16</v>
      </c>
      <c r="AU546" s="4">
        <v>5.4096400000000004E-13</v>
      </c>
      <c r="AV546" s="4">
        <v>9.9808799999999998E-16</v>
      </c>
    </row>
    <row r="547" spans="3:48" x14ac:dyDescent="0.25">
      <c r="C547" s="31">
        <v>4.2169199999999997E-14</v>
      </c>
      <c r="D547" s="5">
        <v>4.0821800000000001E-13</v>
      </c>
      <c r="E547" s="3">
        <v>4.2580900000000001E-13</v>
      </c>
      <c r="F547" s="30">
        <v>4.2294000000000001E-13</v>
      </c>
      <c r="I547" s="3">
        <v>1.12285E-14</v>
      </c>
      <c r="J547" s="5">
        <v>2.07103E-14</v>
      </c>
      <c r="K547" s="5">
        <v>2.1833200000000001E-14</v>
      </c>
      <c r="L547" s="8">
        <v>1.27256E-14</v>
      </c>
      <c r="O547" s="5">
        <v>3.3685499999999999E-15</v>
      </c>
      <c r="P547" s="5">
        <v>1.44723E-14</v>
      </c>
      <c r="Q547" s="5">
        <v>1.44723E-14</v>
      </c>
      <c r="R547" s="8">
        <v>1.3224700000000001E-14</v>
      </c>
      <c r="U547" s="5">
        <v>7.9847000000000006E-15</v>
      </c>
      <c r="V547" s="5">
        <v>7.3609000000000002E-15</v>
      </c>
      <c r="W547" s="5">
        <v>6.8618500000000001E-15</v>
      </c>
      <c r="X547" s="36">
        <v>2.2457000000000002E-15</v>
      </c>
      <c r="AA547" s="5">
        <v>1.24761E-16</v>
      </c>
      <c r="AB547" s="5">
        <v>1.3723700000000001E-15</v>
      </c>
      <c r="AC547" s="5">
        <v>2.1209400000000001E-15</v>
      </c>
      <c r="AD547" s="8">
        <v>1.1228500000000001E-15</v>
      </c>
      <c r="AG547" s="5"/>
      <c r="AH547" s="5"/>
      <c r="AI547" s="5">
        <v>1.24761E-16</v>
      </c>
      <c r="AM547" s="5"/>
      <c r="AN547" s="5"/>
      <c r="AO547" s="5"/>
      <c r="AS547" s="5">
        <v>7.4856599999999998E-16</v>
      </c>
      <c r="AT547" s="5">
        <v>4.9904399999999999E-16</v>
      </c>
      <c r="AU547" s="4">
        <v>2.4952199999999999E-16</v>
      </c>
      <c r="AV547" s="4">
        <v>9.9808799999999998E-16</v>
      </c>
    </row>
    <row r="548" spans="3:48" x14ac:dyDescent="0.25">
      <c r="C548" s="31">
        <v>4.1670200000000003E-14</v>
      </c>
      <c r="D548" s="5">
        <v>4.0634700000000002E-13</v>
      </c>
      <c r="E548" s="3">
        <v>4.2443699999999999E-13</v>
      </c>
      <c r="F548" s="30">
        <v>4.2231599999999997E-13</v>
      </c>
      <c r="I548" s="3">
        <v>1.12285E-14</v>
      </c>
      <c r="J548" s="5">
        <v>2.07103E-14</v>
      </c>
      <c r="K548" s="5">
        <v>2.14589E-14</v>
      </c>
      <c r="L548" s="8">
        <v>1.26009E-14</v>
      </c>
      <c r="O548" s="5">
        <v>3.3685499999999999E-15</v>
      </c>
      <c r="P548" s="5">
        <v>1.37237E-14</v>
      </c>
      <c r="Q548" s="5">
        <v>1.3973200000000001E-14</v>
      </c>
      <c r="R548" s="8">
        <v>1.30999E-14</v>
      </c>
      <c r="U548" s="5">
        <v>7.8599400000000005E-15</v>
      </c>
      <c r="V548" s="5">
        <v>7.3609000000000002E-15</v>
      </c>
      <c r="W548" s="5">
        <v>6.6123299999999999E-15</v>
      </c>
      <c r="X548" s="36">
        <v>2.2457000000000002E-15</v>
      </c>
      <c r="AA548" s="5">
        <v>1.24761E-16</v>
      </c>
      <c r="AB548" s="5">
        <v>1.3723700000000001E-15</v>
      </c>
      <c r="AC548" s="5">
        <v>1.99618E-15</v>
      </c>
      <c r="AD548" s="8">
        <v>1.1228500000000001E-15</v>
      </c>
      <c r="AG548" s="5"/>
      <c r="AH548" s="5"/>
      <c r="AI548" s="5">
        <v>1.24761E-16</v>
      </c>
      <c r="AM548" s="5"/>
      <c r="AN548" s="5"/>
      <c r="AO548" s="5"/>
      <c r="AS548" s="5">
        <v>7.4856599999999998E-16</v>
      </c>
      <c r="AT548" s="5">
        <v>4.9904399999999999E-16</v>
      </c>
      <c r="AU548" s="4">
        <v>3.7428299999999999E-16</v>
      </c>
      <c r="AV548" s="4">
        <v>9.9808799999999998E-16</v>
      </c>
    </row>
    <row r="549" spans="3:48" x14ac:dyDescent="0.25">
      <c r="C549" s="31">
        <v>4.11711E-14</v>
      </c>
      <c r="D549" s="5">
        <v>4.0035799999999998E-13</v>
      </c>
      <c r="E549" s="3">
        <v>4.2094400000000001E-13</v>
      </c>
      <c r="F549" s="30">
        <v>4.2069399999999998E-13</v>
      </c>
      <c r="I549" s="3">
        <v>1.1103699999999999E-14</v>
      </c>
      <c r="J549" s="5">
        <v>2.0335999999999999E-14</v>
      </c>
      <c r="K549" s="5">
        <v>2.14589E-14</v>
      </c>
      <c r="L549" s="8">
        <v>1.19771E-14</v>
      </c>
      <c r="O549" s="5">
        <v>3.2437900000000002E-15</v>
      </c>
      <c r="P549" s="5">
        <v>1.3224700000000001E-14</v>
      </c>
      <c r="Q549" s="5">
        <v>1.37237E-14</v>
      </c>
      <c r="R549" s="8">
        <v>1.30999E-14</v>
      </c>
      <c r="U549" s="5">
        <v>7.8599400000000005E-15</v>
      </c>
      <c r="V549" s="5">
        <v>6.9866199999999999E-15</v>
      </c>
      <c r="W549" s="5">
        <v>6.4875699999999998E-15</v>
      </c>
      <c r="X549" s="36">
        <v>2.2457000000000002E-15</v>
      </c>
      <c r="AA549" s="5">
        <v>1.24761E-16</v>
      </c>
      <c r="AB549" s="5">
        <v>1.24761E-15</v>
      </c>
      <c r="AC549" s="5">
        <v>1.99618E-15</v>
      </c>
      <c r="AD549" s="8">
        <v>1.1228500000000001E-15</v>
      </c>
      <c r="AG549" s="5"/>
      <c r="AH549" s="5"/>
      <c r="AI549" s="5"/>
      <c r="AM549" s="5"/>
      <c r="AN549" s="5"/>
      <c r="AO549" s="5"/>
      <c r="AS549" s="5">
        <v>7.4856599999999998E-16</v>
      </c>
      <c r="AT549" s="5">
        <v>4.9904399999999999E-16</v>
      </c>
      <c r="AU549" s="4">
        <v>1.24761E-16</v>
      </c>
      <c r="AV549" s="4">
        <v>9.9808799999999998E-16</v>
      </c>
    </row>
    <row r="550" spans="3:48" x14ac:dyDescent="0.25">
      <c r="C550" s="31">
        <v>4.11711E-14</v>
      </c>
      <c r="D550" s="5">
        <v>3.9998400000000002E-13</v>
      </c>
      <c r="E550" s="3">
        <v>4.1907199999999999E-13</v>
      </c>
      <c r="F550" s="30">
        <v>4.2056900000000002E-13</v>
      </c>
      <c r="I550" s="3">
        <v>1.1103699999999999E-14</v>
      </c>
      <c r="J550" s="5">
        <v>1.87141E-14</v>
      </c>
      <c r="K550" s="5">
        <v>1.9837000000000001E-14</v>
      </c>
      <c r="L550" s="8">
        <v>1.19771E-14</v>
      </c>
      <c r="O550" s="5">
        <v>3.2437900000000002E-15</v>
      </c>
      <c r="P550" s="5">
        <v>1.30999E-14</v>
      </c>
      <c r="Q550" s="5">
        <v>1.33494E-14</v>
      </c>
      <c r="R550" s="8">
        <v>1.2850400000000001E-14</v>
      </c>
      <c r="U550" s="5">
        <v>7.8599400000000005E-15</v>
      </c>
      <c r="V550" s="5">
        <v>6.8618500000000001E-15</v>
      </c>
      <c r="W550" s="5">
        <v>5.6142400000000003E-15</v>
      </c>
      <c r="X550" s="36">
        <v>2.1209400000000001E-15</v>
      </c>
      <c r="AA550" s="5">
        <v>1.24761E-16</v>
      </c>
      <c r="AB550" s="5">
        <v>1.24761E-15</v>
      </c>
      <c r="AC550" s="5">
        <v>1.8714199999999999E-15</v>
      </c>
      <c r="AD550" s="8">
        <v>9.98089E-16</v>
      </c>
      <c r="AG550" s="5"/>
      <c r="AH550" s="5"/>
      <c r="AI550" s="5"/>
      <c r="AM550" s="5"/>
      <c r="AN550" s="5"/>
      <c r="AO550" s="5"/>
      <c r="AS550" s="5">
        <v>7.4856599999999998E-16</v>
      </c>
      <c r="AT550" s="5">
        <v>4.9904399999999999E-16</v>
      </c>
      <c r="AU550" s="4">
        <v>3.7428299999999999E-16</v>
      </c>
      <c r="AV550" s="4">
        <v>8.7332699999999998E-16</v>
      </c>
    </row>
    <row r="551" spans="3:48" x14ac:dyDescent="0.25">
      <c r="C551" s="31">
        <v>4.1046399999999997E-14</v>
      </c>
      <c r="D551" s="5">
        <v>3.9923500000000001E-13</v>
      </c>
      <c r="E551" s="3">
        <v>4.1857300000000002E-13</v>
      </c>
      <c r="F551" s="30">
        <v>4.18948E-13</v>
      </c>
      <c r="I551" s="3">
        <v>1.1103699999999999E-14</v>
      </c>
      <c r="J551" s="5">
        <v>1.85894E-14</v>
      </c>
      <c r="K551" s="5">
        <v>1.95875E-14</v>
      </c>
      <c r="L551" s="8">
        <v>1.17275E-14</v>
      </c>
      <c r="O551" s="5">
        <v>3.2437900000000002E-15</v>
      </c>
      <c r="P551" s="5">
        <v>1.27256E-14</v>
      </c>
      <c r="Q551" s="5">
        <v>1.3224700000000001E-14</v>
      </c>
      <c r="R551" s="8">
        <v>1.26009E-14</v>
      </c>
      <c r="U551" s="5">
        <v>7.8599400000000005E-15</v>
      </c>
      <c r="V551" s="5">
        <v>5.8637700000000002E-15</v>
      </c>
      <c r="W551" s="5">
        <v>5.3647200000000001E-15</v>
      </c>
      <c r="X551" s="36">
        <v>1.8714100000000002E-15</v>
      </c>
      <c r="AA551" s="5">
        <v>1.24761E-16</v>
      </c>
      <c r="AB551" s="5">
        <v>1.24761E-15</v>
      </c>
      <c r="AC551" s="5">
        <v>1.7466600000000001E-15</v>
      </c>
      <c r="AD551" s="8">
        <v>9.98089E-16</v>
      </c>
      <c r="AG551" s="5"/>
      <c r="AH551" s="5"/>
      <c r="AI551" s="5"/>
      <c r="AM551" s="5"/>
      <c r="AN551" s="5"/>
      <c r="AO551" s="5"/>
      <c r="AS551" s="5">
        <v>7.4856599999999998E-16</v>
      </c>
      <c r="AT551" s="5">
        <v>4.9904399999999999E-16</v>
      </c>
      <c r="AU551" s="4">
        <v>1.44723E-14</v>
      </c>
      <c r="AV551" s="4">
        <v>8.7332699999999998E-16</v>
      </c>
    </row>
    <row r="552" spans="3:48" x14ac:dyDescent="0.25">
      <c r="C552" s="31">
        <v>4.0796900000000003E-14</v>
      </c>
      <c r="D552" s="5">
        <v>3.98861E-13</v>
      </c>
      <c r="E552" s="3">
        <v>4.1595300000000003E-13</v>
      </c>
      <c r="F552" s="30">
        <v>4.1882299999999999E-13</v>
      </c>
      <c r="I552" s="3">
        <v>1.1103699999999999E-14</v>
      </c>
      <c r="J552" s="5">
        <v>1.83399E-14</v>
      </c>
      <c r="K552" s="5">
        <v>1.9337899999999999E-14</v>
      </c>
      <c r="L552" s="8">
        <v>1.1478000000000001E-14</v>
      </c>
      <c r="O552" s="5">
        <v>3.2437900000000002E-15</v>
      </c>
      <c r="P552" s="5">
        <v>1.26009E-14</v>
      </c>
      <c r="Q552" s="5">
        <v>1.30999E-14</v>
      </c>
      <c r="R552" s="8">
        <v>1.2476099999999999E-14</v>
      </c>
      <c r="U552" s="5">
        <v>7.7351800000000004E-15</v>
      </c>
      <c r="V552" s="5">
        <v>5.7390100000000001E-15</v>
      </c>
      <c r="W552" s="5">
        <v>5.2399600000000001E-15</v>
      </c>
      <c r="X552" s="36">
        <v>1.4971299999999999E-15</v>
      </c>
      <c r="AA552" s="5">
        <v>1.24761E-16</v>
      </c>
      <c r="AB552" s="5">
        <v>1.24761E-15</v>
      </c>
      <c r="AC552" s="5">
        <v>1.7466600000000001E-15</v>
      </c>
      <c r="AD552" s="8">
        <v>9.98089E-16</v>
      </c>
      <c r="AG552" s="5"/>
      <c r="AH552" s="5"/>
      <c r="AI552" s="5"/>
      <c r="AM552" s="5"/>
      <c r="AN552" s="5"/>
      <c r="AO552" s="5"/>
      <c r="AS552" s="5">
        <v>7.4856599999999998E-16</v>
      </c>
      <c r="AT552" s="5">
        <v>4.9904399999999999E-16</v>
      </c>
      <c r="AU552" s="4">
        <v>2.4952199999999999E-16</v>
      </c>
      <c r="AV552" s="4">
        <v>8.7332699999999998E-16</v>
      </c>
    </row>
    <row r="553" spans="3:48" x14ac:dyDescent="0.25">
      <c r="C553" s="31">
        <v>4.0672099999999999E-14</v>
      </c>
      <c r="D553" s="5">
        <v>3.9873599999999999E-13</v>
      </c>
      <c r="E553" s="3">
        <v>4.1582899999999998E-13</v>
      </c>
      <c r="F553" s="30">
        <v>4.1582899999999998E-13</v>
      </c>
      <c r="I553" s="3">
        <v>1.1103699999999999E-14</v>
      </c>
      <c r="J553" s="5">
        <v>1.8215099999999999E-14</v>
      </c>
      <c r="K553" s="5">
        <v>1.8963699999999999E-14</v>
      </c>
      <c r="L553" s="8">
        <v>1.1478000000000001E-14</v>
      </c>
      <c r="O553" s="5">
        <v>3.1190300000000001E-15</v>
      </c>
      <c r="P553" s="5">
        <v>1.23513E-14</v>
      </c>
      <c r="Q553" s="5">
        <v>1.2975100000000001E-14</v>
      </c>
      <c r="R553" s="8">
        <v>1.19771E-14</v>
      </c>
      <c r="U553" s="5">
        <v>7.7351800000000004E-15</v>
      </c>
      <c r="V553" s="5">
        <v>5.4894800000000002E-15</v>
      </c>
      <c r="W553" s="5">
        <v>5.1152E-15</v>
      </c>
      <c r="X553" s="36">
        <v>1.4971299999999999E-15</v>
      </c>
      <c r="AA553" s="5">
        <v>1.24761E-16</v>
      </c>
      <c r="AB553" s="5">
        <v>1.24761E-15</v>
      </c>
      <c r="AC553" s="5">
        <v>1.62189E-15</v>
      </c>
      <c r="AD553" s="8">
        <v>9.98089E-16</v>
      </c>
      <c r="AG553" s="5"/>
      <c r="AH553" s="5"/>
      <c r="AI553" s="5"/>
      <c r="AM553" s="5"/>
      <c r="AN553" s="5"/>
      <c r="AO553" s="5"/>
      <c r="AS553" s="5">
        <v>7.4856599999999998E-16</v>
      </c>
      <c r="AT553" s="5">
        <v>4.9904399999999999E-16</v>
      </c>
      <c r="AU553" s="4">
        <v>7.12385E-14</v>
      </c>
      <c r="AV553" s="4">
        <v>8.7332699999999998E-16</v>
      </c>
    </row>
    <row r="554" spans="3:48" x14ac:dyDescent="0.25">
      <c r="C554" s="31">
        <v>4.0672099999999999E-14</v>
      </c>
      <c r="D554" s="5">
        <v>3.9673999999999998E-13</v>
      </c>
      <c r="E554" s="3">
        <v>4.1532899999999999E-13</v>
      </c>
      <c r="F554" s="30">
        <v>4.15454E-13</v>
      </c>
      <c r="I554" s="3">
        <v>1.1103699999999999E-14</v>
      </c>
      <c r="J554" s="5">
        <v>1.8090300000000001E-14</v>
      </c>
      <c r="K554" s="5">
        <v>1.85894E-14</v>
      </c>
      <c r="L554" s="8">
        <v>1.08542E-14</v>
      </c>
      <c r="O554" s="5">
        <v>3.1190300000000001E-15</v>
      </c>
      <c r="P554" s="5">
        <v>1.21018E-14</v>
      </c>
      <c r="Q554" s="5">
        <v>1.2850400000000001E-14</v>
      </c>
      <c r="R554" s="8">
        <v>1.1852300000000001E-14</v>
      </c>
      <c r="U554" s="5">
        <v>7.7351800000000004E-15</v>
      </c>
      <c r="V554" s="5">
        <v>5.1152E-15</v>
      </c>
      <c r="W554" s="5">
        <v>5.1152E-15</v>
      </c>
      <c r="X554" s="36">
        <v>1.4971299999999999E-15</v>
      </c>
      <c r="AA554" s="5">
        <v>1.24761E-16</v>
      </c>
      <c r="AB554" s="5">
        <v>1.1228500000000001E-15</v>
      </c>
      <c r="AC554" s="5">
        <v>1.62189E-15</v>
      </c>
      <c r="AD554" s="8">
        <v>9.98089E-16</v>
      </c>
      <c r="AG554" s="5"/>
      <c r="AH554" s="5"/>
      <c r="AI554" s="5"/>
      <c r="AM554" s="5"/>
      <c r="AN554" s="5"/>
      <c r="AO554" s="5"/>
      <c r="AS554" s="5">
        <v>7.4856599999999998E-16</v>
      </c>
      <c r="AT554" s="5">
        <v>4.9904399999999999E-16</v>
      </c>
      <c r="AU554" s="4">
        <v>5.2399600000000001E-15</v>
      </c>
      <c r="AV554" s="4">
        <v>8.7332699999999998E-16</v>
      </c>
    </row>
    <row r="555" spans="3:48" x14ac:dyDescent="0.25">
      <c r="C555" s="31">
        <v>4.0672099999999999E-14</v>
      </c>
      <c r="D555" s="5">
        <v>3.9661500000000002E-13</v>
      </c>
      <c r="E555" s="3">
        <v>4.1507999999999998E-13</v>
      </c>
      <c r="F555" s="30">
        <v>4.1345799999999999E-13</v>
      </c>
      <c r="I555" s="3">
        <v>1.1103699999999999E-14</v>
      </c>
      <c r="J555" s="5">
        <v>1.7840800000000001E-14</v>
      </c>
      <c r="K555" s="5">
        <v>1.7716100000000001E-14</v>
      </c>
      <c r="L555" s="8">
        <v>1.07294E-14</v>
      </c>
      <c r="O555" s="5">
        <v>3.1190300000000001E-15</v>
      </c>
      <c r="P555" s="5">
        <v>1.19771E-14</v>
      </c>
      <c r="Q555" s="5">
        <v>1.23513E-14</v>
      </c>
      <c r="R555" s="8">
        <v>1.1478000000000001E-14</v>
      </c>
      <c r="U555" s="5">
        <v>7.6104200000000003E-15</v>
      </c>
      <c r="V555" s="5">
        <v>4.9904399999999999E-15</v>
      </c>
      <c r="W555" s="5">
        <v>4.9904399999999999E-15</v>
      </c>
      <c r="X555" s="36">
        <v>1.3723700000000001E-15</v>
      </c>
      <c r="AA555" s="5">
        <v>1.24761E-16</v>
      </c>
      <c r="AB555" s="5">
        <v>1.1228500000000001E-15</v>
      </c>
      <c r="AC555" s="5">
        <v>1.62189E-15</v>
      </c>
      <c r="AD555" s="8">
        <v>8.73328E-16</v>
      </c>
      <c r="AG555" s="5"/>
      <c r="AH555" s="5"/>
      <c r="AI555" s="5"/>
      <c r="AM555" s="5"/>
      <c r="AN555" s="5"/>
      <c r="AO555" s="5"/>
      <c r="AS555" s="5">
        <v>7.4856599999999998E-16</v>
      </c>
      <c r="AT555" s="5">
        <v>4.9904399999999999E-16</v>
      </c>
      <c r="AU555" s="4">
        <v>2.4952199999999999E-16</v>
      </c>
      <c r="AV555" s="4">
        <v>8.7332699999999998E-16</v>
      </c>
    </row>
    <row r="556" spans="3:48" x14ac:dyDescent="0.25">
      <c r="C556" s="31">
        <v>4.0297800000000001E-14</v>
      </c>
      <c r="D556" s="5">
        <v>3.9599200000000001E-13</v>
      </c>
      <c r="E556" s="3">
        <v>4.1395700000000002E-13</v>
      </c>
      <c r="F556" s="30">
        <v>4.1320899999999999E-13</v>
      </c>
      <c r="I556" s="3">
        <v>1.0979E-14</v>
      </c>
      <c r="J556" s="5">
        <v>1.7716100000000001E-14</v>
      </c>
      <c r="K556" s="5">
        <v>1.75913E-14</v>
      </c>
      <c r="L556" s="8">
        <v>1.07294E-14</v>
      </c>
      <c r="O556" s="5">
        <v>3.1190300000000001E-15</v>
      </c>
      <c r="P556" s="5">
        <v>1.0355200000000001E-14</v>
      </c>
      <c r="Q556" s="5">
        <v>1.21018E-14</v>
      </c>
      <c r="R556" s="8">
        <v>1.1353299999999999E-14</v>
      </c>
      <c r="U556" s="5">
        <v>7.6104200000000003E-15</v>
      </c>
      <c r="V556" s="5">
        <v>4.8656799999999998E-15</v>
      </c>
      <c r="W556" s="5">
        <v>4.9904399999999999E-15</v>
      </c>
      <c r="X556" s="36">
        <v>1.3723700000000001E-15</v>
      </c>
      <c r="AA556" s="5">
        <v>1.24761E-16</v>
      </c>
      <c r="AB556" s="5">
        <v>1.1228500000000001E-15</v>
      </c>
      <c r="AC556" s="5">
        <v>1.4971299999999999E-15</v>
      </c>
      <c r="AD556" s="8">
        <v>8.73328E-16</v>
      </c>
      <c r="AG556" s="5"/>
      <c r="AH556" s="5"/>
      <c r="AI556" s="5"/>
      <c r="AM556" s="5"/>
      <c r="AN556" s="5"/>
      <c r="AO556" s="5"/>
      <c r="AS556" s="5">
        <v>7.4856599999999998E-16</v>
      </c>
      <c r="AT556" s="5">
        <v>4.9904399999999999E-16</v>
      </c>
      <c r="AU556" s="4">
        <v>3.9923500000000003E-15</v>
      </c>
      <c r="AV556" s="4">
        <v>8.7332699999999998E-16</v>
      </c>
    </row>
    <row r="557" spans="3:48" x14ac:dyDescent="0.25">
      <c r="C557" s="31">
        <v>4.0173099999999998E-14</v>
      </c>
      <c r="D557" s="5">
        <v>3.9486899999999999E-13</v>
      </c>
      <c r="E557" s="3">
        <v>4.1358300000000001E-13</v>
      </c>
      <c r="F557" s="30">
        <v>4.1133699999999998E-13</v>
      </c>
      <c r="I557" s="3">
        <v>1.0979E-14</v>
      </c>
      <c r="J557" s="5">
        <v>1.75913E-14</v>
      </c>
      <c r="K557" s="5">
        <v>1.75913E-14</v>
      </c>
      <c r="L557" s="8">
        <v>1.07294E-14</v>
      </c>
      <c r="O557" s="5">
        <v>2.9942599999999999E-15</v>
      </c>
      <c r="P557" s="5">
        <v>9.8561199999999997E-15</v>
      </c>
      <c r="Q557" s="5">
        <v>1.21018E-14</v>
      </c>
      <c r="R557" s="8">
        <v>1.0479900000000001E-14</v>
      </c>
      <c r="U557" s="5">
        <v>7.6104200000000003E-15</v>
      </c>
      <c r="V557" s="5">
        <v>4.4914000000000004E-15</v>
      </c>
      <c r="W557" s="5">
        <v>4.8656799999999998E-15</v>
      </c>
      <c r="X557" s="36">
        <v>1.3723700000000001E-15</v>
      </c>
      <c r="AA557" s="5">
        <v>1.24761E-16</v>
      </c>
      <c r="AB557" s="5">
        <v>1.1228500000000001E-15</v>
      </c>
      <c r="AC557" s="5">
        <v>1.4971299999999999E-15</v>
      </c>
      <c r="AD557" s="8">
        <v>8.73328E-16</v>
      </c>
      <c r="AG557" s="5"/>
      <c r="AH557" s="5"/>
      <c r="AI557" s="5"/>
      <c r="AM557" s="5"/>
      <c r="AN557" s="5"/>
      <c r="AO557" s="5"/>
      <c r="AS557" s="5">
        <v>7.4856599999999998E-16</v>
      </c>
      <c r="AT557" s="5">
        <v>4.9904399999999999E-16</v>
      </c>
      <c r="AU557" s="4">
        <v>8.7332699999999998E-16</v>
      </c>
      <c r="AV557" s="4">
        <v>8.7332699999999998E-16</v>
      </c>
    </row>
    <row r="558" spans="3:48" x14ac:dyDescent="0.25">
      <c r="C558" s="31">
        <v>4.00483E-14</v>
      </c>
      <c r="D558" s="5">
        <v>3.9262300000000001E-13</v>
      </c>
      <c r="E558" s="5">
        <v>4.1208599999999998E-13</v>
      </c>
      <c r="F558" s="30">
        <v>4.1108800000000003E-13</v>
      </c>
      <c r="I558" s="3">
        <v>1.0979E-14</v>
      </c>
      <c r="J558" s="5">
        <v>1.7466499999999999E-14</v>
      </c>
      <c r="K558" s="5">
        <v>1.7341799999999999E-14</v>
      </c>
      <c r="L558" s="8">
        <v>1.02304E-14</v>
      </c>
      <c r="O558" s="5">
        <v>2.9942599999999999E-15</v>
      </c>
      <c r="P558" s="5">
        <v>9.8561199999999997E-15</v>
      </c>
      <c r="Q558" s="5">
        <v>1.19771E-14</v>
      </c>
      <c r="R558" s="8">
        <v>1.0479900000000001E-14</v>
      </c>
      <c r="U558" s="5">
        <v>7.6104200000000003E-15</v>
      </c>
      <c r="V558" s="5">
        <v>4.4914000000000004E-15</v>
      </c>
      <c r="W558" s="5">
        <v>4.7409199999999997E-15</v>
      </c>
      <c r="X558" s="36">
        <v>1.24761E-15</v>
      </c>
      <c r="AA558" s="5">
        <v>1.24761E-16</v>
      </c>
      <c r="AB558" s="5">
        <v>1.1228500000000001E-15</v>
      </c>
      <c r="AC558" s="5">
        <v>1.3723700000000001E-15</v>
      </c>
      <c r="AD558" s="8">
        <v>8.73328E-16</v>
      </c>
      <c r="AG558" s="5"/>
      <c r="AH558" s="5"/>
      <c r="AI558" s="5"/>
      <c r="AM558" s="5"/>
      <c r="AN558" s="5"/>
      <c r="AO558" s="5"/>
      <c r="AS558" s="5">
        <v>7.4856599999999998E-16</v>
      </c>
      <c r="AT558" s="5">
        <v>4.9904399999999999E-16</v>
      </c>
      <c r="AU558" s="4">
        <v>1.24761E-16</v>
      </c>
      <c r="AV558" s="4">
        <v>8.7332699999999998E-16</v>
      </c>
    </row>
    <row r="559" spans="3:48" x14ac:dyDescent="0.25">
      <c r="C559" s="31">
        <v>3.9923500000000003E-14</v>
      </c>
      <c r="D559" s="5">
        <v>3.9237299999999999E-13</v>
      </c>
      <c r="E559" s="5">
        <v>4.1071299999999999E-13</v>
      </c>
      <c r="F559" s="30">
        <v>4.1046399999999999E-13</v>
      </c>
      <c r="I559" s="3">
        <v>1.0979E-14</v>
      </c>
      <c r="J559" s="5">
        <v>1.7216999999999999E-14</v>
      </c>
      <c r="K559" s="5">
        <v>1.6842700000000001E-14</v>
      </c>
      <c r="L559" s="8">
        <v>1.0105600000000001E-14</v>
      </c>
      <c r="O559" s="5">
        <v>2.9942599999999999E-15</v>
      </c>
      <c r="P559" s="5">
        <v>9.6065999999999996E-15</v>
      </c>
      <c r="Q559" s="5">
        <v>1.1478000000000001E-14</v>
      </c>
      <c r="R559" s="8">
        <v>9.9808799999999998E-15</v>
      </c>
      <c r="U559" s="5">
        <v>7.4856600000000002E-15</v>
      </c>
      <c r="V559" s="5">
        <v>4.3666299999999997E-15</v>
      </c>
      <c r="W559" s="5">
        <v>4.4914000000000004E-15</v>
      </c>
      <c r="X559" s="36">
        <v>1.24761E-15</v>
      </c>
      <c r="AA559" s="5">
        <v>1.24761E-16</v>
      </c>
      <c r="AB559" s="5">
        <v>1.1228500000000001E-15</v>
      </c>
      <c r="AC559" s="5">
        <v>1.3723700000000001E-15</v>
      </c>
      <c r="AD559" s="8">
        <v>7.48567E-16</v>
      </c>
      <c r="AG559" s="5"/>
      <c r="AH559" s="5"/>
      <c r="AI559" s="5"/>
      <c r="AM559" s="5"/>
      <c r="AN559" s="5"/>
      <c r="AO559" s="5"/>
      <c r="AS559" s="5">
        <v>7.4856599999999998E-16</v>
      </c>
      <c r="AT559" s="5">
        <v>4.9904399999999999E-16</v>
      </c>
      <c r="AU559" s="4">
        <v>3.7428299999999999E-16</v>
      </c>
      <c r="AV559" s="4">
        <v>8.7332699999999998E-16</v>
      </c>
    </row>
    <row r="560" spans="3:48" x14ac:dyDescent="0.25">
      <c r="C560" s="31">
        <v>3.97988E-14</v>
      </c>
      <c r="D560" s="5">
        <v>3.91251E-13</v>
      </c>
      <c r="E560" s="5">
        <v>4.10589E-13</v>
      </c>
      <c r="F560" s="30">
        <v>4.06222E-13</v>
      </c>
      <c r="I560" s="5">
        <v>1.0979E-14</v>
      </c>
      <c r="J560" s="5">
        <v>1.6842700000000001E-14</v>
      </c>
      <c r="K560" s="5">
        <v>1.65932E-14</v>
      </c>
      <c r="L560" s="8">
        <v>1.0105600000000001E-14</v>
      </c>
      <c r="O560" s="5">
        <v>2.8695000000000002E-15</v>
      </c>
      <c r="P560" s="5">
        <v>9.4818399999999995E-15</v>
      </c>
      <c r="Q560" s="5">
        <v>1.1478000000000001E-14</v>
      </c>
      <c r="R560" s="8">
        <v>9.8561199999999997E-15</v>
      </c>
      <c r="U560" s="5">
        <v>7.4856600000000002E-15</v>
      </c>
      <c r="V560" s="5">
        <v>3.61807E-15</v>
      </c>
      <c r="W560" s="5">
        <v>4.3666299999999997E-15</v>
      </c>
      <c r="X560" s="36">
        <v>1.24761E-15</v>
      </c>
      <c r="AA560" s="5">
        <v>1.24761E-16</v>
      </c>
      <c r="AB560" s="5">
        <v>9.98089E-16</v>
      </c>
      <c r="AC560" s="5">
        <v>1.3723700000000001E-15</v>
      </c>
      <c r="AD560" s="8">
        <v>7.48567E-16</v>
      </c>
      <c r="AG560" s="5"/>
      <c r="AH560" s="5"/>
      <c r="AI560" s="5"/>
      <c r="AM560" s="5"/>
      <c r="AN560" s="5"/>
      <c r="AO560" s="5"/>
      <c r="AS560" s="5">
        <v>7.4856599999999998E-16</v>
      </c>
      <c r="AT560" s="5">
        <v>4.9904399999999999E-16</v>
      </c>
      <c r="AU560" s="4">
        <v>6.2380499999999999E-16</v>
      </c>
      <c r="AV560" s="4">
        <v>8.7332699999999998E-16</v>
      </c>
    </row>
    <row r="561" spans="3:48" x14ac:dyDescent="0.25">
      <c r="C561" s="31">
        <v>3.9674000000000002E-14</v>
      </c>
      <c r="D561" s="5">
        <v>3.9100100000000002E-13</v>
      </c>
      <c r="E561" s="5">
        <v>4.0896700000000001E-13</v>
      </c>
      <c r="F561" s="30">
        <v>4.0584799999999999E-13</v>
      </c>
      <c r="I561" s="5">
        <v>1.08542E-14</v>
      </c>
      <c r="J561" s="5">
        <v>1.6718000000000001E-14</v>
      </c>
      <c r="K561" s="5">
        <v>1.6218899999999999E-14</v>
      </c>
      <c r="L561" s="8">
        <v>9.8561199999999997E-15</v>
      </c>
      <c r="O561" s="5">
        <v>2.8695000000000002E-15</v>
      </c>
      <c r="P561" s="5">
        <v>9.4818399999999995E-15</v>
      </c>
      <c r="Q561" s="5">
        <v>9.9808799999999998E-15</v>
      </c>
      <c r="R561" s="8">
        <v>9.4818399999999995E-15</v>
      </c>
      <c r="U561" s="5">
        <v>7.3609000000000002E-15</v>
      </c>
      <c r="V561" s="5">
        <v>3.49331E-15</v>
      </c>
      <c r="W561" s="5">
        <v>3.9923500000000003E-15</v>
      </c>
      <c r="X561" s="36">
        <v>1.24761E-15</v>
      </c>
      <c r="AA561" s="5">
        <v>1.24761E-16</v>
      </c>
      <c r="AB561" s="5">
        <v>9.98089E-16</v>
      </c>
      <c r="AC561" s="5">
        <v>1.3723700000000001E-15</v>
      </c>
      <c r="AD561" s="8">
        <v>7.48567E-16</v>
      </c>
      <c r="AG561" s="5"/>
      <c r="AH561" s="5"/>
      <c r="AI561" s="5"/>
      <c r="AM561" s="5"/>
      <c r="AN561" s="5"/>
      <c r="AO561" s="5"/>
      <c r="AS561" s="5">
        <v>7.4856599999999998E-16</v>
      </c>
      <c r="AT561" s="5">
        <v>4.9904399999999999E-16</v>
      </c>
      <c r="AU561" s="4">
        <v>1.24761E-16</v>
      </c>
      <c r="AV561" s="4">
        <v>8.7332699999999998E-16</v>
      </c>
    </row>
    <row r="562" spans="3:48" x14ac:dyDescent="0.25">
      <c r="C562" s="31">
        <v>3.9549199999999998E-14</v>
      </c>
      <c r="D562" s="5">
        <v>3.9025299999999999E-13</v>
      </c>
      <c r="E562" s="5">
        <v>4.0734500000000002E-13</v>
      </c>
      <c r="F562" s="30">
        <v>4.0559800000000002E-13</v>
      </c>
      <c r="I562" s="5">
        <v>1.08542E-14</v>
      </c>
      <c r="J562" s="5">
        <v>1.6218899999999999E-14</v>
      </c>
      <c r="K562" s="5">
        <v>1.6094199999999999E-14</v>
      </c>
      <c r="L562" s="8">
        <v>9.1075499999999995E-15</v>
      </c>
      <c r="O562" s="5">
        <v>2.8695000000000002E-15</v>
      </c>
      <c r="P562" s="5">
        <v>9.3570799999999994E-15</v>
      </c>
      <c r="Q562" s="5">
        <v>9.7313599999999996E-15</v>
      </c>
      <c r="R562" s="8">
        <v>9.2323199999999993E-15</v>
      </c>
      <c r="U562" s="5">
        <v>7.3609000000000002E-15</v>
      </c>
      <c r="V562" s="5">
        <v>3.2437900000000002E-15</v>
      </c>
      <c r="W562" s="5">
        <v>3.9923500000000003E-15</v>
      </c>
      <c r="X562" s="36">
        <v>1.24761E-15</v>
      </c>
      <c r="AA562" s="5">
        <v>1.24761E-16</v>
      </c>
      <c r="AB562" s="5">
        <v>9.98089E-16</v>
      </c>
      <c r="AC562" s="5">
        <v>1.3723700000000001E-15</v>
      </c>
      <c r="AD562" s="8">
        <v>7.48567E-16</v>
      </c>
      <c r="AG562" s="5"/>
      <c r="AH562" s="5"/>
      <c r="AI562" s="5"/>
      <c r="AM562" s="5"/>
      <c r="AN562" s="5"/>
      <c r="AO562" s="5"/>
      <c r="AS562" s="5">
        <v>7.4856599999999998E-16</v>
      </c>
      <c r="AT562" s="5">
        <v>4.9904399999999999E-16</v>
      </c>
      <c r="AU562" s="4">
        <v>3.2437900000000002E-15</v>
      </c>
      <c r="AV562" s="4">
        <v>8.7332699999999998E-16</v>
      </c>
    </row>
    <row r="563" spans="3:48" x14ac:dyDescent="0.25">
      <c r="C563" s="31">
        <v>3.9299699999999998E-14</v>
      </c>
      <c r="D563" s="5">
        <v>3.8912999999999998E-13</v>
      </c>
      <c r="E563" s="5">
        <v>4.0722000000000001E-13</v>
      </c>
      <c r="F563" s="30">
        <v>4.0497399999999998E-13</v>
      </c>
      <c r="I563" s="5">
        <v>1.08542E-14</v>
      </c>
      <c r="J563" s="5">
        <v>1.5096099999999999E-14</v>
      </c>
      <c r="K563" s="5">
        <v>1.5969400000000001E-14</v>
      </c>
      <c r="L563" s="8">
        <v>8.7332699999999992E-15</v>
      </c>
      <c r="O563" s="5">
        <v>2.8695000000000002E-15</v>
      </c>
      <c r="P563" s="5">
        <v>9.2323199999999993E-15</v>
      </c>
      <c r="Q563" s="5">
        <v>9.4818399999999995E-15</v>
      </c>
      <c r="R563" s="8">
        <v>9.1075499999999995E-15</v>
      </c>
      <c r="U563" s="5">
        <v>7.2361400000000001E-15</v>
      </c>
      <c r="V563" s="5">
        <v>3.2437900000000002E-15</v>
      </c>
      <c r="W563" s="5">
        <v>3.61807E-15</v>
      </c>
      <c r="X563" s="36">
        <v>1.1228500000000001E-15</v>
      </c>
      <c r="AA563" s="5">
        <v>1.24761E-16</v>
      </c>
      <c r="AB563" s="5">
        <v>9.98089E-16</v>
      </c>
      <c r="AC563" s="5">
        <v>1.3723700000000001E-15</v>
      </c>
      <c r="AD563" s="8">
        <v>7.48567E-16</v>
      </c>
      <c r="AG563" s="5"/>
      <c r="AH563" s="5"/>
      <c r="AI563" s="5"/>
      <c r="AM563" s="5"/>
      <c r="AN563" s="5"/>
      <c r="AO563" s="5"/>
      <c r="AS563" s="5">
        <v>7.4856599999999998E-16</v>
      </c>
      <c r="AT563" s="5">
        <v>4.9904399999999999E-16</v>
      </c>
      <c r="AU563" s="4">
        <v>1.7716100000000001E-14</v>
      </c>
      <c r="AV563" s="4">
        <v>8.7332699999999998E-16</v>
      </c>
    </row>
    <row r="564" spans="3:48" x14ac:dyDescent="0.25">
      <c r="C564" s="31">
        <v>3.8675899999999999E-14</v>
      </c>
      <c r="D564" s="5">
        <v>3.8638500000000002E-13</v>
      </c>
      <c r="E564" s="5">
        <v>4.04475E-13</v>
      </c>
      <c r="F564" s="30">
        <v>4.0272900000000002E-13</v>
      </c>
      <c r="I564" s="5">
        <v>1.08542E-14</v>
      </c>
      <c r="J564" s="5">
        <v>1.5096099999999999E-14</v>
      </c>
      <c r="K564" s="5">
        <v>1.57199E-14</v>
      </c>
      <c r="L564" s="8">
        <v>8.2342200000000007E-15</v>
      </c>
      <c r="O564" s="5">
        <v>2.8695000000000002E-15</v>
      </c>
      <c r="P564" s="5">
        <v>8.6085100000000007E-15</v>
      </c>
      <c r="Q564" s="5">
        <v>9.4818399999999995E-15</v>
      </c>
      <c r="R564" s="8">
        <v>8.7332699999999992E-15</v>
      </c>
      <c r="U564" s="5">
        <v>7.2361400000000001E-15</v>
      </c>
      <c r="V564" s="5">
        <v>2.7447400000000001E-15</v>
      </c>
      <c r="W564" s="5">
        <v>3.61807E-15</v>
      </c>
      <c r="X564" s="36">
        <v>9.9808799999999998E-16</v>
      </c>
      <c r="AA564" s="5">
        <v>1.24761E-16</v>
      </c>
      <c r="AB564" s="5">
        <v>9.98089E-16</v>
      </c>
      <c r="AC564" s="5">
        <v>1.24761E-15</v>
      </c>
      <c r="AD564" s="8">
        <v>7.48567E-16</v>
      </c>
      <c r="AG564" s="5"/>
      <c r="AH564" s="5"/>
      <c r="AI564" s="5"/>
      <c r="AM564" s="5"/>
      <c r="AN564" s="5"/>
      <c r="AO564" s="5"/>
      <c r="AS564" s="5">
        <v>7.4856599999999998E-16</v>
      </c>
      <c r="AT564" s="5">
        <v>4.9904399999999999E-16</v>
      </c>
      <c r="AU564" s="4">
        <v>8.7332699999999998E-16</v>
      </c>
      <c r="AV564" s="4">
        <v>8.7332699999999998E-16</v>
      </c>
    </row>
    <row r="565" spans="3:48" x14ac:dyDescent="0.25">
      <c r="C565" s="31">
        <v>3.8551200000000002E-14</v>
      </c>
      <c r="D565" s="5">
        <v>3.8601100000000001E-13</v>
      </c>
      <c r="E565" s="5">
        <v>4.0435100000000001E-13</v>
      </c>
      <c r="F565" s="30">
        <v>4.0210499999999998E-13</v>
      </c>
      <c r="I565" s="5">
        <v>1.07294E-14</v>
      </c>
      <c r="J565" s="5">
        <v>1.5096099999999999E-14</v>
      </c>
      <c r="K565" s="5">
        <v>1.57199E-14</v>
      </c>
      <c r="L565" s="8">
        <v>8.2342200000000007E-15</v>
      </c>
      <c r="O565" s="5">
        <v>2.8695000000000002E-15</v>
      </c>
      <c r="P565" s="5">
        <v>8.2342300000000005E-15</v>
      </c>
      <c r="Q565" s="5">
        <v>9.2323199999999993E-15</v>
      </c>
      <c r="R565" s="8">
        <v>8.1094700000000004E-15</v>
      </c>
      <c r="U565" s="5">
        <v>7.2361400000000001E-15</v>
      </c>
      <c r="V565" s="5">
        <v>2.7447400000000001E-15</v>
      </c>
      <c r="W565" s="5">
        <v>3.2437900000000002E-15</v>
      </c>
      <c r="X565" s="36">
        <v>9.9808799999999998E-16</v>
      </c>
      <c r="AA565" s="5">
        <v>1.24761E-16</v>
      </c>
      <c r="AB565" s="5">
        <v>9.98089E-16</v>
      </c>
      <c r="AC565" s="5">
        <v>1.24761E-15</v>
      </c>
      <c r="AD565" s="8">
        <v>7.48567E-16</v>
      </c>
      <c r="AG565" s="5"/>
      <c r="AH565" s="5"/>
      <c r="AI565" s="5"/>
      <c r="AM565" s="5"/>
      <c r="AN565" s="5"/>
      <c r="AO565" s="5"/>
      <c r="AS565" s="5">
        <v>7.4856599999999998E-16</v>
      </c>
      <c r="AT565" s="5">
        <v>4.9904399999999999E-16</v>
      </c>
      <c r="AU565" s="4">
        <v>8.7332699999999998E-16</v>
      </c>
      <c r="AV565" s="4">
        <v>8.7332699999999998E-16</v>
      </c>
    </row>
    <row r="566" spans="3:48" x14ac:dyDescent="0.25">
      <c r="C566" s="31">
        <v>3.8551200000000002E-14</v>
      </c>
      <c r="D566" s="5">
        <v>3.8388999999999999E-13</v>
      </c>
      <c r="E566" s="5">
        <v>4.03477E-13</v>
      </c>
      <c r="F566" s="30">
        <v>4.0123100000000002E-13</v>
      </c>
      <c r="I566" s="5">
        <v>1.07294E-14</v>
      </c>
      <c r="J566" s="5">
        <v>1.5096099999999999E-14</v>
      </c>
      <c r="K566" s="5">
        <v>1.5220800000000002E-14</v>
      </c>
      <c r="L566" s="8">
        <v>8.2342200000000007E-15</v>
      </c>
      <c r="O566" s="5">
        <v>2.8695000000000002E-15</v>
      </c>
      <c r="P566" s="5">
        <v>7.9847000000000006E-15</v>
      </c>
      <c r="Q566" s="5">
        <v>8.9827899999999994E-15</v>
      </c>
      <c r="R566" s="8">
        <v>7.8599400000000005E-15</v>
      </c>
      <c r="U566" s="5">
        <v>7.11138E-15</v>
      </c>
      <c r="V566" s="5">
        <v>2.7447400000000001E-15</v>
      </c>
      <c r="W566" s="5">
        <v>2.9942599999999999E-15</v>
      </c>
      <c r="X566" s="36">
        <v>9.9808799999999998E-16</v>
      </c>
      <c r="AA566" s="5">
        <v>1.24761E-16</v>
      </c>
      <c r="AB566" s="5">
        <v>9.98089E-16</v>
      </c>
      <c r="AC566" s="5">
        <v>1.24761E-15</v>
      </c>
      <c r="AD566" s="8">
        <v>7.48567E-16</v>
      </c>
      <c r="AG566" s="5"/>
      <c r="AH566" s="5"/>
      <c r="AI566" s="5"/>
      <c r="AM566" s="5"/>
      <c r="AN566" s="5"/>
      <c r="AO566" s="5"/>
      <c r="AS566" s="5">
        <v>7.4856599999999998E-16</v>
      </c>
      <c r="AT566" s="5">
        <v>4.9904399999999999E-16</v>
      </c>
      <c r="AU566" s="4">
        <v>3.7428299999999999E-16</v>
      </c>
      <c r="AV566" s="4">
        <v>8.7332699999999998E-16</v>
      </c>
    </row>
    <row r="567" spans="3:48" x14ac:dyDescent="0.25">
      <c r="C567" s="31">
        <v>3.8426399999999998E-14</v>
      </c>
      <c r="D567" s="5">
        <v>3.82517E-13</v>
      </c>
      <c r="E567" s="5">
        <v>4.0235399999999998E-13</v>
      </c>
      <c r="F567" s="30">
        <v>4.0010899999999998E-13</v>
      </c>
      <c r="I567" s="5">
        <v>1.07294E-14</v>
      </c>
      <c r="J567" s="5">
        <v>1.4971300000000001E-14</v>
      </c>
      <c r="K567" s="5">
        <v>1.4846600000000001E-14</v>
      </c>
      <c r="L567" s="8">
        <v>7.8599400000000005E-15</v>
      </c>
      <c r="O567" s="5">
        <v>2.7447400000000001E-15</v>
      </c>
      <c r="P567" s="5">
        <v>7.7351800000000004E-15</v>
      </c>
      <c r="Q567" s="5">
        <v>8.9827899999999994E-15</v>
      </c>
      <c r="R567" s="8">
        <v>7.8599400000000005E-15</v>
      </c>
      <c r="U567" s="5">
        <v>7.11138E-15</v>
      </c>
      <c r="V567" s="5">
        <v>2.7447400000000001E-15</v>
      </c>
      <c r="W567" s="5">
        <v>2.8695000000000002E-15</v>
      </c>
      <c r="X567" s="36">
        <v>9.9808799999999998E-16</v>
      </c>
      <c r="AA567" s="5">
        <v>1.24761E-16</v>
      </c>
      <c r="AB567" s="5">
        <v>9.98089E-16</v>
      </c>
      <c r="AC567" s="5">
        <v>1.24761E-15</v>
      </c>
      <c r="AD567" s="8">
        <v>7.48567E-16</v>
      </c>
      <c r="AG567" s="5"/>
      <c r="AH567" s="5"/>
      <c r="AI567" s="5"/>
      <c r="AM567" s="5"/>
      <c r="AN567" s="5"/>
      <c r="AO567" s="5"/>
      <c r="AS567" s="5">
        <v>7.4856599999999998E-16</v>
      </c>
      <c r="AT567" s="5">
        <v>4.9904399999999999E-16</v>
      </c>
      <c r="AU567" s="4">
        <v>7.4856599999999998E-16</v>
      </c>
      <c r="AV567" s="4">
        <v>8.7332699999999998E-16</v>
      </c>
    </row>
    <row r="568" spans="3:48" x14ac:dyDescent="0.25">
      <c r="C568" s="31">
        <v>3.8301600000000001E-14</v>
      </c>
      <c r="D568" s="5">
        <v>3.80272E-13</v>
      </c>
      <c r="E568" s="5">
        <v>4.0160600000000001E-13</v>
      </c>
      <c r="F568" s="30">
        <v>3.9998400000000002E-13</v>
      </c>
      <c r="I568" s="5">
        <v>1.07294E-14</v>
      </c>
      <c r="J568" s="5">
        <v>1.47218E-14</v>
      </c>
      <c r="K568" s="5">
        <v>1.4347499999999999E-14</v>
      </c>
      <c r="L568" s="8">
        <v>7.4856600000000002E-15</v>
      </c>
      <c r="O568" s="5">
        <v>2.7447400000000001E-15</v>
      </c>
      <c r="P568" s="5">
        <v>7.7351800000000004E-15</v>
      </c>
      <c r="Q568" s="5">
        <v>8.7332699999999992E-15</v>
      </c>
      <c r="R568" s="8">
        <v>7.4856600000000002E-15</v>
      </c>
      <c r="U568" s="5">
        <v>7.11138E-15</v>
      </c>
      <c r="V568" s="5">
        <v>2.61998E-15</v>
      </c>
      <c r="W568" s="5">
        <v>2.61998E-15</v>
      </c>
      <c r="X568" s="36">
        <v>9.9808799999999998E-16</v>
      </c>
      <c r="AA568" s="5">
        <v>1.24761E-16</v>
      </c>
      <c r="AB568" s="5">
        <v>8.73328E-16</v>
      </c>
      <c r="AC568" s="5">
        <v>1.24761E-15</v>
      </c>
      <c r="AD568" s="8">
        <v>6.23806E-16</v>
      </c>
      <c r="AG568" s="5"/>
      <c r="AH568" s="5"/>
      <c r="AI568" s="5"/>
      <c r="AM568" s="5"/>
      <c r="AN568" s="5"/>
      <c r="AO568" s="5"/>
      <c r="AS568" s="5">
        <v>7.4856599999999998E-16</v>
      </c>
      <c r="AT568" s="5">
        <v>4.9904399999999999E-16</v>
      </c>
      <c r="AU568" s="4">
        <v>4.3666400000000003E-15</v>
      </c>
      <c r="AV568" s="4">
        <v>8.7332699999999998E-16</v>
      </c>
    </row>
    <row r="569" spans="3:48" x14ac:dyDescent="0.25">
      <c r="C569" s="31">
        <v>3.80521E-14</v>
      </c>
      <c r="D569" s="5">
        <v>3.7715299999999998E-13</v>
      </c>
      <c r="E569" s="5">
        <v>4.0110699999999998E-13</v>
      </c>
      <c r="F569" s="30">
        <v>3.99859E-13</v>
      </c>
      <c r="I569" s="5">
        <v>1.06047E-14</v>
      </c>
      <c r="J569" s="5">
        <v>1.33494E-14</v>
      </c>
      <c r="K569" s="5">
        <v>1.3973200000000001E-14</v>
      </c>
      <c r="L569" s="8">
        <v>7.4856600000000002E-15</v>
      </c>
      <c r="O569" s="5">
        <v>2.7447400000000001E-15</v>
      </c>
      <c r="P569" s="5">
        <v>7.7351800000000004E-15</v>
      </c>
      <c r="Q569" s="5">
        <v>8.7332699999999992E-15</v>
      </c>
      <c r="R569" s="8">
        <v>7.11138E-15</v>
      </c>
      <c r="U569" s="5">
        <v>6.9866199999999999E-15</v>
      </c>
      <c r="V569" s="5">
        <v>2.4952199999999999E-15</v>
      </c>
      <c r="W569" s="5">
        <v>2.4952199999999999E-15</v>
      </c>
      <c r="X569" s="36">
        <v>8.7332699999999998E-16</v>
      </c>
      <c r="AA569" s="5">
        <v>1.24761E-16</v>
      </c>
      <c r="AB569" s="5">
        <v>8.73328E-16</v>
      </c>
      <c r="AC569" s="5">
        <v>1.24761E-15</v>
      </c>
      <c r="AD569" s="8">
        <v>6.23806E-16</v>
      </c>
      <c r="AG569" s="5"/>
      <c r="AH569" s="5"/>
      <c r="AI569" s="5"/>
      <c r="AM569" s="5"/>
      <c r="AN569" s="5"/>
      <c r="AO569" s="5"/>
      <c r="AS569" s="5">
        <v>7.4856599999999998E-16</v>
      </c>
      <c r="AT569" s="5">
        <v>4.9904399999999999E-16</v>
      </c>
      <c r="AU569" s="4">
        <v>2.4952199999999999E-16</v>
      </c>
      <c r="AV569" s="4">
        <v>8.7332699999999998E-16</v>
      </c>
    </row>
    <row r="570" spans="3:48" x14ac:dyDescent="0.25">
      <c r="C570" s="31">
        <v>3.80521E-14</v>
      </c>
      <c r="D570" s="5">
        <v>3.7603000000000001E-13</v>
      </c>
      <c r="E570" s="5">
        <v>3.9911100000000002E-13</v>
      </c>
      <c r="F570" s="30">
        <v>3.9973399999999999E-13</v>
      </c>
      <c r="I570" s="5">
        <v>1.06047E-14</v>
      </c>
      <c r="J570" s="5">
        <v>1.27256E-14</v>
      </c>
      <c r="K570" s="5">
        <v>1.37237E-14</v>
      </c>
      <c r="L570" s="8">
        <v>7.2361400000000001E-15</v>
      </c>
      <c r="O570" s="5">
        <v>2.7447400000000001E-15</v>
      </c>
      <c r="P570" s="5">
        <v>7.3609000000000002E-15</v>
      </c>
      <c r="Q570" s="5">
        <v>8.6085100000000007E-15</v>
      </c>
      <c r="R570" s="8">
        <v>6.9866199999999999E-15</v>
      </c>
      <c r="U570" s="5">
        <v>6.8618500000000001E-15</v>
      </c>
      <c r="V570" s="5">
        <v>2.3704599999999999E-15</v>
      </c>
      <c r="W570" s="5">
        <v>2.4952199999999999E-15</v>
      </c>
      <c r="X570" s="36">
        <v>8.7332699999999998E-16</v>
      </c>
      <c r="AA570" s="5">
        <v>1.24761E-16</v>
      </c>
      <c r="AB570" s="5">
        <v>7.48567E-16</v>
      </c>
      <c r="AC570" s="5">
        <v>1.1228500000000001E-15</v>
      </c>
      <c r="AD570" s="8">
        <v>6.23806E-16</v>
      </c>
      <c r="AG570" s="5"/>
      <c r="AH570" s="5"/>
      <c r="AI570" s="5"/>
      <c r="AM570" s="5"/>
      <c r="AN570" s="5"/>
      <c r="AO570" s="5"/>
      <c r="AS570" s="5">
        <v>7.4856599999999998E-16</v>
      </c>
      <c r="AT570" s="5">
        <v>4.9904399999999999E-16</v>
      </c>
      <c r="AU570" s="4">
        <v>2.4952199999999999E-16</v>
      </c>
      <c r="AV570" s="4">
        <v>8.7332699999999998E-16</v>
      </c>
    </row>
    <row r="571" spans="3:48" x14ac:dyDescent="0.25">
      <c r="C571" s="31">
        <v>3.7927399999999997E-14</v>
      </c>
      <c r="D571" s="5">
        <v>3.75905E-13</v>
      </c>
      <c r="E571" s="5">
        <v>3.98612E-13</v>
      </c>
      <c r="F571" s="30">
        <v>3.9973399999999999E-13</v>
      </c>
      <c r="I571" s="5">
        <v>1.0479900000000001E-14</v>
      </c>
      <c r="J571" s="5">
        <v>1.1852300000000001E-14</v>
      </c>
      <c r="K571" s="5">
        <v>1.3598899999999999E-14</v>
      </c>
      <c r="L571" s="8">
        <v>6.8618500000000001E-15</v>
      </c>
      <c r="O571" s="5">
        <v>2.7447400000000001E-15</v>
      </c>
      <c r="P571" s="5">
        <v>7.3609000000000002E-15</v>
      </c>
      <c r="Q571" s="5">
        <v>8.3589900000000006E-15</v>
      </c>
      <c r="R571" s="8">
        <v>6.9866199999999999E-15</v>
      </c>
      <c r="U571" s="5">
        <v>6.8618500000000001E-15</v>
      </c>
      <c r="V571" s="5">
        <v>2.3704599999999999E-15</v>
      </c>
      <c r="W571" s="5">
        <v>2.3704599999999999E-15</v>
      </c>
      <c r="X571" s="36">
        <v>8.7332699999999998E-16</v>
      </c>
      <c r="AA571" s="5">
        <v>1.24761E-16</v>
      </c>
      <c r="AB571" s="5">
        <v>7.48567E-16</v>
      </c>
      <c r="AC571" s="5">
        <v>1.1228500000000001E-15</v>
      </c>
      <c r="AD571" s="8">
        <v>6.23806E-16</v>
      </c>
      <c r="AG571" s="5"/>
      <c r="AH571" s="5"/>
      <c r="AI571" s="5"/>
      <c r="AM571" s="5"/>
      <c r="AN571" s="5"/>
      <c r="AO571" s="5"/>
      <c r="AS571" s="5">
        <v>7.4856599999999998E-16</v>
      </c>
      <c r="AT571" s="5">
        <v>4.9904399999999999E-16</v>
      </c>
      <c r="AU571" s="4">
        <v>7.2361400000000001E-15</v>
      </c>
      <c r="AV571" s="4">
        <v>8.7332699999999998E-16</v>
      </c>
    </row>
    <row r="572" spans="3:48" x14ac:dyDescent="0.25">
      <c r="C572" s="31">
        <v>3.7553099999999999E-14</v>
      </c>
      <c r="D572" s="5">
        <v>3.7540599999999998E-13</v>
      </c>
      <c r="E572" s="5">
        <v>3.9299699999999998E-13</v>
      </c>
      <c r="F572" s="30">
        <v>3.97863E-13</v>
      </c>
      <c r="I572" s="5">
        <v>1.0479900000000001E-14</v>
      </c>
      <c r="J572" s="5">
        <v>1.1852300000000001E-14</v>
      </c>
      <c r="K572" s="5">
        <v>1.34742E-14</v>
      </c>
      <c r="L572" s="8">
        <v>6.8618500000000001E-15</v>
      </c>
      <c r="O572" s="5">
        <v>2.7447400000000001E-15</v>
      </c>
      <c r="P572" s="5">
        <v>6.8618599999999998E-15</v>
      </c>
      <c r="Q572" s="5">
        <v>8.2342300000000005E-15</v>
      </c>
      <c r="R572" s="8">
        <v>6.8618599999999998E-15</v>
      </c>
      <c r="U572" s="5">
        <v>6.8618500000000001E-15</v>
      </c>
      <c r="V572" s="5">
        <v>2.2457000000000002E-15</v>
      </c>
      <c r="W572" s="5">
        <v>2.3704599999999999E-15</v>
      </c>
      <c r="X572" s="36">
        <v>8.7332699999999998E-16</v>
      </c>
      <c r="AA572" s="5">
        <v>1.24761E-16</v>
      </c>
      <c r="AB572" s="5">
        <v>7.48567E-16</v>
      </c>
      <c r="AC572" s="5">
        <v>1.1228500000000001E-15</v>
      </c>
      <c r="AD572" s="8">
        <v>6.23806E-16</v>
      </c>
      <c r="AG572" s="5"/>
      <c r="AH572" s="5"/>
      <c r="AI572" s="5"/>
      <c r="AM572" s="5"/>
      <c r="AN572" s="5"/>
      <c r="AO572" s="5"/>
      <c r="AS572" s="5">
        <v>7.4856599999999998E-16</v>
      </c>
      <c r="AT572" s="5">
        <v>4.9904399999999999E-16</v>
      </c>
      <c r="AU572" s="4">
        <v>9.9808799999999998E-16</v>
      </c>
      <c r="AV572" s="4">
        <v>8.7332699999999998E-16</v>
      </c>
    </row>
    <row r="573" spans="3:48" x14ac:dyDescent="0.25">
      <c r="C573" s="31">
        <v>3.7553099999999999E-14</v>
      </c>
      <c r="D573" s="5">
        <v>3.74907E-13</v>
      </c>
      <c r="E573" s="5">
        <v>3.92249E-13</v>
      </c>
      <c r="F573" s="30">
        <v>3.9773799999999999E-13</v>
      </c>
      <c r="I573" s="5">
        <v>1.0479900000000001E-14</v>
      </c>
      <c r="J573" s="5">
        <v>1.13532E-14</v>
      </c>
      <c r="K573" s="5">
        <v>1.34742E-14</v>
      </c>
      <c r="L573" s="8">
        <v>6.6123299999999999E-15</v>
      </c>
      <c r="O573" s="5">
        <v>2.61998E-15</v>
      </c>
      <c r="P573" s="5">
        <v>6.8618599999999998E-15</v>
      </c>
      <c r="Q573" s="5">
        <v>7.9847000000000006E-15</v>
      </c>
      <c r="R573" s="8">
        <v>6.8618599999999998E-15</v>
      </c>
      <c r="U573" s="5">
        <v>6.73709E-15</v>
      </c>
      <c r="V573" s="5">
        <v>2.2457000000000002E-15</v>
      </c>
      <c r="W573" s="5">
        <v>2.3704599999999999E-15</v>
      </c>
      <c r="X573" s="36">
        <v>8.7332699999999998E-16</v>
      </c>
      <c r="AA573" s="5">
        <v>1.24761E-16</v>
      </c>
      <c r="AB573" s="5">
        <v>6.23806E-16</v>
      </c>
      <c r="AC573" s="5">
        <v>1.1228500000000001E-15</v>
      </c>
      <c r="AD573" s="8">
        <v>6.23806E-16</v>
      </c>
      <c r="AG573" s="5"/>
      <c r="AH573" s="5"/>
      <c r="AI573" s="5"/>
      <c r="AM573" s="5"/>
      <c r="AN573" s="5"/>
      <c r="AO573" s="5"/>
      <c r="AS573" s="5">
        <v>7.4856599999999998E-16</v>
      </c>
      <c r="AT573" s="5">
        <v>4.9904399999999999E-16</v>
      </c>
      <c r="AU573" s="4">
        <v>1.21018E-14</v>
      </c>
      <c r="AV573" s="4">
        <v>8.7332699999999998E-16</v>
      </c>
    </row>
    <row r="574" spans="3:48" x14ac:dyDescent="0.25">
      <c r="C574" s="31">
        <v>3.7428300000000001E-14</v>
      </c>
      <c r="D574" s="5">
        <v>3.7041600000000001E-13</v>
      </c>
      <c r="E574" s="5">
        <v>3.9012799999999998E-13</v>
      </c>
      <c r="F574" s="30">
        <v>3.9748899999999998E-13</v>
      </c>
      <c r="I574" s="5">
        <v>1.0479900000000001E-14</v>
      </c>
      <c r="J574" s="5">
        <v>1.07294E-14</v>
      </c>
      <c r="K574" s="5">
        <v>1.34742E-14</v>
      </c>
      <c r="L574" s="8">
        <v>6.3628099999999997E-15</v>
      </c>
      <c r="O574" s="5">
        <v>2.61998E-15</v>
      </c>
      <c r="P574" s="5">
        <v>6.73709E-15</v>
      </c>
      <c r="Q574" s="5">
        <v>7.9847000000000006E-15</v>
      </c>
      <c r="R574" s="8">
        <v>6.73709E-15</v>
      </c>
      <c r="U574" s="5">
        <v>6.73709E-15</v>
      </c>
      <c r="V574" s="5">
        <v>2.2457000000000002E-15</v>
      </c>
      <c r="W574" s="5">
        <v>2.3704599999999999E-15</v>
      </c>
      <c r="X574" s="36">
        <v>8.7332699999999998E-16</v>
      </c>
      <c r="AA574" s="5">
        <v>1.24761E-16</v>
      </c>
      <c r="AB574" s="5">
        <v>6.23806E-16</v>
      </c>
      <c r="AC574" s="5">
        <v>1.1228500000000001E-15</v>
      </c>
      <c r="AD574" s="8">
        <v>6.23806E-16</v>
      </c>
      <c r="AG574" s="5"/>
      <c r="AH574" s="5"/>
      <c r="AI574" s="5"/>
      <c r="AM574" s="5"/>
      <c r="AN574" s="5"/>
      <c r="AO574" s="5"/>
      <c r="AS574" s="5">
        <v>7.4856599999999998E-16</v>
      </c>
      <c r="AT574" s="5">
        <v>4.9904399999999999E-16</v>
      </c>
      <c r="AU574" s="4">
        <v>2.4952199999999999E-16</v>
      </c>
      <c r="AV574" s="4">
        <v>8.7332699999999998E-16</v>
      </c>
    </row>
    <row r="575" spans="3:48" x14ac:dyDescent="0.25">
      <c r="C575" s="31">
        <v>3.7303599999999998E-14</v>
      </c>
      <c r="D575" s="5">
        <v>3.6966700000000001E-13</v>
      </c>
      <c r="E575" s="5">
        <v>3.8962900000000001E-13</v>
      </c>
      <c r="F575" s="30">
        <v>3.9599200000000001E-13</v>
      </c>
      <c r="I575" s="5">
        <v>1.0479900000000001E-14</v>
      </c>
      <c r="J575" s="5">
        <v>1.0355200000000001E-14</v>
      </c>
      <c r="K575" s="5">
        <v>1.3224700000000001E-14</v>
      </c>
      <c r="L575" s="8">
        <v>6.3628099999999997E-15</v>
      </c>
      <c r="O575" s="5">
        <v>2.61998E-15</v>
      </c>
      <c r="P575" s="5">
        <v>6.73709E-15</v>
      </c>
      <c r="Q575" s="5">
        <v>7.8599400000000005E-15</v>
      </c>
      <c r="R575" s="8">
        <v>6.73709E-15</v>
      </c>
      <c r="U575" s="5">
        <v>6.6123299999999999E-15</v>
      </c>
      <c r="V575" s="5">
        <v>2.1209400000000001E-15</v>
      </c>
      <c r="W575" s="5">
        <v>2.2457000000000002E-15</v>
      </c>
      <c r="X575" s="36">
        <v>7.4856599999999998E-16</v>
      </c>
      <c r="AA575" s="5">
        <v>1.24761E-16</v>
      </c>
      <c r="AB575" s="5">
        <v>6.23806E-16</v>
      </c>
      <c r="AC575" s="5">
        <v>1.1228500000000001E-15</v>
      </c>
      <c r="AD575" s="8">
        <v>6.23806E-16</v>
      </c>
      <c r="AG575" s="5"/>
      <c r="AH575" s="5"/>
      <c r="AI575" s="5"/>
      <c r="AM575" s="5"/>
      <c r="AN575" s="5"/>
      <c r="AO575" s="5"/>
      <c r="AS575" s="5">
        <v>7.4856599999999998E-16</v>
      </c>
      <c r="AT575" s="5">
        <v>4.9904399999999999E-16</v>
      </c>
      <c r="AU575" s="4">
        <v>2.4952199999999999E-16</v>
      </c>
      <c r="AV575" s="4">
        <v>8.7332699999999998E-16</v>
      </c>
    </row>
    <row r="576" spans="3:48" x14ac:dyDescent="0.25">
      <c r="C576" s="31">
        <v>3.69293E-14</v>
      </c>
      <c r="D576" s="5">
        <v>3.6904299999999998E-13</v>
      </c>
      <c r="E576" s="5">
        <v>3.8900500000000002E-13</v>
      </c>
      <c r="F576" s="30">
        <v>3.9549200000000001E-13</v>
      </c>
      <c r="I576" s="5">
        <v>1.0479900000000001E-14</v>
      </c>
      <c r="J576" s="5">
        <v>1.0355200000000001E-14</v>
      </c>
      <c r="K576" s="5">
        <v>1.30999E-14</v>
      </c>
      <c r="L576" s="8">
        <v>6.2380499999999997E-15</v>
      </c>
      <c r="O576" s="5">
        <v>2.61998E-15</v>
      </c>
      <c r="P576" s="5">
        <v>6.4875699999999998E-15</v>
      </c>
      <c r="Q576" s="5">
        <v>7.4856600000000002E-15</v>
      </c>
      <c r="R576" s="8">
        <v>6.4875699999999998E-15</v>
      </c>
      <c r="U576" s="5">
        <v>6.6123299999999999E-15</v>
      </c>
      <c r="V576" s="5">
        <v>1.99618E-15</v>
      </c>
      <c r="W576" s="5">
        <v>2.2457000000000002E-15</v>
      </c>
      <c r="X576" s="36">
        <v>7.4856599999999998E-16</v>
      </c>
      <c r="AA576" s="5">
        <v>1.24761E-16</v>
      </c>
      <c r="AB576" s="5">
        <v>6.23806E-16</v>
      </c>
      <c r="AC576" s="5">
        <v>1.1228500000000001E-15</v>
      </c>
      <c r="AD576" s="8">
        <v>6.23806E-16</v>
      </c>
      <c r="AG576" s="5"/>
      <c r="AH576" s="5"/>
      <c r="AI576" s="5"/>
      <c r="AM576" s="5"/>
      <c r="AN576" s="5"/>
      <c r="AO576" s="5"/>
      <c r="AS576" s="5">
        <v>7.4856599999999998E-16</v>
      </c>
      <c r="AT576" s="5">
        <v>4.9904399999999999E-16</v>
      </c>
      <c r="AU576" s="4">
        <v>8.8580299999999993E-15</v>
      </c>
      <c r="AV576" s="4">
        <v>7.4856599999999998E-16</v>
      </c>
    </row>
    <row r="577" spans="3:48" x14ac:dyDescent="0.25">
      <c r="C577" s="31">
        <v>3.69293E-14</v>
      </c>
      <c r="D577" s="5">
        <v>3.6879400000000002E-13</v>
      </c>
      <c r="E577" s="5">
        <v>3.8850599999999999E-13</v>
      </c>
      <c r="F577" s="30">
        <v>3.9461900000000002E-13</v>
      </c>
      <c r="I577" s="5">
        <v>1.0479900000000001E-14</v>
      </c>
      <c r="J577" s="5">
        <v>9.7313499999999999E-15</v>
      </c>
      <c r="K577" s="5">
        <v>1.26009E-14</v>
      </c>
      <c r="L577" s="8">
        <v>6.1132900000000004E-15</v>
      </c>
      <c r="O577" s="5">
        <v>2.61998E-15</v>
      </c>
      <c r="P577" s="5">
        <v>6.4875699999999998E-15</v>
      </c>
      <c r="Q577" s="5">
        <v>7.2361400000000001E-15</v>
      </c>
      <c r="R577" s="8">
        <v>6.4875699999999998E-15</v>
      </c>
      <c r="U577" s="5">
        <v>6.4875699999999998E-15</v>
      </c>
      <c r="V577" s="5">
        <v>1.8714100000000002E-15</v>
      </c>
      <c r="W577" s="5">
        <v>2.2457000000000002E-15</v>
      </c>
      <c r="X577" s="36">
        <v>7.4856599999999998E-16</v>
      </c>
      <c r="AA577" s="5">
        <v>1.24761E-16</v>
      </c>
      <c r="AB577" s="5">
        <v>6.23806E-16</v>
      </c>
      <c r="AC577" s="5">
        <v>1.1228500000000001E-15</v>
      </c>
      <c r="AD577" s="8">
        <v>4.9904500000000001E-16</v>
      </c>
      <c r="AG577" s="5"/>
      <c r="AH577" s="5"/>
      <c r="AI577" s="5"/>
      <c r="AM577" s="5"/>
      <c r="AN577" s="5"/>
      <c r="AO577" s="5"/>
      <c r="AS577" s="5">
        <v>7.4856599999999998E-16</v>
      </c>
      <c r="AT577" s="5">
        <v>4.9904399999999999E-16</v>
      </c>
      <c r="AU577" s="4">
        <v>4.1171100000000004E-15</v>
      </c>
      <c r="AV577" s="4">
        <v>7.4856599999999998E-16</v>
      </c>
    </row>
    <row r="578" spans="3:48" x14ac:dyDescent="0.25">
      <c r="C578" s="31">
        <v>3.6679699999999998E-14</v>
      </c>
      <c r="D578" s="5">
        <v>3.6816999999999999E-13</v>
      </c>
      <c r="E578" s="5">
        <v>3.87882E-13</v>
      </c>
      <c r="F578" s="30">
        <v>3.9337200000000001E-13</v>
      </c>
      <c r="I578" s="5">
        <v>1.0355200000000001E-14</v>
      </c>
      <c r="J578" s="5">
        <v>9.4818299999999997E-15</v>
      </c>
      <c r="K578" s="5">
        <v>1.21018E-14</v>
      </c>
      <c r="L578" s="8">
        <v>6.1132900000000004E-15</v>
      </c>
      <c r="O578" s="5">
        <v>2.61998E-15</v>
      </c>
      <c r="P578" s="5">
        <v>6.4875699999999998E-15</v>
      </c>
      <c r="Q578" s="5">
        <v>6.8618599999999998E-15</v>
      </c>
      <c r="R578" s="8">
        <v>6.2380499999999997E-15</v>
      </c>
      <c r="U578" s="5">
        <v>6.4875699999999998E-15</v>
      </c>
      <c r="V578" s="5">
        <v>1.8714100000000002E-15</v>
      </c>
      <c r="W578" s="5">
        <v>2.2457000000000002E-15</v>
      </c>
      <c r="X578" s="36">
        <v>7.4856599999999998E-16</v>
      </c>
      <c r="AA578" s="5">
        <v>1.24761E-16</v>
      </c>
      <c r="AB578" s="5">
        <v>6.23806E-16</v>
      </c>
      <c r="AC578" s="5">
        <v>1.1228500000000001E-15</v>
      </c>
      <c r="AD578" s="8">
        <v>4.9904500000000001E-16</v>
      </c>
      <c r="AG578" s="5"/>
      <c r="AH578" s="5"/>
      <c r="AI578" s="5"/>
      <c r="AM578" s="5"/>
      <c r="AN578" s="5"/>
      <c r="AO578" s="5"/>
      <c r="AS578" s="5">
        <v>7.4856599999999998E-16</v>
      </c>
      <c r="AT578" s="5">
        <v>4.9904399999999999E-16</v>
      </c>
      <c r="AU578" s="4">
        <v>2.61998E-15</v>
      </c>
      <c r="AV578" s="4">
        <v>7.4856599999999998E-16</v>
      </c>
    </row>
    <row r="579" spans="3:48" x14ac:dyDescent="0.25">
      <c r="C579" s="31">
        <v>3.6679699999999998E-14</v>
      </c>
      <c r="D579" s="5">
        <v>3.6816999999999999E-13</v>
      </c>
      <c r="E579" s="5">
        <v>3.8750799999999999E-13</v>
      </c>
      <c r="F579" s="30">
        <v>3.9187400000000001E-13</v>
      </c>
      <c r="I579" s="5">
        <v>1.0355200000000001E-14</v>
      </c>
      <c r="J579" s="5">
        <v>8.7332699999999992E-15</v>
      </c>
      <c r="K579" s="5">
        <v>1.19771E-14</v>
      </c>
      <c r="L579" s="8">
        <v>5.7390000000000004E-15</v>
      </c>
      <c r="O579" s="5">
        <v>2.61998E-15</v>
      </c>
      <c r="P579" s="5">
        <v>6.3628099999999997E-15</v>
      </c>
      <c r="Q579" s="5">
        <v>6.8618599999999998E-15</v>
      </c>
      <c r="R579" s="8">
        <v>5.9885300000000003E-15</v>
      </c>
      <c r="U579" s="5">
        <v>6.4875699999999998E-15</v>
      </c>
      <c r="V579" s="5">
        <v>1.7466500000000001E-15</v>
      </c>
      <c r="W579" s="5">
        <v>1.8714100000000002E-15</v>
      </c>
      <c r="X579" s="36">
        <v>7.4856599999999998E-16</v>
      </c>
      <c r="AA579" s="5">
        <v>1.24761E-16</v>
      </c>
      <c r="AB579" s="5">
        <v>6.23806E-16</v>
      </c>
      <c r="AC579" s="5">
        <v>1.1228500000000001E-15</v>
      </c>
      <c r="AD579" s="8">
        <v>4.9904500000000001E-16</v>
      </c>
      <c r="AG579" s="5"/>
      <c r="AH579" s="5"/>
      <c r="AI579" s="5"/>
      <c r="AM579" s="5"/>
      <c r="AN579" s="5"/>
      <c r="AO579" s="5"/>
      <c r="AS579" s="5">
        <v>6.2380499999999999E-16</v>
      </c>
      <c r="AT579" s="5">
        <v>4.9904399999999999E-16</v>
      </c>
      <c r="AU579" s="4">
        <v>1.2937700000000001E-13</v>
      </c>
      <c r="AV579" s="4">
        <v>7.4856599999999998E-16</v>
      </c>
    </row>
    <row r="580" spans="3:48" x14ac:dyDescent="0.25">
      <c r="C580" s="31">
        <v>3.6679699999999998E-14</v>
      </c>
      <c r="D580" s="5">
        <v>3.6729600000000002E-13</v>
      </c>
      <c r="E580" s="5">
        <v>3.8738299999999998E-13</v>
      </c>
      <c r="F580" s="30">
        <v>3.9187400000000001E-13</v>
      </c>
      <c r="I580" s="5">
        <v>1.0355200000000001E-14</v>
      </c>
      <c r="J580" s="5">
        <v>8.6085100000000007E-15</v>
      </c>
      <c r="K580" s="5">
        <v>1.17275E-14</v>
      </c>
      <c r="L580" s="8">
        <v>5.7390000000000004E-15</v>
      </c>
      <c r="O580" s="5">
        <v>2.61998E-15</v>
      </c>
      <c r="P580" s="5">
        <v>6.1132900000000004E-15</v>
      </c>
      <c r="Q580" s="5">
        <v>6.8618599999999998E-15</v>
      </c>
      <c r="R580" s="8">
        <v>5.3647200000000001E-15</v>
      </c>
      <c r="U580" s="5">
        <v>6.3628099999999997E-15</v>
      </c>
      <c r="V580" s="5">
        <v>1.7466500000000001E-15</v>
      </c>
      <c r="W580" s="5">
        <v>1.8714100000000002E-15</v>
      </c>
      <c r="X580" s="36">
        <v>7.4856599999999998E-16</v>
      </c>
      <c r="AA580" s="5">
        <v>1.24761E-16</v>
      </c>
      <c r="AB580" s="5">
        <v>6.23806E-16</v>
      </c>
      <c r="AC580" s="5">
        <v>9.98089E-16</v>
      </c>
      <c r="AD580" s="8">
        <v>4.9904500000000001E-16</v>
      </c>
      <c r="AG580" s="5"/>
      <c r="AH580" s="5"/>
      <c r="AI580" s="1"/>
      <c r="AM580" s="5"/>
      <c r="AN580" s="5"/>
      <c r="AO580" s="5"/>
      <c r="AS580" s="5">
        <v>6.2380499999999999E-16</v>
      </c>
      <c r="AT580" s="5">
        <v>4.9904399999999999E-16</v>
      </c>
      <c r="AU580" s="4">
        <v>9.3695499999999997E-14</v>
      </c>
      <c r="AV580" s="4">
        <v>7.4856599999999998E-16</v>
      </c>
    </row>
    <row r="581" spans="3:48" x14ac:dyDescent="0.25">
      <c r="C581" s="31">
        <v>3.6305500000000001E-14</v>
      </c>
      <c r="D581" s="5">
        <v>3.6717199999999998E-13</v>
      </c>
      <c r="E581" s="5">
        <v>3.8700900000000001E-13</v>
      </c>
      <c r="F581" s="30">
        <v>3.9162500000000001E-13</v>
      </c>
      <c r="I581" s="5">
        <v>1.0355200000000001E-14</v>
      </c>
      <c r="J581" s="5">
        <v>8.4837500000000006E-15</v>
      </c>
      <c r="K581" s="5">
        <v>1.1478000000000001E-14</v>
      </c>
      <c r="L581" s="8">
        <v>5.4894800000000002E-15</v>
      </c>
      <c r="O581" s="5">
        <v>2.61998E-15</v>
      </c>
      <c r="P581" s="5">
        <v>6.1132900000000004E-15</v>
      </c>
      <c r="Q581" s="5">
        <v>6.6123299999999999E-15</v>
      </c>
      <c r="R581" s="8">
        <v>5.3647200000000001E-15</v>
      </c>
      <c r="U581" s="5">
        <v>6.3628099999999997E-15</v>
      </c>
      <c r="V581" s="5">
        <v>1.3723700000000001E-15</v>
      </c>
      <c r="W581" s="5">
        <v>1.8714100000000002E-15</v>
      </c>
      <c r="X581" s="36">
        <v>7.4856599999999998E-16</v>
      </c>
      <c r="AA581" s="5">
        <v>1.24761E-16</v>
      </c>
      <c r="AB581" s="5">
        <v>6.23806E-16</v>
      </c>
      <c r="AC581" s="5">
        <v>9.98089E-16</v>
      </c>
      <c r="AD581" s="8">
        <v>4.9904500000000001E-16</v>
      </c>
      <c r="AG581" s="5"/>
      <c r="AH581" s="5"/>
      <c r="AM581" s="5"/>
      <c r="AN581" s="5"/>
      <c r="AO581" s="5"/>
      <c r="AS581" s="5">
        <v>6.2380499999999999E-16</v>
      </c>
      <c r="AT581" s="5">
        <v>3.7428299999999999E-16</v>
      </c>
      <c r="AU581" s="4">
        <v>2.3704599999999999E-15</v>
      </c>
      <c r="AV581" s="4">
        <v>7.4856599999999998E-16</v>
      </c>
    </row>
    <row r="582" spans="3:48" x14ac:dyDescent="0.25">
      <c r="C582" s="31">
        <v>3.6180699999999997E-14</v>
      </c>
      <c r="D582" s="5">
        <v>3.6617399999999998E-13</v>
      </c>
      <c r="E582" s="5">
        <v>3.8601100000000001E-13</v>
      </c>
      <c r="F582" s="30">
        <v>3.8900500000000002E-13</v>
      </c>
      <c r="I582" s="5">
        <v>1.02304E-14</v>
      </c>
      <c r="J582" s="5">
        <v>8.4837500000000006E-15</v>
      </c>
      <c r="K582" s="5">
        <v>1.12285E-14</v>
      </c>
      <c r="L582" s="8">
        <v>5.4894800000000002E-15</v>
      </c>
      <c r="O582" s="5">
        <v>2.61998E-15</v>
      </c>
      <c r="P582" s="5">
        <v>6.1132900000000004E-15</v>
      </c>
      <c r="Q582" s="5">
        <v>6.4875699999999998E-15</v>
      </c>
      <c r="R582" s="8">
        <v>5.2399600000000001E-15</v>
      </c>
      <c r="U582" s="5">
        <v>6.3628099999999997E-15</v>
      </c>
      <c r="V582" s="5">
        <v>1.3723700000000001E-15</v>
      </c>
      <c r="W582" s="5">
        <v>1.8714100000000002E-15</v>
      </c>
      <c r="X582" s="36">
        <v>6.2380499999999999E-16</v>
      </c>
      <c r="AA582" s="5">
        <v>1.24761E-16</v>
      </c>
      <c r="AB582" s="5">
        <v>4.9904500000000001E-16</v>
      </c>
      <c r="AC582" s="5">
        <v>9.98089E-16</v>
      </c>
      <c r="AD582" s="8">
        <v>4.9904500000000001E-16</v>
      </c>
      <c r="AG582" s="5"/>
      <c r="AH582" s="5"/>
      <c r="AM582" s="5"/>
      <c r="AN582" s="5"/>
      <c r="AO582" s="5"/>
      <c r="AS582" s="5">
        <v>6.2380499999999999E-16</v>
      </c>
      <c r="AT582" s="5">
        <v>3.7428299999999999E-16</v>
      </c>
      <c r="AU582" s="4">
        <v>4.9904399999999999E-16</v>
      </c>
      <c r="AV582" s="4">
        <v>7.4856599999999998E-16</v>
      </c>
    </row>
    <row r="583" spans="3:48" x14ac:dyDescent="0.25">
      <c r="C583" s="31">
        <v>3.6180699999999997E-14</v>
      </c>
      <c r="D583" s="5">
        <v>3.64677E-13</v>
      </c>
      <c r="E583" s="5">
        <v>3.8551199999999998E-13</v>
      </c>
      <c r="F583" s="30">
        <v>3.88631E-13</v>
      </c>
      <c r="I583" s="5">
        <v>1.02304E-14</v>
      </c>
      <c r="J583" s="5">
        <v>8.3589800000000008E-15</v>
      </c>
      <c r="K583" s="5">
        <v>1.0979E-14</v>
      </c>
      <c r="L583" s="8">
        <v>5.3647200000000001E-15</v>
      </c>
      <c r="O583" s="5">
        <v>2.4952199999999999E-15</v>
      </c>
      <c r="P583" s="5">
        <v>5.9885300000000003E-15</v>
      </c>
      <c r="Q583" s="5">
        <v>6.2380499999999997E-15</v>
      </c>
      <c r="R583" s="8">
        <v>5.1152E-15</v>
      </c>
      <c r="U583" s="5">
        <v>6.3628099999999997E-15</v>
      </c>
      <c r="V583" s="5">
        <v>1.3723700000000001E-15</v>
      </c>
      <c r="W583" s="5">
        <v>1.7466500000000001E-15</v>
      </c>
      <c r="X583" s="36">
        <v>6.2380499999999999E-16</v>
      </c>
      <c r="AA583" s="5">
        <v>1.24761E-16</v>
      </c>
      <c r="AB583" s="5">
        <v>4.9904500000000001E-16</v>
      </c>
      <c r="AC583" s="5">
        <v>9.98089E-16</v>
      </c>
      <c r="AD583" s="8">
        <v>4.9904500000000001E-16</v>
      </c>
      <c r="AG583" s="5"/>
      <c r="AH583" s="5"/>
      <c r="AM583" s="5"/>
      <c r="AN583" s="5"/>
      <c r="AO583" s="5"/>
      <c r="AS583" s="5">
        <v>6.2380499999999999E-16</v>
      </c>
      <c r="AT583" s="5">
        <v>3.7428299999999999E-16</v>
      </c>
      <c r="AU583" s="4">
        <v>1.07294E-14</v>
      </c>
      <c r="AV583" s="4">
        <v>7.4856599999999998E-16</v>
      </c>
    </row>
    <row r="584" spans="3:48" x14ac:dyDescent="0.25">
      <c r="C584" s="31">
        <v>3.60559E-14</v>
      </c>
      <c r="D584" s="5">
        <v>3.63928E-13</v>
      </c>
      <c r="E584" s="5">
        <v>3.8501300000000001E-13</v>
      </c>
      <c r="F584" s="30">
        <v>3.8675899999999999E-13</v>
      </c>
      <c r="I584" s="5">
        <v>1.02304E-14</v>
      </c>
      <c r="J584" s="5">
        <v>8.2342200000000007E-15</v>
      </c>
      <c r="K584" s="5">
        <v>1.0479900000000001E-14</v>
      </c>
      <c r="L584" s="8">
        <v>4.3666299999999997E-15</v>
      </c>
      <c r="O584" s="5">
        <v>2.4952199999999999E-15</v>
      </c>
      <c r="P584" s="5">
        <v>5.8637700000000002E-15</v>
      </c>
      <c r="Q584" s="5">
        <v>6.2380499999999997E-15</v>
      </c>
      <c r="R584" s="8">
        <v>4.9904399999999999E-15</v>
      </c>
      <c r="U584" s="5">
        <v>6.2380499999999997E-15</v>
      </c>
      <c r="V584" s="5">
        <v>1.3723700000000001E-15</v>
      </c>
      <c r="W584" s="5">
        <v>1.62189E-15</v>
      </c>
      <c r="X584" s="36">
        <v>6.2380499999999999E-16</v>
      </c>
      <c r="AA584" s="5">
        <v>1.24761E-16</v>
      </c>
      <c r="AB584" s="5">
        <v>4.9904500000000001E-16</v>
      </c>
      <c r="AC584" s="5">
        <v>9.98089E-16</v>
      </c>
      <c r="AD584" s="8">
        <v>4.9904500000000001E-16</v>
      </c>
      <c r="AG584" s="5"/>
      <c r="AH584" s="5"/>
      <c r="AM584" s="5"/>
      <c r="AN584" s="5"/>
      <c r="AO584" s="5"/>
      <c r="AS584" s="5">
        <v>6.2380499999999999E-16</v>
      </c>
      <c r="AT584" s="5">
        <v>3.7428299999999999E-16</v>
      </c>
      <c r="AU584" s="4">
        <v>7.4856599999999998E-16</v>
      </c>
      <c r="AV584" s="4">
        <v>7.4856599999999998E-16</v>
      </c>
    </row>
    <row r="585" spans="3:48" x14ac:dyDescent="0.25">
      <c r="C585" s="31">
        <v>3.60559E-14</v>
      </c>
      <c r="D585" s="5">
        <v>3.6367799999999998E-13</v>
      </c>
      <c r="E585" s="5">
        <v>3.84139E-13</v>
      </c>
      <c r="F585" s="30">
        <v>3.8663399999999998E-13</v>
      </c>
      <c r="I585" s="5">
        <v>1.02304E-14</v>
      </c>
      <c r="J585" s="5">
        <v>8.2342200000000007E-15</v>
      </c>
      <c r="K585" s="5">
        <v>1.0105600000000001E-14</v>
      </c>
      <c r="L585" s="8">
        <v>4.3666299999999997E-15</v>
      </c>
      <c r="O585" s="5">
        <v>2.4952199999999999E-15</v>
      </c>
      <c r="P585" s="5">
        <v>5.7390100000000001E-15</v>
      </c>
      <c r="Q585" s="5">
        <v>5.8637700000000002E-15</v>
      </c>
      <c r="R585" s="8">
        <v>4.8656799999999998E-15</v>
      </c>
      <c r="U585" s="5">
        <v>6.2380499999999997E-15</v>
      </c>
      <c r="V585" s="5">
        <v>1.24761E-15</v>
      </c>
      <c r="W585" s="5">
        <v>1.62189E-15</v>
      </c>
      <c r="X585" s="36">
        <v>4.9904399999999999E-16</v>
      </c>
      <c r="AA585" s="5">
        <v>1.24761E-16</v>
      </c>
      <c r="AB585" s="5">
        <v>4.9904500000000001E-16</v>
      </c>
      <c r="AC585" s="5">
        <v>9.98089E-16</v>
      </c>
      <c r="AD585" s="8">
        <v>4.9904500000000001E-16</v>
      </c>
      <c r="AG585" s="5"/>
      <c r="AH585" s="5"/>
      <c r="AM585" s="5"/>
      <c r="AN585" s="5"/>
      <c r="AO585" s="5"/>
      <c r="AS585" s="5">
        <v>6.2380499999999999E-16</v>
      </c>
      <c r="AT585" s="5">
        <v>3.7428299999999999E-16</v>
      </c>
      <c r="AU585" s="4">
        <v>1.24761E-16</v>
      </c>
      <c r="AV585" s="4">
        <v>7.4856599999999998E-16</v>
      </c>
    </row>
    <row r="586" spans="3:48" x14ac:dyDescent="0.25">
      <c r="C586" s="31">
        <v>3.60559E-14</v>
      </c>
      <c r="D586" s="5">
        <v>3.6355399999999999E-13</v>
      </c>
      <c r="E586" s="5">
        <v>3.8339100000000002E-13</v>
      </c>
      <c r="F586" s="30">
        <v>3.8638500000000002E-13</v>
      </c>
      <c r="I586" s="5">
        <v>1.02304E-14</v>
      </c>
      <c r="J586" s="5">
        <v>8.1094600000000006E-15</v>
      </c>
      <c r="K586" s="5">
        <v>9.8561199999999997E-15</v>
      </c>
      <c r="L586" s="8">
        <v>4.1171100000000004E-15</v>
      </c>
      <c r="O586" s="5">
        <v>2.4952199999999999E-15</v>
      </c>
      <c r="P586" s="5">
        <v>5.6142500000000001E-15</v>
      </c>
      <c r="Q586" s="5">
        <v>5.7390100000000001E-15</v>
      </c>
      <c r="R586" s="8">
        <v>4.7409199999999997E-15</v>
      </c>
      <c r="U586" s="5">
        <v>6.2380499999999997E-15</v>
      </c>
      <c r="V586" s="5">
        <v>1.24761E-15</v>
      </c>
      <c r="W586" s="5">
        <v>1.4971299999999999E-15</v>
      </c>
      <c r="X586" s="36">
        <v>4.9904399999999999E-16</v>
      </c>
      <c r="AA586" s="5">
        <v>1.24761E-16</v>
      </c>
      <c r="AB586" s="5">
        <v>4.9904500000000001E-16</v>
      </c>
      <c r="AC586" s="5">
        <v>9.98089E-16</v>
      </c>
      <c r="AD586" s="8">
        <v>4.9904500000000001E-16</v>
      </c>
      <c r="AG586" s="5"/>
      <c r="AH586" s="5"/>
      <c r="AM586" s="5"/>
      <c r="AN586" s="5"/>
      <c r="AO586" s="5"/>
      <c r="AS586" s="5">
        <v>6.2380499999999999E-16</v>
      </c>
      <c r="AT586" s="5">
        <v>3.7428299999999999E-16</v>
      </c>
      <c r="AU586" s="4">
        <v>2.9942599999999999E-15</v>
      </c>
      <c r="AV586" s="4">
        <v>7.4856599999999998E-16</v>
      </c>
    </row>
    <row r="587" spans="3:48" x14ac:dyDescent="0.25">
      <c r="C587" s="31">
        <v>3.5931200000000003E-14</v>
      </c>
      <c r="D587" s="5">
        <v>3.6342899999999998E-13</v>
      </c>
      <c r="E587" s="5">
        <v>3.80521E-13</v>
      </c>
      <c r="F587" s="30">
        <v>3.8239300000000001E-13</v>
      </c>
      <c r="I587" s="5">
        <v>1.02304E-14</v>
      </c>
      <c r="J587" s="5">
        <v>8.1094600000000006E-15</v>
      </c>
      <c r="K587" s="5">
        <v>9.4818299999999997E-15</v>
      </c>
      <c r="L587" s="8">
        <v>4.1171100000000004E-15</v>
      </c>
      <c r="O587" s="5">
        <v>2.4952199999999999E-15</v>
      </c>
      <c r="P587" s="5">
        <v>5.6142500000000001E-15</v>
      </c>
      <c r="Q587" s="5">
        <v>5.7390100000000001E-15</v>
      </c>
      <c r="R587" s="8">
        <v>4.6161599999999997E-15</v>
      </c>
      <c r="U587" s="5">
        <v>6.2380499999999997E-15</v>
      </c>
      <c r="V587" s="5">
        <v>1.24761E-15</v>
      </c>
      <c r="W587" s="5">
        <v>1.3723700000000001E-15</v>
      </c>
      <c r="X587" s="36">
        <v>4.9904399999999999E-16</v>
      </c>
      <c r="AA587" s="5">
        <v>1.24761E-16</v>
      </c>
      <c r="AB587" s="5">
        <v>4.9904500000000001E-16</v>
      </c>
      <c r="AC587" s="5">
        <v>9.98089E-16</v>
      </c>
      <c r="AD587" s="8">
        <v>4.9904500000000001E-16</v>
      </c>
      <c r="AG587" s="5"/>
      <c r="AH587" s="5"/>
      <c r="AM587" s="5"/>
      <c r="AN587" s="5"/>
      <c r="AO587" s="5"/>
      <c r="AS587" s="5">
        <v>6.2380499999999999E-16</v>
      </c>
      <c r="AT587" s="5">
        <v>3.7428299999999999E-16</v>
      </c>
      <c r="AU587" s="4">
        <v>1.1228500000000001E-15</v>
      </c>
      <c r="AV587" s="4">
        <v>7.4856599999999998E-16</v>
      </c>
    </row>
    <row r="588" spans="3:48" x14ac:dyDescent="0.25">
      <c r="C588" s="31">
        <v>3.5931200000000003E-14</v>
      </c>
      <c r="D588" s="5">
        <v>3.6255599999999999E-13</v>
      </c>
      <c r="E588" s="5">
        <v>3.7939799999999999E-13</v>
      </c>
      <c r="F588" s="30">
        <v>3.82268E-13</v>
      </c>
      <c r="I588" s="5">
        <v>1.0105600000000001E-14</v>
      </c>
      <c r="J588" s="5">
        <v>7.4856600000000002E-15</v>
      </c>
      <c r="K588" s="5">
        <v>9.2323099999999995E-15</v>
      </c>
      <c r="L588" s="8">
        <v>3.9923500000000003E-15</v>
      </c>
      <c r="O588" s="5">
        <v>2.3704599999999999E-15</v>
      </c>
      <c r="P588" s="5">
        <v>5.4894800000000002E-15</v>
      </c>
      <c r="Q588" s="5">
        <v>5.2399600000000001E-15</v>
      </c>
      <c r="R588" s="8">
        <v>4.4914000000000004E-15</v>
      </c>
      <c r="U588" s="5">
        <v>6.2380499999999997E-15</v>
      </c>
      <c r="V588" s="5">
        <v>1.24761E-15</v>
      </c>
      <c r="W588" s="5">
        <v>1.3723700000000001E-15</v>
      </c>
      <c r="X588" s="36">
        <v>4.9904399999999999E-16</v>
      </c>
      <c r="AA588" s="5">
        <v>1.24761E-16</v>
      </c>
      <c r="AB588" s="5">
        <v>4.9904500000000001E-16</v>
      </c>
      <c r="AC588" s="5">
        <v>8.73328E-16</v>
      </c>
      <c r="AD588" s="8">
        <v>4.9904500000000001E-16</v>
      </c>
      <c r="AG588" s="5"/>
      <c r="AH588" s="5"/>
      <c r="AM588" s="5"/>
      <c r="AN588" s="5"/>
      <c r="AO588" s="5"/>
      <c r="AS588" s="5">
        <v>6.2380499999999999E-16</v>
      </c>
      <c r="AT588" s="4">
        <v>3.7428299999999999E-16</v>
      </c>
      <c r="AU588" s="4">
        <v>6.8618599999999998E-15</v>
      </c>
      <c r="AV588" s="4">
        <v>7.4856599999999998E-16</v>
      </c>
    </row>
    <row r="589" spans="3:48" x14ac:dyDescent="0.25">
      <c r="C589" s="31">
        <v>3.5307399999999998E-14</v>
      </c>
      <c r="D589" s="5">
        <v>3.6230600000000001E-13</v>
      </c>
      <c r="E589" s="5">
        <v>3.7615499999999998E-13</v>
      </c>
      <c r="F589" s="30">
        <v>3.81519E-13</v>
      </c>
      <c r="I589" s="5">
        <v>1.0105600000000001E-14</v>
      </c>
      <c r="J589" s="5">
        <v>7.4856600000000002E-15</v>
      </c>
      <c r="K589" s="5">
        <v>8.6085100000000007E-15</v>
      </c>
      <c r="L589" s="8">
        <v>3.9923500000000003E-15</v>
      </c>
      <c r="O589" s="5">
        <v>2.3704599999999999E-15</v>
      </c>
      <c r="P589" s="5">
        <v>5.3647200000000001E-15</v>
      </c>
      <c r="Q589" s="5">
        <v>5.2399600000000001E-15</v>
      </c>
      <c r="R589" s="8">
        <v>4.1171100000000004E-15</v>
      </c>
      <c r="U589" s="5">
        <v>6.2380499999999997E-15</v>
      </c>
      <c r="V589" s="5">
        <v>1.1228500000000001E-15</v>
      </c>
      <c r="W589" s="5">
        <v>1.24761E-15</v>
      </c>
      <c r="X589" s="36">
        <v>4.9904399999999999E-16</v>
      </c>
      <c r="AA589" s="5">
        <v>1.24761E-16</v>
      </c>
      <c r="AB589" s="5">
        <v>4.9904500000000001E-16</v>
      </c>
      <c r="AC589" s="5">
        <v>8.73328E-16</v>
      </c>
      <c r="AD589" s="8">
        <v>4.9904500000000001E-16</v>
      </c>
      <c r="AG589" s="5"/>
      <c r="AH589" s="5"/>
      <c r="AM589" s="5"/>
      <c r="AN589" s="5"/>
      <c r="AO589" s="5"/>
      <c r="AS589" s="5">
        <v>6.2380499999999999E-16</v>
      </c>
      <c r="AT589" s="4">
        <v>3.7428299999999999E-16</v>
      </c>
      <c r="AU589" s="4">
        <v>1.24761E-16</v>
      </c>
      <c r="AV589" s="4">
        <v>7.4856599999999998E-16</v>
      </c>
    </row>
    <row r="590" spans="3:48" x14ac:dyDescent="0.25">
      <c r="C590" s="31">
        <v>3.51826E-14</v>
      </c>
      <c r="D590" s="5">
        <v>3.6043500000000002E-13</v>
      </c>
      <c r="E590" s="5">
        <v>3.75156E-13</v>
      </c>
      <c r="F590" s="30">
        <v>3.8127E-13</v>
      </c>
      <c r="I590" s="5">
        <v>1.0105600000000001E-14</v>
      </c>
      <c r="J590" s="5">
        <v>7.3609000000000002E-15</v>
      </c>
      <c r="K590" s="5">
        <v>8.1094600000000006E-15</v>
      </c>
      <c r="L590" s="8">
        <v>3.7428300000000001E-15</v>
      </c>
      <c r="O590" s="5">
        <v>2.3704599999999999E-15</v>
      </c>
      <c r="P590" s="5">
        <v>5.2399600000000001E-15</v>
      </c>
      <c r="Q590" s="5">
        <v>5.1152E-15</v>
      </c>
      <c r="R590" s="8">
        <v>3.9923500000000003E-15</v>
      </c>
      <c r="U590" s="5">
        <v>6.2380499999999997E-15</v>
      </c>
      <c r="V590" s="5">
        <v>1.1228500000000001E-15</v>
      </c>
      <c r="W590" s="5">
        <v>1.1228500000000001E-15</v>
      </c>
      <c r="X590" s="36">
        <v>4.9904399999999999E-16</v>
      </c>
      <c r="AA590" s="5">
        <v>1.24761E-16</v>
      </c>
      <c r="AB590" s="5">
        <v>4.9904500000000001E-16</v>
      </c>
      <c r="AC590" s="5">
        <v>8.73328E-16</v>
      </c>
      <c r="AD590" s="8">
        <v>4.9904500000000001E-16</v>
      </c>
      <c r="AG590" s="5"/>
      <c r="AH590" s="5"/>
      <c r="AM590" s="5"/>
      <c r="AN590" s="5"/>
      <c r="AO590" s="5"/>
      <c r="AS590" s="5">
        <v>6.2380499999999999E-16</v>
      </c>
      <c r="AT590" s="4">
        <v>3.7428299999999999E-16</v>
      </c>
      <c r="AU590" s="4">
        <v>3.7428299999999999E-16</v>
      </c>
      <c r="AV590" s="4">
        <v>7.4856599999999998E-16</v>
      </c>
    </row>
    <row r="591" spans="3:48" x14ac:dyDescent="0.25">
      <c r="C591" s="7">
        <v>3.51826E-14</v>
      </c>
      <c r="D591" s="5">
        <v>3.58563E-13</v>
      </c>
      <c r="E591" s="5">
        <v>3.7365900000000002E-13</v>
      </c>
      <c r="F591" s="30">
        <v>3.8064600000000001E-13</v>
      </c>
      <c r="I591" s="5">
        <v>1.0105600000000001E-14</v>
      </c>
      <c r="J591" s="5">
        <v>7.3609000000000002E-15</v>
      </c>
      <c r="K591" s="5">
        <v>7.7351800000000004E-15</v>
      </c>
      <c r="L591" s="8">
        <v>3.7428300000000001E-15</v>
      </c>
      <c r="O591" s="5">
        <v>2.3704599999999999E-15</v>
      </c>
      <c r="P591" s="5">
        <v>5.1152E-15</v>
      </c>
      <c r="Q591" s="5">
        <v>4.4914000000000004E-15</v>
      </c>
      <c r="R591" s="8">
        <v>3.7428300000000001E-15</v>
      </c>
      <c r="U591" s="5">
        <v>6.1132900000000004E-15</v>
      </c>
      <c r="V591" s="5">
        <v>1.1228500000000001E-15</v>
      </c>
      <c r="W591" s="5">
        <v>1.1228500000000001E-15</v>
      </c>
      <c r="X591" s="36">
        <v>4.9904399999999999E-16</v>
      </c>
      <c r="AA591" s="5">
        <v>1.24761E-16</v>
      </c>
      <c r="AB591" s="5">
        <v>4.9904500000000001E-16</v>
      </c>
      <c r="AC591" s="5">
        <v>8.73328E-16</v>
      </c>
      <c r="AD591" s="8">
        <v>4.9904500000000001E-16</v>
      </c>
      <c r="AG591" s="5"/>
      <c r="AH591" s="5"/>
      <c r="AM591" s="5"/>
      <c r="AN591" s="5"/>
      <c r="AO591" s="5"/>
      <c r="AS591" s="5">
        <v>6.2380499999999999E-16</v>
      </c>
      <c r="AT591" s="4">
        <v>3.7428299999999999E-16</v>
      </c>
      <c r="AU591" s="4">
        <v>5.8637700000000002E-15</v>
      </c>
      <c r="AV591" s="4">
        <v>7.4856599999999998E-16</v>
      </c>
    </row>
    <row r="592" spans="3:48" x14ac:dyDescent="0.25">
      <c r="C592" s="7">
        <v>3.49331E-14</v>
      </c>
      <c r="D592" s="5">
        <v>3.5843799999999999E-13</v>
      </c>
      <c r="E592" s="5">
        <v>3.7103899999999998E-13</v>
      </c>
      <c r="F592" s="30">
        <v>3.7877500000000002E-13</v>
      </c>
      <c r="I592" s="5">
        <v>1.0105600000000001E-14</v>
      </c>
      <c r="J592" s="5">
        <v>7.2361400000000001E-15</v>
      </c>
      <c r="K592" s="5">
        <v>7.7351800000000004E-15</v>
      </c>
      <c r="L592" s="8">
        <v>3.61807E-15</v>
      </c>
      <c r="O592" s="5">
        <v>2.2457000000000002E-15</v>
      </c>
      <c r="P592" s="5">
        <v>4.9904399999999999E-15</v>
      </c>
      <c r="Q592" s="5">
        <v>4.4914000000000004E-15</v>
      </c>
      <c r="R592" s="8">
        <v>3.3685499999999999E-15</v>
      </c>
      <c r="U592" s="5">
        <v>6.1132900000000004E-15</v>
      </c>
      <c r="V592" s="5">
        <v>9.9808799999999998E-16</v>
      </c>
      <c r="W592" s="5">
        <v>1.1228500000000001E-15</v>
      </c>
      <c r="X592" s="36">
        <v>4.9904399999999999E-16</v>
      </c>
      <c r="AA592" s="5">
        <v>1.24761E-16</v>
      </c>
      <c r="AB592" s="5">
        <v>4.9904500000000001E-16</v>
      </c>
      <c r="AC592" s="5">
        <v>8.73328E-16</v>
      </c>
      <c r="AD592" s="8">
        <v>4.9904500000000001E-16</v>
      </c>
      <c r="AG592" s="5"/>
      <c r="AH592" s="5"/>
      <c r="AM592" s="5"/>
      <c r="AN592" s="5"/>
      <c r="AO592" s="5"/>
      <c r="AS592" s="5">
        <v>6.2380499999999999E-16</v>
      </c>
      <c r="AT592" s="4">
        <v>3.7428299999999999E-16</v>
      </c>
      <c r="AU592" s="4">
        <v>1.24761E-16</v>
      </c>
      <c r="AV592" s="4">
        <v>7.4856599999999998E-16</v>
      </c>
    </row>
    <row r="593" spans="3:48" x14ac:dyDescent="0.25">
      <c r="C593" s="7">
        <v>3.4808300000000002E-14</v>
      </c>
      <c r="D593" s="5">
        <v>3.57316E-13</v>
      </c>
      <c r="E593" s="5">
        <v>3.6966700000000001E-13</v>
      </c>
      <c r="F593" s="30">
        <v>3.7827500000000002E-13</v>
      </c>
      <c r="I593" s="5">
        <v>9.9808799999999998E-15</v>
      </c>
      <c r="J593" s="5">
        <v>7.2361400000000001E-15</v>
      </c>
      <c r="K593" s="5">
        <v>7.6104200000000003E-15</v>
      </c>
      <c r="L593" s="8">
        <v>3.61807E-15</v>
      </c>
      <c r="O593" s="5">
        <v>2.2457000000000002E-15</v>
      </c>
      <c r="P593" s="5">
        <v>4.9904399999999999E-15</v>
      </c>
      <c r="Q593" s="5">
        <v>4.3666400000000003E-15</v>
      </c>
      <c r="R593" s="8">
        <v>3.2437900000000002E-15</v>
      </c>
      <c r="U593" s="5">
        <v>6.1132900000000004E-15</v>
      </c>
      <c r="V593" s="5">
        <v>9.9808799999999998E-16</v>
      </c>
      <c r="W593" s="5">
        <v>1.1228500000000001E-15</v>
      </c>
      <c r="X593" s="36">
        <v>4.9904399999999999E-16</v>
      </c>
      <c r="AA593" s="5">
        <v>1.24761E-16</v>
      </c>
      <c r="AB593" s="5">
        <v>4.9904500000000001E-16</v>
      </c>
      <c r="AC593" s="5">
        <v>8.73328E-16</v>
      </c>
      <c r="AD593" s="8">
        <v>4.9904500000000001E-16</v>
      </c>
      <c r="AG593" s="5"/>
      <c r="AH593" s="5"/>
      <c r="AM593" s="5"/>
      <c r="AN593" s="5"/>
      <c r="AO593" s="5"/>
      <c r="AS593" s="5">
        <v>6.2380499999999999E-16</v>
      </c>
      <c r="AT593" s="4">
        <v>3.7428299999999999E-16</v>
      </c>
      <c r="AU593" s="4">
        <v>4.9904399999999999E-16</v>
      </c>
      <c r="AV593" s="4">
        <v>7.4856599999999998E-16</v>
      </c>
    </row>
    <row r="594" spans="3:48" x14ac:dyDescent="0.25">
      <c r="C594" s="7">
        <v>3.4683599999999999E-14</v>
      </c>
      <c r="D594" s="5">
        <v>3.56567E-13</v>
      </c>
      <c r="E594" s="5">
        <v>3.6966700000000001E-13</v>
      </c>
      <c r="F594" s="30">
        <v>3.7752699999999999E-13</v>
      </c>
      <c r="I594" s="5">
        <v>9.9808799999999998E-15</v>
      </c>
      <c r="J594" s="5">
        <v>6.6123299999999999E-15</v>
      </c>
      <c r="K594" s="5">
        <v>7.4856600000000002E-15</v>
      </c>
      <c r="L594" s="8">
        <v>3.61807E-15</v>
      </c>
      <c r="O594" s="5">
        <v>2.2457000000000002E-15</v>
      </c>
      <c r="P594" s="5">
        <v>4.6161599999999997E-15</v>
      </c>
      <c r="Q594" s="5">
        <v>4.3666400000000003E-15</v>
      </c>
      <c r="R594" s="8">
        <v>3.1190300000000001E-15</v>
      </c>
      <c r="U594" s="5">
        <v>6.1132900000000004E-15</v>
      </c>
      <c r="V594" s="5">
        <v>9.9808799999999998E-16</v>
      </c>
      <c r="W594" s="5">
        <v>1.1228500000000001E-15</v>
      </c>
      <c r="X594" s="36">
        <v>4.9904399999999999E-16</v>
      </c>
      <c r="AA594" s="5">
        <v>1.24761E-16</v>
      </c>
      <c r="AB594" s="5">
        <v>4.9904500000000001E-16</v>
      </c>
      <c r="AC594" s="5">
        <v>8.73328E-16</v>
      </c>
      <c r="AD594" s="8">
        <v>4.9904500000000001E-16</v>
      </c>
      <c r="AG594" s="5"/>
      <c r="AH594" s="5"/>
      <c r="AM594" s="5"/>
      <c r="AN594" s="5"/>
      <c r="AO594" s="5"/>
      <c r="AS594" s="5">
        <v>6.2380499999999999E-16</v>
      </c>
      <c r="AT594" s="4">
        <v>3.7428299999999999E-16</v>
      </c>
      <c r="AU594" s="4">
        <v>9.9808799999999998E-15</v>
      </c>
      <c r="AV594" s="4">
        <v>7.4856599999999998E-16</v>
      </c>
    </row>
    <row r="595" spans="3:48" x14ac:dyDescent="0.25">
      <c r="C595" s="7">
        <v>3.4309300000000001E-14</v>
      </c>
      <c r="D595" s="5">
        <v>3.5494500000000001E-13</v>
      </c>
      <c r="E595" s="5">
        <v>3.6654799999999999E-13</v>
      </c>
      <c r="F595" s="30">
        <v>3.7727700000000002E-13</v>
      </c>
      <c r="I595" s="5">
        <v>9.9808799999999998E-15</v>
      </c>
      <c r="J595" s="5">
        <v>6.2380499999999997E-15</v>
      </c>
      <c r="K595" s="5">
        <v>7.2361400000000001E-15</v>
      </c>
      <c r="L595" s="8">
        <v>3.49331E-15</v>
      </c>
      <c r="O595" s="5">
        <v>2.2457000000000002E-15</v>
      </c>
      <c r="P595" s="5">
        <v>4.4914000000000004E-15</v>
      </c>
      <c r="Q595" s="5">
        <v>4.3666400000000003E-15</v>
      </c>
      <c r="R595" s="8">
        <v>2.9942599999999999E-15</v>
      </c>
      <c r="U595" s="5">
        <v>6.1132900000000004E-15</v>
      </c>
      <c r="V595" s="5">
        <v>9.9808799999999998E-16</v>
      </c>
      <c r="W595" s="5">
        <v>9.9808799999999998E-16</v>
      </c>
      <c r="X595" s="36">
        <v>4.9904399999999999E-16</v>
      </c>
      <c r="AA595" s="5">
        <v>1.24761E-16</v>
      </c>
      <c r="AB595" s="5">
        <v>3.7428299999999999E-16</v>
      </c>
      <c r="AC595" s="5">
        <v>8.73328E-16</v>
      </c>
      <c r="AD595" s="8">
        <v>4.9904500000000001E-16</v>
      </c>
      <c r="AG595" s="5"/>
      <c r="AH595" s="5"/>
      <c r="AM595" s="5"/>
      <c r="AN595" s="5"/>
      <c r="AO595" s="5"/>
      <c r="AS595" s="5">
        <v>6.2380499999999999E-16</v>
      </c>
      <c r="AT595" s="4">
        <v>3.7428299999999999E-16</v>
      </c>
      <c r="AU595" s="4">
        <v>6.2380499999999999E-16</v>
      </c>
      <c r="AV595" s="4">
        <v>7.4856599999999998E-16</v>
      </c>
    </row>
    <row r="596" spans="3:48" x14ac:dyDescent="0.25">
      <c r="C596" s="7">
        <v>3.4184499999999997E-14</v>
      </c>
      <c r="D596" s="5">
        <v>3.5494500000000001E-13</v>
      </c>
      <c r="E596" s="5">
        <v>3.6255599999999999E-13</v>
      </c>
      <c r="F596" s="30">
        <v>3.7677799999999999E-13</v>
      </c>
      <c r="I596" s="5">
        <v>9.9808799999999998E-15</v>
      </c>
      <c r="J596" s="5">
        <v>6.2380499999999997E-15</v>
      </c>
      <c r="K596" s="5">
        <v>6.9866100000000001E-15</v>
      </c>
      <c r="L596" s="8">
        <v>3.49331E-15</v>
      </c>
      <c r="O596" s="5">
        <v>2.2457000000000002E-15</v>
      </c>
      <c r="P596" s="5">
        <v>4.4914000000000004E-15</v>
      </c>
      <c r="Q596" s="5">
        <v>4.2418699999999996E-15</v>
      </c>
      <c r="R596" s="8">
        <v>2.8695000000000002E-15</v>
      </c>
      <c r="U596" s="5">
        <v>5.9885300000000003E-15</v>
      </c>
      <c r="V596" s="5">
        <v>9.9808799999999998E-16</v>
      </c>
      <c r="W596" s="5">
        <v>8.7332699999999998E-16</v>
      </c>
      <c r="X596" s="36">
        <v>3.7428299999999999E-16</v>
      </c>
      <c r="AA596" s="5">
        <v>1.24761E-16</v>
      </c>
      <c r="AB596" s="5">
        <v>3.7428299999999999E-16</v>
      </c>
      <c r="AC596" s="5">
        <v>8.73328E-16</v>
      </c>
      <c r="AD596" s="8">
        <v>3.7428299999999999E-16</v>
      </c>
      <c r="AG596" s="5"/>
      <c r="AH596" s="5"/>
      <c r="AM596" s="5"/>
      <c r="AN596" s="5"/>
      <c r="AO596" s="1"/>
      <c r="AS596" s="5">
        <v>6.2380499999999999E-16</v>
      </c>
      <c r="AT596" s="4">
        <v>3.7428299999999999E-16</v>
      </c>
      <c r="AU596" s="4">
        <v>2.0598E-13</v>
      </c>
      <c r="AV596" s="4">
        <v>7.4856599999999998E-16</v>
      </c>
    </row>
    <row r="597" spans="3:48" x14ac:dyDescent="0.25">
      <c r="C597" s="7">
        <v>3.40598E-14</v>
      </c>
      <c r="D597" s="5">
        <v>3.5357299999999999E-13</v>
      </c>
      <c r="E597" s="5">
        <v>3.6205700000000001E-13</v>
      </c>
      <c r="F597" s="30">
        <v>3.7603000000000001E-13</v>
      </c>
      <c r="I597" s="5">
        <v>9.8561199999999997E-15</v>
      </c>
      <c r="J597" s="5">
        <v>5.9885300000000003E-15</v>
      </c>
      <c r="K597" s="5">
        <v>6.8618500000000001E-15</v>
      </c>
      <c r="L597" s="8">
        <v>3.24378E-15</v>
      </c>
      <c r="O597" s="5">
        <v>2.2457000000000002E-15</v>
      </c>
      <c r="P597" s="5">
        <v>4.3666400000000003E-15</v>
      </c>
      <c r="Q597" s="5">
        <v>4.2418699999999996E-15</v>
      </c>
      <c r="R597" s="8">
        <v>2.8695000000000002E-15</v>
      </c>
      <c r="U597" s="5">
        <v>5.9885300000000003E-15</v>
      </c>
      <c r="V597" s="5">
        <v>8.7332699999999998E-16</v>
      </c>
      <c r="W597" s="5">
        <v>8.7332699999999998E-16</v>
      </c>
      <c r="X597" s="36">
        <v>3.7428299999999999E-16</v>
      </c>
      <c r="AA597" s="5">
        <v>1.24761E-16</v>
      </c>
      <c r="AB597" s="5">
        <v>3.7428299999999999E-16</v>
      </c>
      <c r="AC597" s="5">
        <v>7.48567E-16</v>
      </c>
      <c r="AD597" s="8">
        <v>3.7428299999999999E-16</v>
      </c>
      <c r="AG597" s="5"/>
      <c r="AH597" s="5"/>
      <c r="AM597" s="5"/>
      <c r="AN597" s="5"/>
      <c r="AS597" s="5">
        <v>6.2380499999999999E-16</v>
      </c>
      <c r="AT597" s="4">
        <v>3.7428299999999999E-16</v>
      </c>
      <c r="AU597" s="4">
        <v>4.9904399999999999E-16</v>
      </c>
      <c r="AV597" s="4">
        <v>7.4856599999999998E-16</v>
      </c>
    </row>
    <row r="598" spans="3:48" x14ac:dyDescent="0.25">
      <c r="C598" s="7">
        <v>3.3935000000000003E-14</v>
      </c>
      <c r="D598" s="5">
        <v>3.5257499999999999E-13</v>
      </c>
      <c r="E598" s="5">
        <v>3.6143300000000002E-13</v>
      </c>
      <c r="F598" s="30">
        <v>3.7528100000000001E-13</v>
      </c>
      <c r="I598" s="5">
        <v>9.8561199999999997E-15</v>
      </c>
      <c r="J598" s="5">
        <v>5.8637599999999997E-15</v>
      </c>
      <c r="K598" s="5">
        <v>6.73709E-15</v>
      </c>
      <c r="L598" s="8">
        <v>3.1190199999999999E-15</v>
      </c>
      <c r="O598" s="5">
        <v>2.2457000000000002E-15</v>
      </c>
      <c r="P598" s="5">
        <v>4.3666400000000003E-15</v>
      </c>
      <c r="Q598" s="5">
        <v>4.2418699999999996E-15</v>
      </c>
      <c r="R598" s="8">
        <v>2.7447400000000001E-15</v>
      </c>
      <c r="U598" s="5">
        <v>5.9885300000000003E-15</v>
      </c>
      <c r="V598" s="5">
        <v>8.7332699999999998E-16</v>
      </c>
      <c r="W598" s="5">
        <v>8.7332699999999998E-16</v>
      </c>
      <c r="X598" s="36">
        <v>3.7428299999999999E-16</v>
      </c>
      <c r="AA598" s="5">
        <v>1.24761E-16</v>
      </c>
      <c r="AB598" s="5">
        <v>3.7428299999999999E-16</v>
      </c>
      <c r="AC598" s="5">
        <v>7.48567E-16</v>
      </c>
      <c r="AD598" s="8">
        <v>3.7428299999999999E-16</v>
      </c>
      <c r="AG598" s="5"/>
      <c r="AH598" s="5"/>
      <c r="AM598" s="5"/>
      <c r="AN598" s="5"/>
      <c r="AS598" s="5">
        <v>6.2380499999999999E-16</v>
      </c>
      <c r="AT598" s="4">
        <v>3.7428299999999999E-16</v>
      </c>
      <c r="AU598" s="4">
        <v>2.4952199999999999E-16</v>
      </c>
      <c r="AV598" s="4">
        <v>7.4856599999999998E-16</v>
      </c>
    </row>
    <row r="599" spans="3:48" x14ac:dyDescent="0.25">
      <c r="C599" s="7">
        <v>3.3685500000000002E-14</v>
      </c>
      <c r="D599" s="5">
        <v>3.5207600000000001E-13</v>
      </c>
      <c r="E599" s="5">
        <v>3.5743999999999999E-13</v>
      </c>
      <c r="F599" s="30">
        <v>3.7216199999999999E-13</v>
      </c>
      <c r="I599" s="5">
        <v>9.8561199999999997E-15</v>
      </c>
      <c r="J599" s="5">
        <v>5.3647200000000001E-15</v>
      </c>
      <c r="K599" s="5">
        <v>6.3628099999999997E-15</v>
      </c>
      <c r="L599" s="8">
        <v>2.9942599999999999E-15</v>
      </c>
      <c r="O599" s="5">
        <v>2.1209400000000001E-15</v>
      </c>
      <c r="P599" s="5">
        <v>4.2418699999999996E-15</v>
      </c>
      <c r="Q599" s="5">
        <v>3.9923500000000003E-15</v>
      </c>
      <c r="R599" s="8">
        <v>2.61998E-15</v>
      </c>
      <c r="U599" s="5">
        <v>5.9885300000000003E-15</v>
      </c>
      <c r="V599" s="5">
        <v>8.7332699999999998E-16</v>
      </c>
      <c r="W599" s="5">
        <v>8.7332699999999998E-16</v>
      </c>
      <c r="X599" s="36">
        <v>3.7428299999999999E-16</v>
      </c>
      <c r="AA599" s="5">
        <v>1.24761E-16</v>
      </c>
      <c r="AB599" s="5">
        <v>3.7428299999999999E-16</v>
      </c>
      <c r="AC599" s="5">
        <v>7.48567E-16</v>
      </c>
      <c r="AD599" s="8">
        <v>3.7428299999999999E-16</v>
      </c>
      <c r="AG599" s="5"/>
      <c r="AH599" s="5"/>
      <c r="AM599" s="5"/>
      <c r="AN599" s="5"/>
      <c r="AS599" s="5">
        <v>6.2380499999999999E-16</v>
      </c>
      <c r="AT599" s="4">
        <v>3.7428299999999999E-16</v>
      </c>
      <c r="AU599" s="4">
        <v>4.6161599999999997E-15</v>
      </c>
      <c r="AV599" s="4">
        <v>7.4856599999999998E-16</v>
      </c>
    </row>
    <row r="600" spans="3:48" x14ac:dyDescent="0.25">
      <c r="C600" s="7">
        <v>3.3685500000000002E-14</v>
      </c>
      <c r="D600" s="5">
        <v>3.51202E-13</v>
      </c>
      <c r="E600" s="5">
        <v>3.5244999999999998E-13</v>
      </c>
      <c r="F600" s="30">
        <v>3.6991600000000002E-13</v>
      </c>
      <c r="I600" s="5">
        <v>9.7313499999999999E-15</v>
      </c>
      <c r="J600" s="5">
        <v>5.3647200000000001E-15</v>
      </c>
      <c r="K600" s="5">
        <v>5.6142400000000003E-15</v>
      </c>
      <c r="L600" s="8">
        <v>2.9942599999999999E-15</v>
      </c>
      <c r="O600" s="5">
        <v>2.1209400000000001E-15</v>
      </c>
      <c r="P600" s="5">
        <v>4.2418699999999996E-15</v>
      </c>
      <c r="Q600" s="5">
        <v>3.8675900000000002E-15</v>
      </c>
      <c r="R600" s="8">
        <v>2.61998E-15</v>
      </c>
      <c r="U600" s="5">
        <v>5.8637700000000002E-15</v>
      </c>
      <c r="V600" s="5">
        <v>7.4856599999999998E-16</v>
      </c>
      <c r="W600" s="5">
        <v>8.7332699999999998E-16</v>
      </c>
      <c r="X600" s="36">
        <v>3.7428299999999999E-16</v>
      </c>
      <c r="AA600" s="5">
        <v>1.24761E-16</v>
      </c>
      <c r="AB600" s="5">
        <v>3.7428299999999999E-16</v>
      </c>
      <c r="AC600" s="5">
        <v>7.48567E-16</v>
      </c>
      <c r="AD600" s="8">
        <v>3.7428299999999999E-16</v>
      </c>
      <c r="AG600" s="5"/>
      <c r="AH600" s="5"/>
      <c r="AM600" s="5"/>
      <c r="AN600" s="5"/>
      <c r="AS600" s="5">
        <v>6.2380499999999999E-16</v>
      </c>
      <c r="AT600" s="4">
        <v>3.7428299999999999E-16</v>
      </c>
      <c r="AU600" s="4">
        <v>2.4952199999999999E-16</v>
      </c>
      <c r="AV600" s="4">
        <v>7.4856599999999998E-16</v>
      </c>
    </row>
    <row r="601" spans="3:48" x14ac:dyDescent="0.25">
      <c r="C601" s="7">
        <v>3.3436000000000001E-14</v>
      </c>
      <c r="D601" s="5">
        <v>3.5070299999999997E-13</v>
      </c>
      <c r="E601" s="5">
        <v>3.50204E-13</v>
      </c>
      <c r="F601" s="30">
        <v>3.6966700000000001E-13</v>
      </c>
      <c r="I601" s="5">
        <v>9.7313499999999999E-15</v>
      </c>
      <c r="J601" s="5">
        <v>5.3647200000000001E-15</v>
      </c>
      <c r="K601" s="5">
        <v>5.3647200000000001E-15</v>
      </c>
      <c r="L601" s="8">
        <v>2.7447400000000001E-15</v>
      </c>
      <c r="O601" s="5">
        <v>2.1209400000000001E-15</v>
      </c>
      <c r="P601" s="5">
        <v>4.1171100000000004E-15</v>
      </c>
      <c r="Q601" s="5">
        <v>3.7428300000000001E-15</v>
      </c>
      <c r="R601" s="8">
        <v>2.4952199999999999E-15</v>
      </c>
      <c r="U601" s="5">
        <v>5.8637700000000002E-15</v>
      </c>
      <c r="V601" s="5">
        <v>7.4856599999999998E-16</v>
      </c>
      <c r="W601" s="5">
        <v>7.4856599999999998E-16</v>
      </c>
      <c r="X601" s="36">
        <v>3.7428299999999999E-16</v>
      </c>
      <c r="AA601" s="5">
        <v>1.24761E-16</v>
      </c>
      <c r="AB601" s="5">
        <v>3.7428299999999999E-16</v>
      </c>
      <c r="AC601" s="5">
        <v>7.48567E-16</v>
      </c>
      <c r="AD601" s="8">
        <v>3.7428299999999999E-16</v>
      </c>
      <c r="AG601" s="5"/>
      <c r="AH601" s="5"/>
      <c r="AM601" s="5"/>
      <c r="AN601" s="5"/>
      <c r="AS601" s="5">
        <v>6.2380499999999999E-16</v>
      </c>
      <c r="AT601" s="4">
        <v>3.7428299999999999E-16</v>
      </c>
      <c r="AU601" s="4">
        <v>1.24761E-16</v>
      </c>
      <c r="AV601" s="4">
        <v>7.4856599999999998E-16</v>
      </c>
    </row>
    <row r="602" spans="3:48" x14ac:dyDescent="0.25">
      <c r="C602" s="7">
        <v>3.3436000000000001E-14</v>
      </c>
      <c r="D602" s="5">
        <v>3.4808299999999998E-13</v>
      </c>
      <c r="E602" s="5">
        <v>3.4945600000000002E-13</v>
      </c>
      <c r="F602" s="30">
        <v>3.6804500000000002E-13</v>
      </c>
      <c r="I602" s="5">
        <v>9.7313499999999999E-15</v>
      </c>
      <c r="J602" s="5">
        <v>5.2399600000000001E-15</v>
      </c>
      <c r="K602" s="5">
        <v>4.9904399999999999E-15</v>
      </c>
      <c r="L602" s="8">
        <v>2.7447400000000001E-15</v>
      </c>
      <c r="O602" s="5">
        <v>2.1209400000000001E-15</v>
      </c>
      <c r="P602" s="5">
        <v>4.1171100000000004E-15</v>
      </c>
      <c r="Q602" s="5">
        <v>3.3685499999999999E-15</v>
      </c>
      <c r="R602" s="8">
        <v>2.3704599999999999E-15</v>
      </c>
      <c r="U602" s="5">
        <v>5.8637700000000002E-15</v>
      </c>
      <c r="V602" s="5">
        <v>7.4856599999999998E-16</v>
      </c>
      <c r="W602" s="5">
        <v>7.4856599999999998E-16</v>
      </c>
      <c r="X602" s="36">
        <v>3.7428299999999999E-16</v>
      </c>
      <c r="AA602" s="5">
        <v>1.24761E-16</v>
      </c>
      <c r="AB602" s="5">
        <v>3.7428299999999999E-16</v>
      </c>
      <c r="AC602" s="5">
        <v>7.48567E-16</v>
      </c>
      <c r="AD602" s="8">
        <v>3.7428299999999999E-16</v>
      </c>
      <c r="AG602" s="5"/>
      <c r="AH602" s="5"/>
      <c r="AM602" s="5"/>
      <c r="AN602" s="5"/>
      <c r="AS602" s="5">
        <v>6.2380499999999999E-16</v>
      </c>
      <c r="AT602" s="4">
        <v>3.7428299999999999E-16</v>
      </c>
      <c r="AU602" s="4">
        <v>2.4952199999999999E-16</v>
      </c>
      <c r="AV602" s="4">
        <v>7.4856599999999998E-16</v>
      </c>
    </row>
    <row r="603" spans="3:48" x14ac:dyDescent="0.25">
      <c r="C603" s="7">
        <v>3.2936899999999999E-14</v>
      </c>
      <c r="D603" s="5">
        <v>3.4758400000000001E-13</v>
      </c>
      <c r="E603" s="5">
        <v>3.4758400000000001E-13</v>
      </c>
      <c r="F603" s="30">
        <v>3.6692200000000001E-13</v>
      </c>
      <c r="I603" s="5">
        <v>9.6065899999999998E-15</v>
      </c>
      <c r="J603" s="5">
        <v>5.1152E-15</v>
      </c>
      <c r="K603" s="5">
        <v>4.8656799999999998E-15</v>
      </c>
      <c r="L603" s="8">
        <v>2.7447400000000001E-15</v>
      </c>
      <c r="O603" s="5">
        <v>2.1209400000000001E-15</v>
      </c>
      <c r="P603" s="5">
        <v>3.9923500000000003E-15</v>
      </c>
      <c r="Q603" s="5">
        <v>3.1190300000000001E-15</v>
      </c>
      <c r="R603" s="8">
        <v>2.3704599999999999E-15</v>
      </c>
      <c r="U603" s="5">
        <v>5.8637700000000002E-15</v>
      </c>
      <c r="V603" s="5">
        <v>7.4856599999999998E-16</v>
      </c>
      <c r="W603" s="5">
        <v>7.4856599999999998E-16</v>
      </c>
      <c r="X603" s="36">
        <v>3.7428299999999999E-16</v>
      </c>
      <c r="AA603" s="5">
        <v>1.24761E-16</v>
      </c>
      <c r="AB603" s="5">
        <v>3.7428299999999999E-16</v>
      </c>
      <c r="AC603" s="5">
        <v>7.48567E-16</v>
      </c>
      <c r="AD603" s="8">
        <v>3.7428299999999999E-16</v>
      </c>
      <c r="AG603" s="5"/>
      <c r="AH603" s="5"/>
      <c r="AM603" s="5"/>
      <c r="AN603" s="5"/>
      <c r="AS603" s="5">
        <v>6.2380499999999999E-16</v>
      </c>
      <c r="AT603" s="4">
        <v>3.7428299999999999E-16</v>
      </c>
      <c r="AU603" s="4">
        <v>1.24761E-16</v>
      </c>
      <c r="AV603" s="4">
        <v>6.2380499999999999E-16</v>
      </c>
    </row>
    <row r="604" spans="3:48" x14ac:dyDescent="0.25">
      <c r="C604" s="7">
        <v>3.2936899999999999E-14</v>
      </c>
      <c r="D604" s="5">
        <v>3.47335E-13</v>
      </c>
      <c r="E604" s="5">
        <v>3.4671100000000002E-13</v>
      </c>
      <c r="F604" s="30">
        <v>3.6692200000000001E-13</v>
      </c>
      <c r="I604" s="5">
        <v>9.6065899999999998E-15</v>
      </c>
      <c r="J604" s="5">
        <v>5.1152E-15</v>
      </c>
      <c r="K604" s="5">
        <v>4.6161599999999997E-15</v>
      </c>
      <c r="L604" s="8">
        <v>2.61998E-15</v>
      </c>
      <c r="O604" s="5">
        <v>2.1209400000000001E-15</v>
      </c>
      <c r="P604" s="5">
        <v>3.8675900000000002E-15</v>
      </c>
      <c r="Q604" s="5">
        <v>2.9942599999999999E-15</v>
      </c>
      <c r="R604" s="8">
        <v>2.3704599999999999E-15</v>
      </c>
      <c r="U604" s="5">
        <v>5.8637700000000002E-15</v>
      </c>
      <c r="V604" s="5">
        <v>7.4856599999999998E-16</v>
      </c>
      <c r="W604" s="5">
        <v>7.4856599999999998E-16</v>
      </c>
      <c r="X604" s="36">
        <v>3.7428299999999999E-16</v>
      </c>
      <c r="AA604" s="5">
        <v>1.24761E-16</v>
      </c>
      <c r="AB604" s="5">
        <v>3.7428299999999999E-16</v>
      </c>
      <c r="AC604" s="5">
        <v>6.23806E-16</v>
      </c>
      <c r="AD604" s="8">
        <v>3.7428299999999999E-16</v>
      </c>
      <c r="AG604" s="5"/>
      <c r="AH604" s="5"/>
      <c r="AM604" s="5"/>
      <c r="AN604" s="5"/>
      <c r="AS604" s="5">
        <v>6.2380499999999999E-16</v>
      </c>
      <c r="AT604" s="4">
        <v>3.7428299999999999E-16</v>
      </c>
      <c r="AU604" s="4">
        <v>2.4952199999999999E-16</v>
      </c>
      <c r="AV604" s="4">
        <v>6.2380499999999999E-16</v>
      </c>
    </row>
    <row r="605" spans="3:48" x14ac:dyDescent="0.25">
      <c r="C605" s="7">
        <v>3.2812200000000003E-14</v>
      </c>
      <c r="D605" s="5">
        <v>3.4646099999999999E-13</v>
      </c>
      <c r="E605" s="5">
        <v>3.4621199999999999E-13</v>
      </c>
      <c r="F605" s="30">
        <v>3.6692200000000001E-13</v>
      </c>
      <c r="I605" s="5">
        <v>9.6065899999999998E-15</v>
      </c>
      <c r="J605" s="5">
        <v>4.7409199999999997E-15</v>
      </c>
      <c r="K605" s="5">
        <v>4.4913899999999998E-15</v>
      </c>
      <c r="L605" s="8">
        <v>2.61998E-15</v>
      </c>
      <c r="O605" s="5">
        <v>1.99618E-15</v>
      </c>
      <c r="P605" s="5">
        <v>3.61807E-15</v>
      </c>
      <c r="Q605" s="5">
        <v>2.9942599999999999E-15</v>
      </c>
      <c r="R605" s="8">
        <v>2.2457000000000002E-15</v>
      </c>
      <c r="U605" s="5">
        <v>5.8637700000000002E-15</v>
      </c>
      <c r="V605" s="5">
        <v>7.4856599999999998E-16</v>
      </c>
      <c r="W605" s="5">
        <v>7.4856599999999998E-16</v>
      </c>
      <c r="X605" s="36">
        <v>3.7428299999999999E-16</v>
      </c>
      <c r="AA605" s="5">
        <v>1.24761E-16</v>
      </c>
      <c r="AB605" s="5">
        <v>3.7428299999999999E-16</v>
      </c>
      <c r="AC605" s="5">
        <v>6.23806E-16</v>
      </c>
      <c r="AD605" s="8">
        <v>3.7428299999999999E-16</v>
      </c>
      <c r="AG605" s="5"/>
      <c r="AH605" s="5"/>
      <c r="AM605" s="5"/>
      <c r="AN605" s="5"/>
      <c r="AS605" s="5">
        <v>6.2380499999999999E-16</v>
      </c>
      <c r="AT605" s="4">
        <v>3.7428299999999999E-16</v>
      </c>
      <c r="AU605" s="4">
        <v>1.24761E-16</v>
      </c>
      <c r="AV605" s="4">
        <v>6.2380499999999999E-16</v>
      </c>
    </row>
    <row r="606" spans="3:48" x14ac:dyDescent="0.25">
      <c r="C606" s="7">
        <v>3.2812200000000003E-14</v>
      </c>
      <c r="D606" s="5">
        <v>3.45588E-13</v>
      </c>
      <c r="E606" s="5">
        <v>3.4583799999999997E-13</v>
      </c>
      <c r="F606" s="30">
        <v>3.6480099999999999E-13</v>
      </c>
      <c r="I606" s="5">
        <v>9.6065899999999998E-15</v>
      </c>
      <c r="J606" s="5">
        <v>4.3666299999999997E-15</v>
      </c>
      <c r="K606" s="5">
        <v>4.3666299999999997E-15</v>
      </c>
      <c r="L606" s="8">
        <v>2.4952199999999999E-15</v>
      </c>
      <c r="O606" s="5">
        <v>1.99618E-15</v>
      </c>
      <c r="P606" s="5">
        <v>3.61807E-15</v>
      </c>
      <c r="Q606" s="5">
        <v>2.8695000000000002E-15</v>
      </c>
      <c r="R606" s="8">
        <v>2.2457000000000002E-15</v>
      </c>
      <c r="U606" s="5">
        <v>5.7390100000000001E-15</v>
      </c>
      <c r="V606" s="5">
        <v>7.4856599999999998E-16</v>
      </c>
      <c r="W606" s="5">
        <v>7.4856599999999998E-16</v>
      </c>
      <c r="X606" s="36">
        <v>3.7428299999999999E-16</v>
      </c>
      <c r="AA606" s="5">
        <v>1.24761E-16</v>
      </c>
      <c r="AB606" s="5">
        <v>3.7428299999999999E-16</v>
      </c>
      <c r="AC606" s="5">
        <v>6.23806E-16</v>
      </c>
      <c r="AD606" s="8">
        <v>3.7428299999999999E-16</v>
      </c>
      <c r="AG606" s="5"/>
      <c r="AH606" s="5"/>
      <c r="AM606" s="5"/>
      <c r="AN606" s="5"/>
      <c r="AS606" s="5">
        <v>6.2380499999999999E-16</v>
      </c>
      <c r="AT606" s="4">
        <v>3.7428299999999999E-16</v>
      </c>
      <c r="AU606" s="4">
        <v>4.8656799999999998E-15</v>
      </c>
      <c r="AV606" s="4">
        <v>6.2380499999999999E-16</v>
      </c>
    </row>
    <row r="607" spans="3:48" x14ac:dyDescent="0.25">
      <c r="C607" s="7">
        <v>3.2812200000000003E-14</v>
      </c>
      <c r="D607" s="5">
        <v>3.45339E-13</v>
      </c>
      <c r="E607" s="5">
        <v>3.4583799999999997E-13</v>
      </c>
      <c r="F607" s="30">
        <v>3.6430200000000002E-13</v>
      </c>
      <c r="I607" s="5">
        <v>9.6065899999999998E-15</v>
      </c>
      <c r="J607" s="5">
        <v>4.3666299999999997E-15</v>
      </c>
      <c r="K607" s="5">
        <v>3.8675900000000002E-15</v>
      </c>
      <c r="L607" s="8">
        <v>2.1209400000000001E-15</v>
      </c>
      <c r="O607" s="5">
        <v>1.99618E-15</v>
      </c>
      <c r="P607" s="5">
        <v>3.49331E-15</v>
      </c>
      <c r="Q607" s="5">
        <v>2.8695000000000002E-15</v>
      </c>
      <c r="R607" s="8">
        <v>2.1209400000000001E-15</v>
      </c>
      <c r="U607" s="5">
        <v>5.6142400000000003E-15</v>
      </c>
      <c r="V607" s="5">
        <v>7.4856599999999998E-16</v>
      </c>
      <c r="W607" s="5">
        <v>7.4856599999999998E-16</v>
      </c>
      <c r="X607" s="36">
        <v>3.7428299999999999E-16</v>
      </c>
      <c r="AA607" s="5">
        <v>1.24761E-16</v>
      </c>
      <c r="AB607" s="5">
        <v>3.7428299999999999E-16</v>
      </c>
      <c r="AC607" s="5">
        <v>6.23806E-16</v>
      </c>
      <c r="AD607" s="8">
        <v>3.7428299999999999E-16</v>
      </c>
      <c r="AG607" s="5"/>
      <c r="AH607" s="5"/>
      <c r="AM607" s="5"/>
      <c r="AN607" s="5"/>
      <c r="AS607" s="5">
        <v>6.2380499999999999E-16</v>
      </c>
      <c r="AT607" s="4">
        <v>3.7428299999999999E-16</v>
      </c>
      <c r="AU607" s="4">
        <v>2.4952199999999999E-16</v>
      </c>
      <c r="AV607" s="4">
        <v>6.2380499999999999E-16</v>
      </c>
    </row>
    <row r="608" spans="3:48" x14ac:dyDescent="0.25">
      <c r="C608" s="7">
        <v>3.2437899999999998E-14</v>
      </c>
      <c r="D608" s="5">
        <v>3.4234400000000002E-13</v>
      </c>
      <c r="E608" s="5">
        <v>3.45588E-13</v>
      </c>
      <c r="F608" s="30">
        <v>3.6243100000000002E-13</v>
      </c>
      <c r="I608" s="5">
        <v>9.4818299999999997E-15</v>
      </c>
      <c r="J608" s="5">
        <v>4.1171100000000004E-15</v>
      </c>
      <c r="K608" s="5">
        <v>3.49331E-15</v>
      </c>
      <c r="L608" s="8">
        <v>2.1209400000000001E-15</v>
      </c>
      <c r="O608" s="5">
        <v>1.99618E-15</v>
      </c>
      <c r="P608" s="5">
        <v>3.49331E-15</v>
      </c>
      <c r="Q608" s="5">
        <v>2.61998E-15</v>
      </c>
      <c r="R608" s="8">
        <v>2.1209400000000001E-15</v>
      </c>
      <c r="U608" s="5">
        <v>5.6142400000000003E-15</v>
      </c>
      <c r="V608" s="5">
        <v>6.2380499999999999E-16</v>
      </c>
      <c r="W608" s="5">
        <v>7.4856599999999998E-16</v>
      </c>
      <c r="X608" s="36">
        <v>2.4952199999999999E-16</v>
      </c>
      <c r="AA608" s="5">
        <v>1.24761E-16</v>
      </c>
      <c r="AB608" s="5">
        <v>3.7428299999999999E-16</v>
      </c>
      <c r="AC608" s="5">
        <v>6.23806E-16</v>
      </c>
      <c r="AD608" s="8">
        <v>3.7428299999999999E-16</v>
      </c>
      <c r="AG608" s="5"/>
      <c r="AH608" s="5"/>
      <c r="AM608" s="5"/>
      <c r="AN608" s="5"/>
      <c r="AS608" s="5">
        <v>6.2380499999999999E-16</v>
      </c>
      <c r="AT608" s="4">
        <v>3.7428299999999999E-16</v>
      </c>
      <c r="AU608" s="4">
        <v>1.24761E-16</v>
      </c>
      <c r="AV608" s="4">
        <v>6.2380499999999999E-16</v>
      </c>
    </row>
    <row r="609" spans="3:48" x14ac:dyDescent="0.25">
      <c r="C609" s="7">
        <v>3.2437899999999998E-14</v>
      </c>
      <c r="D609" s="5">
        <v>3.40972E-13</v>
      </c>
      <c r="E609" s="5">
        <v>3.45588E-13</v>
      </c>
      <c r="F609" s="30">
        <v>3.61932E-13</v>
      </c>
      <c r="I609" s="5">
        <v>9.4818299999999997E-15</v>
      </c>
      <c r="J609" s="5">
        <v>4.1171100000000004E-15</v>
      </c>
      <c r="K609" s="5">
        <v>3.49331E-15</v>
      </c>
      <c r="L609" s="8">
        <v>1.8714100000000002E-15</v>
      </c>
      <c r="O609" s="5">
        <v>1.99618E-15</v>
      </c>
      <c r="P609" s="5">
        <v>3.3685499999999999E-15</v>
      </c>
      <c r="Q609" s="5">
        <v>2.4952199999999999E-15</v>
      </c>
      <c r="R609" s="8">
        <v>1.99618E-15</v>
      </c>
      <c r="U609" s="5">
        <v>5.6142400000000003E-15</v>
      </c>
      <c r="V609" s="5">
        <v>6.2380499999999999E-16</v>
      </c>
      <c r="W609" s="5">
        <v>6.2380499999999999E-16</v>
      </c>
      <c r="X609" s="36">
        <v>2.4952199999999999E-16</v>
      </c>
      <c r="AA609" s="5">
        <v>1.24761E-16</v>
      </c>
      <c r="AB609" s="5">
        <v>3.7428299999999999E-16</v>
      </c>
      <c r="AC609" s="5">
        <v>6.23806E-16</v>
      </c>
      <c r="AD609" s="8">
        <v>3.7428299999999999E-16</v>
      </c>
      <c r="AG609" s="5"/>
      <c r="AH609" s="5"/>
      <c r="AM609" s="5"/>
      <c r="AN609" s="5"/>
      <c r="AS609" s="5">
        <v>6.2380499999999999E-16</v>
      </c>
      <c r="AT609" s="4">
        <v>3.7428299999999999E-16</v>
      </c>
      <c r="AU609" s="4">
        <v>1.1228500000000001E-15</v>
      </c>
      <c r="AV609" s="4">
        <v>6.2380499999999999E-16</v>
      </c>
    </row>
    <row r="610" spans="3:48" x14ac:dyDescent="0.25">
      <c r="C610" s="7">
        <v>3.23131E-14</v>
      </c>
      <c r="D610" s="5">
        <v>3.4059799999999999E-13</v>
      </c>
      <c r="E610" s="5">
        <v>3.4446499999999999E-13</v>
      </c>
      <c r="F610" s="30">
        <v>3.61183E-13</v>
      </c>
      <c r="I610" s="5">
        <v>9.3570699999999996E-15</v>
      </c>
      <c r="J610" s="5">
        <v>3.9923500000000003E-15</v>
      </c>
      <c r="K610" s="5">
        <v>3.24378E-15</v>
      </c>
      <c r="L610" s="8">
        <v>1.8714100000000002E-15</v>
      </c>
      <c r="O610" s="5">
        <v>1.99618E-15</v>
      </c>
      <c r="P610" s="5">
        <v>3.3685499999999999E-15</v>
      </c>
      <c r="Q610" s="5">
        <v>2.4952199999999999E-15</v>
      </c>
      <c r="R610" s="8">
        <v>1.99618E-15</v>
      </c>
      <c r="U610" s="5">
        <v>5.6142400000000003E-15</v>
      </c>
      <c r="V610" s="5">
        <v>6.2380499999999999E-16</v>
      </c>
      <c r="W610" s="5">
        <v>6.2380499999999999E-16</v>
      </c>
      <c r="X610" s="36">
        <v>2.4952199999999999E-16</v>
      </c>
      <c r="AA610" s="5">
        <v>1.24761E-16</v>
      </c>
      <c r="AB610" s="5">
        <v>3.7428299999999999E-16</v>
      </c>
      <c r="AC610" s="5">
        <v>6.23806E-16</v>
      </c>
      <c r="AD610" s="8">
        <v>3.7428299999999999E-16</v>
      </c>
      <c r="AG610" s="5"/>
      <c r="AH610" s="5"/>
      <c r="AM610" s="5"/>
      <c r="AN610" s="5"/>
      <c r="AS610" s="5">
        <v>6.2380499999999999E-16</v>
      </c>
      <c r="AT610" s="4">
        <v>3.7428299999999999E-16</v>
      </c>
      <c r="AU610" s="4">
        <v>3.7428299999999999E-16</v>
      </c>
      <c r="AV610" s="4">
        <v>6.2380499999999999E-16</v>
      </c>
    </row>
    <row r="611" spans="3:48" x14ac:dyDescent="0.25">
      <c r="C611" s="7">
        <v>3.23131E-14</v>
      </c>
      <c r="D611" s="5">
        <v>3.38976E-13</v>
      </c>
      <c r="E611" s="5">
        <v>3.4421599999999998E-13</v>
      </c>
      <c r="F611" s="30">
        <v>3.6080899999999998E-13</v>
      </c>
      <c r="I611" s="5">
        <v>9.3570699999999996E-15</v>
      </c>
      <c r="J611" s="5">
        <v>3.8675900000000002E-15</v>
      </c>
      <c r="K611" s="5">
        <v>3.1190199999999999E-15</v>
      </c>
      <c r="L611" s="8">
        <v>1.7466500000000001E-15</v>
      </c>
      <c r="O611" s="5">
        <v>1.99618E-15</v>
      </c>
      <c r="P611" s="5">
        <v>3.2437900000000002E-15</v>
      </c>
      <c r="Q611" s="5">
        <v>2.3704599999999999E-15</v>
      </c>
      <c r="R611" s="8">
        <v>1.8714199999999999E-15</v>
      </c>
      <c r="U611" s="5">
        <v>5.6142400000000003E-15</v>
      </c>
      <c r="V611" s="5">
        <v>6.2380499999999999E-16</v>
      </c>
      <c r="W611" s="5">
        <v>6.2380499999999999E-16</v>
      </c>
      <c r="X611" s="36">
        <v>2.4952199999999999E-16</v>
      </c>
      <c r="AA611" s="5">
        <v>1.24761E-16</v>
      </c>
      <c r="AB611" s="5">
        <v>3.7428299999999999E-16</v>
      </c>
      <c r="AC611" s="5">
        <v>6.23806E-16</v>
      </c>
      <c r="AD611" s="8">
        <v>3.7428299999999999E-16</v>
      </c>
      <c r="AG611" s="5"/>
      <c r="AH611" s="5"/>
      <c r="AM611" s="5"/>
      <c r="AN611" s="5"/>
      <c r="AS611" s="5">
        <v>6.2380499999999999E-16</v>
      </c>
      <c r="AT611" s="4">
        <v>3.7428299999999999E-16</v>
      </c>
      <c r="AU611" s="4">
        <v>1.3723700000000001E-15</v>
      </c>
      <c r="AV611" s="4">
        <v>6.2380499999999999E-16</v>
      </c>
    </row>
    <row r="612" spans="3:48" x14ac:dyDescent="0.25">
      <c r="C612" s="7">
        <v>3.23131E-14</v>
      </c>
      <c r="D612" s="5">
        <v>3.3847700000000002E-13</v>
      </c>
      <c r="E612" s="5">
        <v>3.4409100000000002E-13</v>
      </c>
      <c r="F612" s="30">
        <v>3.6043500000000002E-13</v>
      </c>
      <c r="I612" s="5">
        <v>9.3570699999999996E-15</v>
      </c>
      <c r="J612" s="5">
        <v>3.7428300000000001E-15</v>
      </c>
      <c r="K612" s="5">
        <v>3.1190199999999999E-15</v>
      </c>
      <c r="L612" s="8">
        <v>1.62189E-15</v>
      </c>
      <c r="O612" s="5">
        <v>1.99618E-15</v>
      </c>
      <c r="P612" s="5">
        <v>3.2437900000000002E-15</v>
      </c>
      <c r="Q612" s="5">
        <v>2.3704599999999999E-15</v>
      </c>
      <c r="R612" s="8">
        <v>1.8714199999999999E-15</v>
      </c>
      <c r="U612" s="5">
        <v>5.6142400000000003E-15</v>
      </c>
      <c r="V612" s="5">
        <v>6.2380499999999999E-16</v>
      </c>
      <c r="W612" s="5">
        <v>6.2380499999999999E-16</v>
      </c>
      <c r="X612" s="36">
        <v>2.4952199999999999E-16</v>
      </c>
      <c r="AA612" s="5">
        <v>1.24761E-16</v>
      </c>
      <c r="AB612" s="5">
        <v>3.7428299999999999E-16</v>
      </c>
      <c r="AC612" s="5">
        <v>6.23806E-16</v>
      </c>
      <c r="AD612" s="8">
        <v>3.7428299999999999E-16</v>
      </c>
      <c r="AG612" s="5"/>
      <c r="AH612" s="5"/>
      <c r="AM612" s="5"/>
      <c r="AN612" s="5"/>
      <c r="AS612" s="5">
        <v>6.2380499999999999E-16</v>
      </c>
      <c r="AT612" s="4">
        <v>3.7428299999999999E-16</v>
      </c>
      <c r="AU612" s="4">
        <v>1.1228500000000001E-15</v>
      </c>
      <c r="AV612" s="4">
        <v>6.2380499999999999E-16</v>
      </c>
    </row>
    <row r="613" spans="3:48" x14ac:dyDescent="0.25">
      <c r="C613" s="7">
        <v>3.23131E-14</v>
      </c>
      <c r="D613" s="5">
        <v>3.37978E-13</v>
      </c>
      <c r="E613" s="5">
        <v>3.4371700000000001E-13</v>
      </c>
      <c r="F613" s="30">
        <v>3.6018499999999999E-13</v>
      </c>
      <c r="I613" s="5">
        <v>9.3570699999999996E-15</v>
      </c>
      <c r="J613" s="5">
        <v>3.61807E-15</v>
      </c>
      <c r="K613" s="5">
        <v>3.1190199999999999E-15</v>
      </c>
      <c r="L613" s="8">
        <v>1.62189E-15</v>
      </c>
      <c r="O613" s="5">
        <v>1.99618E-15</v>
      </c>
      <c r="P613" s="5">
        <v>3.1190300000000001E-15</v>
      </c>
      <c r="Q613" s="5">
        <v>2.2457000000000002E-15</v>
      </c>
      <c r="R613" s="8">
        <v>1.8714199999999999E-15</v>
      </c>
      <c r="U613" s="5">
        <v>5.4894800000000002E-15</v>
      </c>
      <c r="V613" s="5">
        <v>4.9904399999999999E-16</v>
      </c>
      <c r="W613" s="5">
        <v>6.2380499999999999E-16</v>
      </c>
      <c r="X613" s="36">
        <v>2.4952199999999999E-16</v>
      </c>
      <c r="AA613" s="5">
        <v>1.24761E-16</v>
      </c>
      <c r="AB613" s="5">
        <v>3.7428299999999999E-16</v>
      </c>
      <c r="AC613" s="5">
        <v>6.23806E-16</v>
      </c>
      <c r="AD613" s="8">
        <v>3.7428299999999999E-16</v>
      </c>
      <c r="AG613" s="5"/>
      <c r="AH613" s="5"/>
      <c r="AM613" s="5"/>
      <c r="AN613" s="5"/>
      <c r="AS613" s="5">
        <v>6.2380499999999999E-16</v>
      </c>
      <c r="AT613" s="4">
        <v>3.7428299999999999E-16</v>
      </c>
      <c r="AU613" s="4">
        <v>3.61807E-15</v>
      </c>
      <c r="AV613" s="4">
        <v>6.2380499999999999E-16</v>
      </c>
    </row>
    <row r="614" spans="3:48" x14ac:dyDescent="0.25">
      <c r="C614" s="7">
        <v>3.2188300000000003E-14</v>
      </c>
      <c r="D614" s="5">
        <v>3.3697999999999999E-13</v>
      </c>
      <c r="E614" s="5">
        <v>3.4309300000000002E-13</v>
      </c>
      <c r="F614" s="30">
        <v>3.5893799999999999E-13</v>
      </c>
      <c r="I614" s="5">
        <v>9.3570699999999996E-15</v>
      </c>
      <c r="J614" s="5">
        <v>3.61807E-15</v>
      </c>
      <c r="K614" s="5">
        <v>3.1190199999999999E-15</v>
      </c>
      <c r="L614" s="8">
        <v>1.4971299999999999E-15</v>
      </c>
      <c r="O614" s="5">
        <v>1.8714199999999999E-15</v>
      </c>
      <c r="P614" s="5">
        <v>2.8695000000000002E-15</v>
      </c>
      <c r="Q614" s="5">
        <v>2.2457000000000002E-15</v>
      </c>
      <c r="R614" s="8">
        <v>1.7466500000000001E-15</v>
      </c>
      <c r="U614" s="5">
        <v>5.4894800000000002E-15</v>
      </c>
      <c r="V614" s="5">
        <v>4.9904399999999999E-16</v>
      </c>
      <c r="W614" s="5">
        <v>6.2380499999999999E-16</v>
      </c>
      <c r="X614" s="36">
        <v>2.4952199999999999E-16</v>
      </c>
      <c r="AA614" s="5">
        <v>1.24761E-16</v>
      </c>
      <c r="AB614" s="5">
        <v>3.7428299999999999E-16</v>
      </c>
      <c r="AC614" s="5">
        <v>6.23806E-16</v>
      </c>
      <c r="AD614" s="8">
        <v>3.7428299999999999E-16</v>
      </c>
      <c r="AG614" s="5"/>
      <c r="AH614" s="5"/>
      <c r="AM614" s="5"/>
      <c r="AN614" s="1"/>
      <c r="AS614" s="5">
        <v>6.2380499999999999E-16</v>
      </c>
      <c r="AT614" s="4">
        <v>3.7428299999999999E-16</v>
      </c>
      <c r="AU614" s="4">
        <v>1.8714199999999999E-15</v>
      </c>
      <c r="AV614" s="4">
        <v>6.2380499999999999E-16</v>
      </c>
    </row>
    <row r="615" spans="3:48" x14ac:dyDescent="0.25">
      <c r="C615" s="7">
        <v>3.2188300000000003E-14</v>
      </c>
      <c r="D615" s="5">
        <v>3.3598100000000002E-13</v>
      </c>
      <c r="E615" s="5">
        <v>3.4296800000000001E-13</v>
      </c>
      <c r="F615" s="30">
        <v>3.57316E-13</v>
      </c>
      <c r="I615" s="5">
        <v>9.2323099999999995E-15</v>
      </c>
      <c r="J615" s="5">
        <v>3.61807E-15</v>
      </c>
      <c r="K615" s="5">
        <v>2.9942599999999999E-15</v>
      </c>
      <c r="L615" s="8">
        <v>1.4971299999999999E-15</v>
      </c>
      <c r="O615" s="5">
        <v>1.8714199999999999E-15</v>
      </c>
      <c r="P615" s="5">
        <v>2.8695000000000002E-15</v>
      </c>
      <c r="Q615" s="5">
        <v>2.1209400000000001E-15</v>
      </c>
      <c r="R615" s="8">
        <v>1.7466500000000001E-15</v>
      </c>
      <c r="U615" s="5">
        <v>5.4894800000000002E-15</v>
      </c>
      <c r="V615" s="5">
        <v>4.9904399999999999E-16</v>
      </c>
      <c r="W615" s="5">
        <v>6.2380499999999999E-16</v>
      </c>
      <c r="X615" s="36">
        <v>2.4952199999999999E-16</v>
      </c>
      <c r="AA615" s="5">
        <v>1.24761E-16</v>
      </c>
      <c r="AB615" s="5">
        <v>3.7428299999999999E-16</v>
      </c>
      <c r="AC615" s="5">
        <v>6.23806E-16</v>
      </c>
      <c r="AD615" s="8">
        <v>3.7428299999999999E-16</v>
      </c>
      <c r="AG615" s="5"/>
      <c r="AH615" s="5"/>
      <c r="AM615" s="5"/>
      <c r="AS615" s="5">
        <v>6.2380499999999999E-16</v>
      </c>
      <c r="AT615" s="4">
        <v>3.7428299999999999E-16</v>
      </c>
      <c r="AU615" s="4">
        <v>4.1171100000000004E-15</v>
      </c>
      <c r="AV615" s="4">
        <v>6.2380499999999999E-16</v>
      </c>
    </row>
    <row r="616" spans="3:48" x14ac:dyDescent="0.25">
      <c r="C616" s="7">
        <v>3.1814099999999999E-14</v>
      </c>
      <c r="D616" s="5">
        <v>3.3548199999999999E-13</v>
      </c>
      <c r="E616" s="5">
        <v>3.4209500000000002E-13</v>
      </c>
      <c r="F616" s="30">
        <v>3.57316E-13</v>
      </c>
      <c r="I616" s="5">
        <v>9.2323099999999995E-15</v>
      </c>
      <c r="J616" s="5">
        <v>3.49331E-15</v>
      </c>
      <c r="K616" s="5">
        <v>2.9942599999999999E-15</v>
      </c>
      <c r="L616" s="8">
        <v>1.4971299999999999E-15</v>
      </c>
      <c r="O616" s="5">
        <v>1.8714199999999999E-15</v>
      </c>
      <c r="P616" s="5">
        <v>2.7447400000000001E-15</v>
      </c>
      <c r="Q616" s="5">
        <v>2.1209400000000001E-15</v>
      </c>
      <c r="R616" s="8">
        <v>1.7466500000000001E-15</v>
      </c>
      <c r="U616" s="5">
        <v>5.4894800000000002E-15</v>
      </c>
      <c r="V616" s="5">
        <v>4.9904399999999999E-16</v>
      </c>
      <c r="W616" s="5">
        <v>4.9904399999999999E-16</v>
      </c>
      <c r="X616" s="36">
        <v>2.4952199999999999E-16</v>
      </c>
      <c r="AA616" s="5">
        <v>1.24761E-16</v>
      </c>
      <c r="AB616" s="5">
        <v>3.7428299999999999E-16</v>
      </c>
      <c r="AC616" s="5">
        <v>6.23806E-16</v>
      </c>
      <c r="AD616" s="8">
        <v>3.7428299999999999E-16</v>
      </c>
      <c r="AG616" s="5"/>
      <c r="AH616" s="5"/>
      <c r="AM616" s="5"/>
      <c r="AS616" s="5">
        <v>6.2380499999999999E-16</v>
      </c>
      <c r="AT616" s="4">
        <v>3.7428299999999999E-16</v>
      </c>
      <c r="AU616" s="4">
        <v>6.7370999999999998E-15</v>
      </c>
      <c r="AV616" s="4">
        <v>6.2380499999999999E-16</v>
      </c>
    </row>
    <row r="617" spans="3:48" x14ac:dyDescent="0.25">
      <c r="C617" s="7">
        <v>3.1814099999999999E-14</v>
      </c>
      <c r="D617" s="5">
        <v>3.34609E-13</v>
      </c>
      <c r="E617" s="5">
        <v>3.3959999999999999E-13</v>
      </c>
      <c r="F617" s="30">
        <v>3.5706599999999998E-13</v>
      </c>
      <c r="I617" s="5">
        <v>9.2323099999999995E-15</v>
      </c>
      <c r="J617" s="5">
        <v>3.49331E-15</v>
      </c>
      <c r="K617" s="5">
        <v>2.8695000000000002E-15</v>
      </c>
      <c r="L617" s="8">
        <v>1.3723700000000001E-15</v>
      </c>
      <c r="O617" s="5">
        <v>1.8714199999999999E-15</v>
      </c>
      <c r="P617" s="5">
        <v>2.61998E-15</v>
      </c>
      <c r="Q617" s="5">
        <v>1.99618E-15</v>
      </c>
      <c r="R617" s="8">
        <v>1.62189E-15</v>
      </c>
      <c r="U617" s="5">
        <v>5.4894800000000002E-15</v>
      </c>
      <c r="V617" s="5">
        <v>4.9904399999999999E-16</v>
      </c>
      <c r="W617" s="5">
        <v>4.9904399999999999E-16</v>
      </c>
      <c r="X617" s="36">
        <v>2.4952199999999999E-16</v>
      </c>
      <c r="AA617" s="5">
        <v>1.24761E-16</v>
      </c>
      <c r="AB617" s="5">
        <v>2.4952199999999999E-16</v>
      </c>
      <c r="AC617" s="5">
        <v>6.23806E-16</v>
      </c>
      <c r="AD617" s="8">
        <v>2.4952199999999999E-16</v>
      </c>
      <c r="AG617" s="5"/>
      <c r="AH617" s="5"/>
      <c r="AM617" s="5"/>
      <c r="AS617" s="5">
        <v>4.9904399999999999E-16</v>
      </c>
      <c r="AT617" s="4">
        <v>3.7428299999999999E-16</v>
      </c>
      <c r="AU617" s="4">
        <v>3.8176899999999998E-14</v>
      </c>
      <c r="AV617" s="4">
        <v>6.2380499999999999E-16</v>
      </c>
    </row>
    <row r="618" spans="3:48" x14ac:dyDescent="0.25">
      <c r="C618" s="7">
        <v>3.1689300000000002E-14</v>
      </c>
      <c r="D618" s="5">
        <v>3.3448399999999999E-13</v>
      </c>
      <c r="E618" s="5">
        <v>3.38976E-13</v>
      </c>
      <c r="F618" s="30">
        <v>3.5207600000000001E-13</v>
      </c>
      <c r="I618" s="5">
        <v>9.2323099999999995E-15</v>
      </c>
      <c r="J618" s="5">
        <v>3.3685499999999999E-15</v>
      </c>
      <c r="K618" s="5">
        <v>2.8695000000000002E-15</v>
      </c>
      <c r="L618" s="8">
        <v>1.3723700000000001E-15</v>
      </c>
      <c r="O618" s="5">
        <v>1.8714199999999999E-15</v>
      </c>
      <c r="P618" s="5">
        <v>2.61998E-15</v>
      </c>
      <c r="Q618" s="5">
        <v>1.8714199999999999E-15</v>
      </c>
      <c r="R618" s="8">
        <v>1.62189E-15</v>
      </c>
      <c r="U618" s="5">
        <v>5.3647200000000001E-15</v>
      </c>
      <c r="V618" s="5">
        <v>4.9904399999999999E-16</v>
      </c>
      <c r="W618" s="5">
        <v>4.9904399999999999E-16</v>
      </c>
      <c r="X618" s="36">
        <v>2.4952199999999999E-16</v>
      </c>
      <c r="AA618" s="5">
        <v>1.24761E-16</v>
      </c>
      <c r="AB618" s="5">
        <v>2.4952199999999999E-16</v>
      </c>
      <c r="AC618" s="5">
        <v>6.23806E-16</v>
      </c>
      <c r="AD618" s="8">
        <v>2.4952199999999999E-16</v>
      </c>
      <c r="AG618" s="5"/>
      <c r="AH618" s="5"/>
      <c r="AM618" s="5"/>
      <c r="AS618" s="5">
        <v>4.9904399999999999E-16</v>
      </c>
      <c r="AT618" s="4">
        <v>3.7428299999999999E-16</v>
      </c>
      <c r="AU618" s="4">
        <v>7.4856599999999998E-16</v>
      </c>
      <c r="AV618" s="4">
        <v>6.2380499999999999E-16</v>
      </c>
    </row>
    <row r="619" spans="3:48" x14ac:dyDescent="0.25">
      <c r="C619" s="7">
        <v>3.1689300000000002E-14</v>
      </c>
      <c r="D619" s="5">
        <v>3.3423499999999999E-13</v>
      </c>
      <c r="E619" s="5">
        <v>3.3810199999999999E-13</v>
      </c>
      <c r="F619" s="30">
        <v>3.5145199999999998E-13</v>
      </c>
      <c r="I619" s="5">
        <v>9.2323099999999995E-15</v>
      </c>
      <c r="J619" s="5">
        <v>3.24378E-15</v>
      </c>
      <c r="K619" s="5">
        <v>2.8695000000000002E-15</v>
      </c>
      <c r="L619" s="8">
        <v>1.3723700000000001E-15</v>
      </c>
      <c r="O619" s="5">
        <v>1.8714199999999999E-15</v>
      </c>
      <c r="P619" s="5">
        <v>2.61998E-15</v>
      </c>
      <c r="Q619" s="5">
        <v>1.8714199999999999E-15</v>
      </c>
      <c r="R619" s="8">
        <v>1.4971299999999999E-15</v>
      </c>
      <c r="U619" s="5">
        <v>5.3647200000000001E-15</v>
      </c>
      <c r="V619" s="5">
        <v>4.9904399999999999E-16</v>
      </c>
      <c r="W619" s="5">
        <v>4.9904399999999999E-16</v>
      </c>
      <c r="X619" s="36">
        <v>2.4952199999999999E-16</v>
      </c>
      <c r="AA619" s="5">
        <v>1.24761E-16</v>
      </c>
      <c r="AB619" s="5">
        <v>2.4952199999999999E-16</v>
      </c>
      <c r="AC619" s="5">
        <v>6.23806E-16</v>
      </c>
      <c r="AD619" s="8">
        <v>2.4952199999999999E-16</v>
      </c>
      <c r="AG619" s="5"/>
      <c r="AH619" s="5"/>
      <c r="AM619" s="5"/>
      <c r="AS619" s="5">
        <v>4.9904399999999999E-16</v>
      </c>
      <c r="AT619" s="4">
        <v>3.7428299999999999E-16</v>
      </c>
      <c r="AU619" s="4">
        <v>4.9904399999999999E-16</v>
      </c>
      <c r="AV619" s="4">
        <v>6.2380499999999999E-16</v>
      </c>
    </row>
    <row r="620" spans="3:48" x14ac:dyDescent="0.25">
      <c r="C620" s="7">
        <v>3.1689300000000002E-14</v>
      </c>
      <c r="D620" s="5">
        <v>3.3336099999999998E-13</v>
      </c>
      <c r="E620" s="5">
        <v>3.3710399999999998E-13</v>
      </c>
      <c r="F620" s="30">
        <v>3.50953E-13</v>
      </c>
      <c r="I620" s="5">
        <v>9.2323099999999995E-15</v>
      </c>
      <c r="J620" s="5">
        <v>3.24378E-15</v>
      </c>
      <c r="K620" s="5">
        <v>2.7447400000000001E-15</v>
      </c>
      <c r="L620" s="8">
        <v>1.3723700000000001E-15</v>
      </c>
      <c r="O620" s="5">
        <v>1.8714199999999999E-15</v>
      </c>
      <c r="P620" s="5">
        <v>2.4952199999999999E-15</v>
      </c>
      <c r="Q620" s="5">
        <v>1.8714199999999999E-15</v>
      </c>
      <c r="R620" s="8">
        <v>1.4971299999999999E-15</v>
      </c>
      <c r="U620" s="5">
        <v>5.3647200000000001E-15</v>
      </c>
      <c r="V620" s="5">
        <v>4.9904399999999999E-16</v>
      </c>
      <c r="W620" s="5">
        <v>4.9904399999999999E-16</v>
      </c>
      <c r="X620" s="36">
        <v>2.4952199999999999E-16</v>
      </c>
      <c r="AA620" s="5"/>
      <c r="AB620" s="5">
        <v>2.4952199999999999E-16</v>
      </c>
      <c r="AC620" s="5">
        <v>6.23806E-16</v>
      </c>
      <c r="AD620" s="8">
        <v>2.4952199999999999E-16</v>
      </c>
      <c r="AG620" s="5"/>
      <c r="AH620" s="5"/>
      <c r="AM620" s="5"/>
      <c r="AS620" s="5">
        <v>4.9904399999999999E-16</v>
      </c>
      <c r="AT620" s="4">
        <v>3.7428299999999999E-16</v>
      </c>
      <c r="AU620" s="4">
        <v>4.29178E-14</v>
      </c>
      <c r="AV620" s="4">
        <v>6.2380499999999999E-16</v>
      </c>
    </row>
    <row r="621" spans="3:48" x14ac:dyDescent="0.25">
      <c r="C621" s="7">
        <v>3.1439800000000001E-14</v>
      </c>
      <c r="D621" s="5">
        <v>3.3323699999999999E-13</v>
      </c>
      <c r="E621" s="5">
        <v>3.3635600000000001E-13</v>
      </c>
      <c r="F621" s="30">
        <v>3.4970500000000002E-13</v>
      </c>
      <c r="I621" s="5">
        <v>9.1075499999999995E-15</v>
      </c>
      <c r="J621" s="5">
        <v>3.1190199999999999E-15</v>
      </c>
      <c r="K621" s="5">
        <v>2.61998E-15</v>
      </c>
      <c r="L621" s="8">
        <v>1.3723700000000001E-15</v>
      </c>
      <c r="O621" s="5">
        <v>1.8714199999999999E-15</v>
      </c>
      <c r="P621" s="5">
        <v>2.3704599999999999E-15</v>
      </c>
      <c r="Q621" s="5">
        <v>1.7466500000000001E-15</v>
      </c>
      <c r="R621" s="8">
        <v>1.4971299999999999E-15</v>
      </c>
      <c r="U621" s="5">
        <v>5.3647200000000001E-15</v>
      </c>
      <c r="V621" s="5">
        <v>4.9904399999999999E-16</v>
      </c>
      <c r="W621" s="5">
        <v>4.9904399999999999E-16</v>
      </c>
      <c r="X621" s="36">
        <v>2.4952199999999999E-16</v>
      </c>
      <c r="AA621" s="5"/>
      <c r="AB621" s="5">
        <v>2.4952199999999999E-16</v>
      </c>
      <c r="AC621" s="5">
        <v>6.23806E-16</v>
      </c>
      <c r="AD621" s="8">
        <v>2.4952199999999999E-16</v>
      </c>
      <c r="AG621" s="5"/>
      <c r="AH621" s="5"/>
      <c r="AM621" s="5"/>
      <c r="AS621" s="5">
        <v>4.9904399999999999E-16</v>
      </c>
      <c r="AT621" s="4">
        <v>3.7428299999999999E-16</v>
      </c>
      <c r="AU621" s="4">
        <v>1.24761E-16</v>
      </c>
      <c r="AV621" s="4">
        <v>6.2380499999999999E-16</v>
      </c>
    </row>
    <row r="622" spans="3:48" x14ac:dyDescent="0.25">
      <c r="C622" s="7">
        <v>3.11903E-14</v>
      </c>
      <c r="D622" s="5">
        <v>3.32613E-13</v>
      </c>
      <c r="E622" s="5">
        <v>3.3560700000000001E-13</v>
      </c>
      <c r="F622" s="30">
        <v>3.4945600000000002E-13</v>
      </c>
      <c r="I622" s="5">
        <v>9.1075499999999995E-15</v>
      </c>
      <c r="J622" s="5">
        <v>2.61998E-15</v>
      </c>
      <c r="K622" s="5">
        <v>2.61998E-15</v>
      </c>
      <c r="L622" s="8">
        <v>1.3723700000000001E-15</v>
      </c>
      <c r="O622" s="5">
        <v>1.7466500000000001E-15</v>
      </c>
      <c r="P622" s="5">
        <v>2.2457000000000002E-15</v>
      </c>
      <c r="Q622" s="5">
        <v>1.7466500000000001E-15</v>
      </c>
      <c r="R622" s="8">
        <v>1.4971299999999999E-15</v>
      </c>
      <c r="U622" s="5">
        <v>5.3647200000000001E-15</v>
      </c>
      <c r="V622" s="5">
        <v>4.9904399999999999E-16</v>
      </c>
      <c r="W622" s="5">
        <v>4.9904399999999999E-16</v>
      </c>
      <c r="X622" s="36">
        <v>2.4952199999999999E-16</v>
      </c>
      <c r="AA622" s="5"/>
      <c r="AB622" s="5">
        <v>2.4952199999999999E-16</v>
      </c>
      <c r="AC622" s="5">
        <v>6.23806E-16</v>
      </c>
      <c r="AD622" s="8">
        <v>2.4952199999999999E-16</v>
      </c>
      <c r="AG622" s="5"/>
      <c r="AH622" s="5"/>
      <c r="AM622" s="5"/>
      <c r="AS622" s="5">
        <v>4.9904399999999999E-16</v>
      </c>
      <c r="AT622" s="4">
        <v>3.7428299999999999E-16</v>
      </c>
      <c r="AU622" s="4">
        <v>2.4952199999999999E-16</v>
      </c>
      <c r="AV622" s="4">
        <v>6.2380499999999999E-16</v>
      </c>
    </row>
    <row r="623" spans="3:48" x14ac:dyDescent="0.25">
      <c r="C623" s="7">
        <v>3.1065500000000003E-14</v>
      </c>
      <c r="D623" s="5">
        <v>3.3248799999999999E-13</v>
      </c>
      <c r="E623" s="5">
        <v>3.3373600000000001E-13</v>
      </c>
      <c r="F623" s="30">
        <v>3.46337E-13</v>
      </c>
      <c r="I623" s="5">
        <v>9.1075499999999995E-15</v>
      </c>
      <c r="J623" s="5">
        <v>2.61998E-15</v>
      </c>
      <c r="K623" s="5">
        <v>2.61998E-15</v>
      </c>
      <c r="L623" s="8">
        <v>1.3723700000000001E-15</v>
      </c>
      <c r="O623" s="5">
        <v>1.7466500000000001E-15</v>
      </c>
      <c r="P623" s="5">
        <v>2.2457000000000002E-15</v>
      </c>
      <c r="Q623" s="5">
        <v>1.7466500000000001E-15</v>
      </c>
      <c r="R623" s="8">
        <v>1.4971299999999999E-15</v>
      </c>
      <c r="U623" s="5">
        <v>5.3647200000000001E-15</v>
      </c>
      <c r="V623" s="5">
        <v>4.9904399999999999E-16</v>
      </c>
      <c r="W623" s="5">
        <v>4.9904399999999999E-16</v>
      </c>
      <c r="X623" s="36">
        <v>2.4952199999999999E-16</v>
      </c>
      <c r="AA623" s="5"/>
      <c r="AB623" s="5">
        <v>2.4952199999999999E-16</v>
      </c>
      <c r="AC623" s="5">
        <v>4.9904500000000001E-16</v>
      </c>
      <c r="AD623" s="8">
        <v>2.4952199999999999E-16</v>
      </c>
      <c r="AG623" s="5"/>
      <c r="AH623" s="5"/>
      <c r="AM623" s="5"/>
      <c r="AS623" s="5">
        <v>4.9904399999999999E-16</v>
      </c>
      <c r="AT623" s="4">
        <v>3.7428299999999999E-16</v>
      </c>
      <c r="AU623" s="4">
        <v>1.4971299999999999E-15</v>
      </c>
      <c r="AV623" s="4">
        <v>6.2380499999999999E-16</v>
      </c>
    </row>
    <row r="624" spans="3:48" x14ac:dyDescent="0.25">
      <c r="C624" s="7">
        <v>3.1065500000000003E-14</v>
      </c>
      <c r="D624" s="5">
        <v>3.3223899999999998E-13</v>
      </c>
      <c r="E624" s="5">
        <v>3.3348599999999999E-13</v>
      </c>
      <c r="F624" s="30">
        <v>3.4508899999999997E-13</v>
      </c>
      <c r="I624" s="5">
        <v>9.1075499999999995E-15</v>
      </c>
      <c r="J624" s="5">
        <v>2.3704599999999999E-15</v>
      </c>
      <c r="K624" s="5">
        <v>2.4952199999999999E-15</v>
      </c>
      <c r="L624" s="8">
        <v>1.3723700000000001E-15</v>
      </c>
      <c r="O624" s="5">
        <v>1.7466500000000001E-15</v>
      </c>
      <c r="P624" s="5">
        <v>2.1209400000000001E-15</v>
      </c>
      <c r="Q624" s="5">
        <v>1.62189E-15</v>
      </c>
      <c r="R624" s="8">
        <v>1.24761E-15</v>
      </c>
      <c r="U624" s="5">
        <v>5.3647200000000001E-15</v>
      </c>
      <c r="V624" s="5">
        <v>3.7428299999999999E-16</v>
      </c>
      <c r="W624" s="5">
        <v>4.9904399999999999E-16</v>
      </c>
      <c r="X624" s="36">
        <v>2.4952199999999999E-16</v>
      </c>
      <c r="AA624" s="5"/>
      <c r="AB624" s="5">
        <v>2.4952199999999999E-16</v>
      </c>
      <c r="AC624" s="5">
        <v>4.9904500000000001E-16</v>
      </c>
      <c r="AD624" s="8">
        <v>2.4952199999999999E-16</v>
      </c>
      <c r="AG624" s="5"/>
      <c r="AH624" s="5"/>
      <c r="AM624" s="5"/>
      <c r="AS624" s="5">
        <v>4.9904399999999999E-16</v>
      </c>
      <c r="AT624" s="4">
        <v>2.4952199999999999E-16</v>
      </c>
      <c r="AU624" s="4">
        <v>1.24761E-16</v>
      </c>
      <c r="AV624" s="4">
        <v>6.2380499999999999E-16</v>
      </c>
    </row>
    <row r="625" spans="3:48" x14ac:dyDescent="0.25">
      <c r="C625" s="7">
        <v>3.0940699999999999E-14</v>
      </c>
      <c r="D625" s="5">
        <v>3.2936900000000002E-13</v>
      </c>
      <c r="E625" s="5">
        <v>3.3348599999999999E-13</v>
      </c>
      <c r="F625" s="30">
        <v>3.4371700000000001E-13</v>
      </c>
      <c r="I625" s="5">
        <v>9.1075499999999995E-15</v>
      </c>
      <c r="J625" s="5">
        <v>2.2457000000000002E-15</v>
      </c>
      <c r="K625" s="5">
        <v>2.4952199999999999E-15</v>
      </c>
      <c r="L625" s="8">
        <v>1.24761E-15</v>
      </c>
      <c r="O625" s="5">
        <v>1.7466500000000001E-15</v>
      </c>
      <c r="P625" s="5">
        <v>1.99618E-15</v>
      </c>
      <c r="Q625" s="5">
        <v>1.62189E-15</v>
      </c>
      <c r="R625" s="8">
        <v>1.24761E-15</v>
      </c>
      <c r="U625" s="5">
        <v>5.2399600000000001E-15</v>
      </c>
      <c r="V625" s="5">
        <v>3.7428299999999999E-16</v>
      </c>
      <c r="W625" s="5">
        <v>4.9904399999999999E-16</v>
      </c>
      <c r="X625" s="36">
        <v>2.4952199999999999E-16</v>
      </c>
      <c r="AA625" s="5"/>
      <c r="AB625" s="5">
        <v>2.4952199999999999E-16</v>
      </c>
      <c r="AC625" s="5">
        <v>4.9904500000000001E-16</v>
      </c>
      <c r="AD625" s="8">
        <v>2.4952199999999999E-16</v>
      </c>
      <c r="AG625" s="5"/>
      <c r="AH625" s="5"/>
      <c r="AM625" s="5"/>
      <c r="AS625" s="5">
        <v>4.9904399999999999E-16</v>
      </c>
      <c r="AT625" s="4">
        <v>2.4952199999999999E-16</v>
      </c>
      <c r="AU625" s="4">
        <v>1.24761E-16</v>
      </c>
      <c r="AV625" s="4">
        <v>6.2380499999999999E-16</v>
      </c>
    </row>
    <row r="626" spans="3:48" x14ac:dyDescent="0.25">
      <c r="C626" s="7">
        <v>3.0940699999999999E-14</v>
      </c>
      <c r="D626" s="5">
        <v>3.2874499999999998E-13</v>
      </c>
      <c r="E626" s="5">
        <v>3.3311200000000002E-13</v>
      </c>
      <c r="F626" s="30">
        <v>3.4259399999999999E-13</v>
      </c>
      <c r="I626" s="5">
        <v>9.1075499999999995E-15</v>
      </c>
      <c r="J626" s="5">
        <v>2.2457000000000002E-15</v>
      </c>
      <c r="K626" s="5">
        <v>2.4952199999999999E-15</v>
      </c>
      <c r="L626" s="8">
        <v>1.24761E-15</v>
      </c>
      <c r="O626" s="5">
        <v>1.7466500000000001E-15</v>
      </c>
      <c r="P626" s="5">
        <v>1.99618E-15</v>
      </c>
      <c r="Q626" s="5">
        <v>1.62189E-15</v>
      </c>
      <c r="R626" s="8">
        <v>1.24761E-15</v>
      </c>
      <c r="U626" s="5">
        <v>5.2399600000000001E-15</v>
      </c>
      <c r="V626" s="5">
        <v>3.7428299999999999E-16</v>
      </c>
      <c r="W626" s="5">
        <v>4.9904399999999999E-16</v>
      </c>
      <c r="X626" s="36">
        <v>2.4952199999999999E-16</v>
      </c>
      <c r="AA626" s="5"/>
      <c r="AB626" s="5">
        <v>2.4952199999999999E-16</v>
      </c>
      <c r="AC626" s="5">
        <v>4.9904500000000001E-16</v>
      </c>
      <c r="AD626" s="8">
        <v>2.4952199999999999E-16</v>
      </c>
      <c r="AG626" s="5"/>
      <c r="AH626" s="5"/>
      <c r="AM626" s="5"/>
      <c r="AS626" s="5">
        <v>4.9904399999999999E-16</v>
      </c>
      <c r="AT626" s="4">
        <v>2.4952199999999999E-16</v>
      </c>
      <c r="AU626" s="4">
        <v>7.4856600000000002E-15</v>
      </c>
      <c r="AV626" s="4">
        <v>6.2380499999999999E-16</v>
      </c>
    </row>
    <row r="627" spans="3:48" x14ac:dyDescent="0.25">
      <c r="C627" s="7">
        <v>3.0691199999999998E-14</v>
      </c>
      <c r="D627" s="5">
        <v>3.2762200000000002E-13</v>
      </c>
      <c r="E627" s="5">
        <v>3.3298700000000001E-13</v>
      </c>
      <c r="F627" s="30">
        <v>3.4171999999999998E-13</v>
      </c>
      <c r="I627" s="5">
        <v>8.9827899999999994E-15</v>
      </c>
      <c r="J627" s="5">
        <v>2.2457000000000002E-15</v>
      </c>
      <c r="K627" s="5">
        <v>2.3704599999999999E-15</v>
      </c>
      <c r="L627" s="8">
        <v>1.24761E-15</v>
      </c>
      <c r="O627" s="5">
        <v>1.7466500000000001E-15</v>
      </c>
      <c r="P627" s="5">
        <v>1.99618E-15</v>
      </c>
      <c r="Q627" s="5">
        <v>1.62189E-15</v>
      </c>
      <c r="R627" s="8">
        <v>1.24761E-15</v>
      </c>
      <c r="U627" s="5">
        <v>5.2399600000000001E-15</v>
      </c>
      <c r="V627" s="5">
        <v>3.7428299999999999E-16</v>
      </c>
      <c r="W627" s="5">
        <v>4.9904399999999999E-16</v>
      </c>
      <c r="X627" s="36">
        <v>2.4952199999999999E-16</v>
      </c>
      <c r="AA627" s="5"/>
      <c r="AB627" s="5">
        <v>2.4952199999999999E-16</v>
      </c>
      <c r="AC627" s="5">
        <v>4.9904500000000001E-16</v>
      </c>
      <c r="AD627" s="8">
        <v>2.4952199999999999E-16</v>
      </c>
      <c r="AG627" s="5"/>
      <c r="AH627" s="5"/>
      <c r="AM627" s="5"/>
      <c r="AS627" s="5">
        <v>4.9904399999999999E-16</v>
      </c>
      <c r="AT627" s="4">
        <v>2.4952199999999999E-16</v>
      </c>
      <c r="AU627" s="4">
        <v>6.2380499999999999E-16</v>
      </c>
      <c r="AV627" s="4">
        <v>6.2380499999999999E-16</v>
      </c>
    </row>
    <row r="628" spans="3:48" x14ac:dyDescent="0.25">
      <c r="C628" s="7">
        <v>3.0566500000000002E-14</v>
      </c>
      <c r="D628" s="5">
        <v>3.21634E-13</v>
      </c>
      <c r="E628" s="5">
        <v>3.32613E-13</v>
      </c>
      <c r="F628" s="30">
        <v>3.3984899999999999E-13</v>
      </c>
      <c r="I628" s="5">
        <v>8.9827899999999994E-15</v>
      </c>
      <c r="J628" s="5">
        <v>2.1209400000000001E-15</v>
      </c>
      <c r="K628" s="5">
        <v>2.3704599999999999E-15</v>
      </c>
      <c r="L628" s="8">
        <v>1.1228500000000001E-15</v>
      </c>
      <c r="O628" s="5">
        <v>1.62189E-15</v>
      </c>
      <c r="P628" s="5">
        <v>1.99618E-15</v>
      </c>
      <c r="Q628" s="5">
        <v>1.62189E-15</v>
      </c>
      <c r="R628" s="8">
        <v>1.1228500000000001E-15</v>
      </c>
      <c r="U628" s="5">
        <v>5.1152E-15</v>
      </c>
      <c r="V628" s="5">
        <v>3.7428299999999999E-16</v>
      </c>
      <c r="W628" s="5">
        <v>4.9904399999999999E-16</v>
      </c>
      <c r="X628" s="36">
        <v>2.4952199999999999E-16</v>
      </c>
      <c r="AA628" s="5"/>
      <c r="AB628" s="5">
        <v>2.4952199999999999E-16</v>
      </c>
      <c r="AC628" s="5">
        <v>4.9904500000000001E-16</v>
      </c>
      <c r="AD628" s="8">
        <v>2.4952199999999999E-16</v>
      </c>
      <c r="AG628" s="5"/>
      <c r="AH628" s="5"/>
      <c r="AM628" s="5"/>
      <c r="AS628" s="5">
        <v>4.9904399999999999E-16</v>
      </c>
      <c r="AT628" s="4">
        <v>2.4952199999999999E-16</v>
      </c>
      <c r="AU628" s="4">
        <v>2.4952199999999999E-16</v>
      </c>
      <c r="AV628" s="4">
        <v>6.2380499999999999E-16</v>
      </c>
    </row>
    <row r="629" spans="3:48" x14ac:dyDescent="0.25">
      <c r="C629" s="7">
        <v>3.0441699999999998E-14</v>
      </c>
      <c r="D629" s="5">
        <v>3.2101000000000001E-13</v>
      </c>
      <c r="E629" s="5">
        <v>3.3124099999999998E-13</v>
      </c>
      <c r="F629" s="30">
        <v>3.37978E-13</v>
      </c>
      <c r="I629" s="5">
        <v>8.9827899999999994E-15</v>
      </c>
      <c r="J629" s="5">
        <v>2.1209400000000001E-15</v>
      </c>
      <c r="K629" s="5">
        <v>2.3704599999999999E-15</v>
      </c>
      <c r="L629" s="8">
        <v>1.1228500000000001E-15</v>
      </c>
      <c r="O629" s="5">
        <v>1.62189E-15</v>
      </c>
      <c r="P629" s="5">
        <v>1.99618E-15</v>
      </c>
      <c r="Q629" s="5">
        <v>1.4971299999999999E-15</v>
      </c>
      <c r="R629" s="8">
        <v>1.1228500000000001E-15</v>
      </c>
      <c r="U629" s="5">
        <v>5.1152E-15</v>
      </c>
      <c r="V629" s="5">
        <v>3.7428299999999999E-16</v>
      </c>
      <c r="W629" s="5">
        <v>4.9904399999999999E-16</v>
      </c>
      <c r="X629" s="36">
        <v>2.4952199999999999E-16</v>
      </c>
      <c r="AA629" s="5"/>
      <c r="AB629" s="5">
        <v>2.4952199999999999E-16</v>
      </c>
      <c r="AC629" s="5">
        <v>4.9904500000000001E-16</v>
      </c>
      <c r="AD629" s="8">
        <v>2.4952199999999999E-16</v>
      </c>
      <c r="AG629" s="5"/>
      <c r="AH629" s="5"/>
      <c r="AM629" s="5"/>
      <c r="AS629" s="5">
        <v>4.9904399999999999E-16</v>
      </c>
      <c r="AT629" s="4">
        <v>2.4952199999999999E-16</v>
      </c>
      <c r="AU629" s="4">
        <v>2.9942599999999999E-15</v>
      </c>
      <c r="AV629" s="4">
        <v>6.2380499999999999E-16</v>
      </c>
    </row>
    <row r="630" spans="3:48" x14ac:dyDescent="0.25">
      <c r="C630" s="7">
        <v>3.0441699999999998E-14</v>
      </c>
      <c r="D630" s="5">
        <v>3.2101000000000001E-13</v>
      </c>
      <c r="E630" s="5">
        <v>3.3099100000000001E-13</v>
      </c>
      <c r="F630" s="30">
        <v>3.37978E-13</v>
      </c>
      <c r="I630" s="5">
        <v>8.9827899999999994E-15</v>
      </c>
      <c r="J630" s="5">
        <v>2.1209400000000001E-15</v>
      </c>
      <c r="K630" s="5">
        <v>2.2457000000000002E-15</v>
      </c>
      <c r="L630" s="8">
        <v>1.1228500000000001E-15</v>
      </c>
      <c r="O630" s="5">
        <v>1.62189E-15</v>
      </c>
      <c r="P630" s="5">
        <v>1.99618E-15</v>
      </c>
      <c r="Q630" s="5">
        <v>1.4971299999999999E-15</v>
      </c>
      <c r="R630" s="8">
        <v>1.1228500000000001E-15</v>
      </c>
      <c r="U630" s="5">
        <v>5.1152E-15</v>
      </c>
      <c r="V630" s="5">
        <v>3.7428299999999999E-16</v>
      </c>
      <c r="W630" s="5">
        <v>4.9904399999999999E-16</v>
      </c>
      <c r="X630" s="36">
        <v>1.24761E-16</v>
      </c>
      <c r="AA630" s="5"/>
      <c r="AB630" s="5">
        <v>2.4952199999999999E-16</v>
      </c>
      <c r="AC630" s="5">
        <v>4.9904500000000001E-16</v>
      </c>
      <c r="AD630" s="8">
        <v>2.4952199999999999E-16</v>
      </c>
      <c r="AG630" s="5"/>
      <c r="AH630" s="5"/>
      <c r="AM630" s="5"/>
      <c r="AS630" s="5">
        <v>4.9904399999999999E-16</v>
      </c>
      <c r="AT630" s="4">
        <v>2.4952199999999999E-16</v>
      </c>
      <c r="AU630" s="4">
        <v>1.1228500000000001E-15</v>
      </c>
      <c r="AV630" s="4">
        <v>6.2380499999999999E-16</v>
      </c>
    </row>
    <row r="631" spans="3:48" x14ac:dyDescent="0.25">
      <c r="C631" s="7">
        <v>3.0192199999999997E-14</v>
      </c>
      <c r="D631" s="5">
        <v>3.17018E-13</v>
      </c>
      <c r="E631" s="5">
        <v>3.2974299999999998E-13</v>
      </c>
      <c r="F631" s="30">
        <v>3.3785299999999998E-13</v>
      </c>
      <c r="I631" s="5">
        <v>8.9827899999999994E-15</v>
      </c>
      <c r="J631" s="5">
        <v>2.1209400000000001E-15</v>
      </c>
      <c r="K631" s="5">
        <v>2.2457000000000002E-15</v>
      </c>
      <c r="L631" s="8">
        <v>1.1228500000000001E-15</v>
      </c>
      <c r="O631" s="5">
        <v>1.62189E-15</v>
      </c>
      <c r="P631" s="5">
        <v>1.8714199999999999E-15</v>
      </c>
      <c r="Q631" s="5">
        <v>1.4971299999999999E-15</v>
      </c>
      <c r="R631" s="8">
        <v>1.1228500000000001E-15</v>
      </c>
      <c r="U631" s="5">
        <v>5.1152E-15</v>
      </c>
      <c r="V631" s="5">
        <v>3.7428299999999999E-16</v>
      </c>
      <c r="W631" s="5">
        <v>4.9904399999999999E-16</v>
      </c>
      <c r="X631" s="36">
        <v>1.24761E-16</v>
      </c>
      <c r="AA631" s="5"/>
      <c r="AB631" s="5">
        <v>2.4952199999999999E-16</v>
      </c>
      <c r="AC631" s="5">
        <v>4.9904500000000001E-16</v>
      </c>
      <c r="AD631" s="8">
        <v>2.4952199999999999E-16</v>
      </c>
      <c r="AG631" s="5"/>
      <c r="AH631" s="5"/>
      <c r="AM631" s="5"/>
      <c r="AS631" s="5">
        <v>4.9904399999999999E-16</v>
      </c>
      <c r="AT631" s="4">
        <v>2.4952199999999999E-16</v>
      </c>
      <c r="AU631" s="4">
        <v>2.4952199999999999E-16</v>
      </c>
      <c r="AV631" s="4">
        <v>6.2380499999999999E-16</v>
      </c>
    </row>
    <row r="632" spans="3:48" x14ac:dyDescent="0.25">
      <c r="C632" s="7">
        <v>3.0067399999999999E-14</v>
      </c>
      <c r="D632" s="5">
        <v>3.1689299999999999E-13</v>
      </c>
      <c r="E632" s="5">
        <v>3.2949399999999998E-13</v>
      </c>
      <c r="F632" s="30">
        <v>3.3485899999999998E-13</v>
      </c>
      <c r="I632" s="5">
        <v>8.9827899999999994E-15</v>
      </c>
      <c r="J632" s="5">
        <v>2.1209400000000001E-15</v>
      </c>
      <c r="K632" s="5">
        <v>2.2457000000000002E-15</v>
      </c>
      <c r="L632" s="8">
        <v>1.1228500000000001E-15</v>
      </c>
      <c r="O632" s="5">
        <v>1.62189E-15</v>
      </c>
      <c r="P632" s="5">
        <v>1.8714199999999999E-15</v>
      </c>
      <c r="Q632" s="5">
        <v>1.4971299999999999E-15</v>
      </c>
      <c r="R632" s="8">
        <v>1.1228500000000001E-15</v>
      </c>
      <c r="U632" s="5">
        <v>5.1152E-15</v>
      </c>
      <c r="V632" s="5">
        <v>2.4952199999999999E-16</v>
      </c>
      <c r="W632" s="5">
        <v>4.9904399999999999E-16</v>
      </c>
      <c r="X632" s="36">
        <v>1.24761E-16</v>
      </c>
      <c r="AA632" s="5"/>
      <c r="AB632" s="5">
        <v>2.4952199999999999E-16</v>
      </c>
      <c r="AC632" s="5">
        <v>4.9904500000000001E-16</v>
      </c>
      <c r="AD632" s="8">
        <v>2.4952199999999999E-16</v>
      </c>
      <c r="AG632" s="5"/>
      <c r="AH632" s="5"/>
      <c r="AM632" s="5"/>
      <c r="AS632" s="5">
        <v>4.9904399999999999E-16</v>
      </c>
      <c r="AT632" s="4">
        <v>2.4952199999999999E-16</v>
      </c>
      <c r="AU632" s="4">
        <v>2.2457000000000002E-15</v>
      </c>
      <c r="AV632" s="4">
        <v>6.2380499999999999E-16</v>
      </c>
    </row>
    <row r="633" spans="3:48" x14ac:dyDescent="0.25">
      <c r="C633" s="7">
        <v>3.0067399999999999E-14</v>
      </c>
      <c r="D633" s="5">
        <v>3.15022E-13</v>
      </c>
      <c r="E633" s="5">
        <v>3.26001E-13</v>
      </c>
      <c r="F633" s="8">
        <v>3.3336099999999998E-13</v>
      </c>
      <c r="I633" s="5">
        <v>8.9827899999999994E-15</v>
      </c>
      <c r="J633" s="5">
        <v>1.99618E-15</v>
      </c>
      <c r="K633" s="5">
        <v>2.2457000000000002E-15</v>
      </c>
      <c r="L633" s="8">
        <v>9.9808799999999998E-16</v>
      </c>
      <c r="O633" s="5">
        <v>1.62189E-15</v>
      </c>
      <c r="P633" s="5">
        <v>1.7466500000000001E-15</v>
      </c>
      <c r="Q633" s="5">
        <v>1.3723700000000001E-15</v>
      </c>
      <c r="R633" s="8">
        <v>1.1228500000000001E-15</v>
      </c>
      <c r="U633" s="5">
        <v>5.1152E-15</v>
      </c>
      <c r="V633" s="5">
        <v>2.4952199999999999E-16</v>
      </c>
      <c r="W633" s="5">
        <v>4.9904399999999999E-16</v>
      </c>
      <c r="X633" s="36">
        <v>1.24761E-16</v>
      </c>
      <c r="AA633" s="5"/>
      <c r="AB633" s="5">
        <v>2.4952199999999999E-16</v>
      </c>
      <c r="AC633" s="5">
        <v>4.9904500000000001E-16</v>
      </c>
      <c r="AD633" s="8">
        <v>2.4952199999999999E-16</v>
      </c>
      <c r="AG633" s="5"/>
      <c r="AH633" s="5"/>
      <c r="AM633" s="5"/>
      <c r="AS633" s="5">
        <v>4.9904399999999999E-16</v>
      </c>
      <c r="AT633" s="4">
        <v>2.4952199999999999E-16</v>
      </c>
      <c r="AU633" s="4">
        <v>2.4952199999999999E-16</v>
      </c>
      <c r="AV633" s="4">
        <v>6.2380499999999999E-16</v>
      </c>
    </row>
    <row r="634" spans="3:48" x14ac:dyDescent="0.25">
      <c r="C634" s="7">
        <v>3.0067399999999999E-14</v>
      </c>
      <c r="D634" s="5">
        <v>3.1477200000000002E-13</v>
      </c>
      <c r="E634" s="5">
        <v>3.2587599999999998E-13</v>
      </c>
      <c r="F634" s="8">
        <v>3.31615E-13</v>
      </c>
      <c r="I634" s="5">
        <v>8.8580299999999993E-15</v>
      </c>
      <c r="J634" s="5">
        <v>1.8714100000000002E-15</v>
      </c>
      <c r="K634" s="5">
        <v>2.1209400000000001E-15</v>
      </c>
      <c r="L634" s="8">
        <v>9.9808799999999998E-16</v>
      </c>
      <c r="O634" s="5">
        <v>1.4971299999999999E-15</v>
      </c>
      <c r="P634" s="5">
        <v>1.7466500000000001E-15</v>
      </c>
      <c r="Q634" s="5">
        <v>1.3723700000000001E-15</v>
      </c>
      <c r="R634" s="8">
        <v>1.1228500000000001E-15</v>
      </c>
      <c r="U634" s="5">
        <v>5.1152E-15</v>
      </c>
      <c r="V634" s="5">
        <v>2.4952199999999999E-16</v>
      </c>
      <c r="W634" s="5">
        <v>4.9904399999999999E-16</v>
      </c>
      <c r="X634" s="36">
        <v>1.24761E-16</v>
      </c>
      <c r="AA634" s="5"/>
      <c r="AB634" s="5">
        <v>2.4952199999999999E-16</v>
      </c>
      <c r="AC634" s="5">
        <v>4.9904500000000001E-16</v>
      </c>
      <c r="AD634" s="8">
        <v>2.4952199999999999E-16</v>
      </c>
      <c r="AG634" s="5"/>
      <c r="AH634" s="5"/>
      <c r="AM634" s="5"/>
      <c r="AS634" s="5">
        <v>4.9904399999999999E-16</v>
      </c>
      <c r="AT634" s="4">
        <v>2.4952199999999999E-16</v>
      </c>
      <c r="AU634" s="4">
        <v>1.1228500000000001E-15</v>
      </c>
      <c r="AV634" s="4">
        <v>6.2380499999999999E-16</v>
      </c>
    </row>
    <row r="635" spans="3:48" x14ac:dyDescent="0.25">
      <c r="C635" s="7">
        <v>2.9942600000000002E-14</v>
      </c>
      <c r="D635" s="5">
        <v>3.1439800000000001E-13</v>
      </c>
      <c r="E635" s="5">
        <v>3.2512699999999998E-13</v>
      </c>
      <c r="F635" s="8">
        <v>3.3049199999999998E-13</v>
      </c>
      <c r="I635" s="5">
        <v>8.8580299999999993E-15</v>
      </c>
      <c r="J635" s="5">
        <v>1.8714100000000002E-15</v>
      </c>
      <c r="K635" s="5">
        <v>2.1209400000000001E-15</v>
      </c>
      <c r="L635" s="8">
        <v>9.9808799999999998E-16</v>
      </c>
      <c r="O635" s="5">
        <v>1.4971299999999999E-15</v>
      </c>
      <c r="P635" s="5">
        <v>1.4971299999999999E-15</v>
      </c>
      <c r="Q635" s="5">
        <v>1.3723700000000001E-15</v>
      </c>
      <c r="R635" s="8">
        <v>9.9808799999999998E-16</v>
      </c>
      <c r="U635" s="5">
        <v>5.1152E-15</v>
      </c>
      <c r="V635" s="5">
        <v>2.4952199999999999E-16</v>
      </c>
      <c r="W635" s="5">
        <v>3.7428299999999999E-16</v>
      </c>
      <c r="X635" s="36">
        <v>1.24761E-16</v>
      </c>
      <c r="AA635" s="5"/>
      <c r="AB635" s="5">
        <v>2.4952199999999999E-16</v>
      </c>
      <c r="AC635" s="5">
        <v>4.9904500000000001E-16</v>
      </c>
      <c r="AD635" s="8">
        <v>2.4952199999999999E-16</v>
      </c>
      <c r="AG635" s="5"/>
      <c r="AH635" s="5"/>
      <c r="AM635" s="5"/>
      <c r="AS635" s="5">
        <v>4.9904399999999999E-16</v>
      </c>
      <c r="AT635" s="4">
        <v>2.4952199999999999E-16</v>
      </c>
      <c r="AU635" s="4">
        <v>6.2380499999999999E-16</v>
      </c>
      <c r="AV635" s="4">
        <v>6.2380499999999999E-16</v>
      </c>
    </row>
    <row r="636" spans="3:48" x14ac:dyDescent="0.25">
      <c r="C636" s="7">
        <v>2.9817899999999999E-14</v>
      </c>
      <c r="D636" s="5">
        <v>3.1302500000000002E-13</v>
      </c>
      <c r="E636" s="5">
        <v>3.2412899999999998E-13</v>
      </c>
      <c r="F636" s="8">
        <v>3.3024200000000001E-13</v>
      </c>
      <c r="I636" s="5">
        <v>8.8580299999999993E-15</v>
      </c>
      <c r="J636" s="5">
        <v>1.8714100000000002E-15</v>
      </c>
      <c r="K636" s="5">
        <v>2.1209400000000001E-15</v>
      </c>
      <c r="L636" s="8">
        <v>9.9808799999999998E-16</v>
      </c>
      <c r="O636" s="5">
        <v>1.3723700000000001E-15</v>
      </c>
      <c r="P636" s="5">
        <v>1.4971299999999999E-15</v>
      </c>
      <c r="Q636" s="5">
        <v>1.3723700000000001E-15</v>
      </c>
      <c r="R636" s="8">
        <v>9.9808799999999998E-16</v>
      </c>
      <c r="U636" s="5">
        <v>5.1152E-15</v>
      </c>
      <c r="V636" s="5">
        <v>2.4952199999999999E-16</v>
      </c>
      <c r="W636" s="5">
        <v>3.7428299999999999E-16</v>
      </c>
      <c r="X636" s="36">
        <v>1.24761E-16</v>
      </c>
      <c r="AA636" s="5"/>
      <c r="AB636" s="5">
        <v>2.4952199999999999E-16</v>
      </c>
      <c r="AC636" s="5">
        <v>4.9904500000000001E-16</v>
      </c>
      <c r="AD636" s="8">
        <v>2.4952199999999999E-16</v>
      </c>
      <c r="AG636" s="5"/>
      <c r="AH636" s="5"/>
      <c r="AM636" s="5"/>
      <c r="AS636" s="5">
        <v>4.9904399999999999E-16</v>
      </c>
      <c r="AT636" s="4">
        <v>2.4952199999999999E-16</v>
      </c>
      <c r="AU636" s="4">
        <v>1.24761E-16</v>
      </c>
      <c r="AV636" s="4">
        <v>6.2380499999999999E-16</v>
      </c>
    </row>
    <row r="637" spans="3:48" x14ac:dyDescent="0.25">
      <c r="C637" s="7">
        <v>2.9817899999999999E-14</v>
      </c>
      <c r="D637" s="5">
        <v>3.1190299999999998E-13</v>
      </c>
      <c r="E637" s="5">
        <v>3.2313099999999998E-13</v>
      </c>
      <c r="F637" s="8">
        <v>3.2949399999999998E-13</v>
      </c>
      <c r="I637" s="5">
        <v>8.8580299999999993E-15</v>
      </c>
      <c r="J637" s="5">
        <v>1.8714100000000002E-15</v>
      </c>
      <c r="K637" s="5">
        <v>1.99618E-15</v>
      </c>
      <c r="L637" s="8">
        <v>9.9808799999999998E-16</v>
      </c>
      <c r="O637" s="5">
        <v>1.3723700000000001E-15</v>
      </c>
      <c r="P637" s="5">
        <v>1.4971299999999999E-15</v>
      </c>
      <c r="Q637" s="5">
        <v>1.3723700000000001E-15</v>
      </c>
      <c r="R637" s="8">
        <v>9.9808799999999998E-16</v>
      </c>
      <c r="U637" s="5">
        <v>4.9904399999999999E-15</v>
      </c>
      <c r="V637" s="5">
        <v>2.4952199999999999E-16</v>
      </c>
      <c r="W637" s="5">
        <v>3.7428299999999999E-16</v>
      </c>
      <c r="X637" s="36">
        <v>1.24761E-16</v>
      </c>
      <c r="AA637" s="5"/>
      <c r="AB637" s="5">
        <v>2.4952199999999999E-16</v>
      </c>
      <c r="AC637" s="5">
        <v>4.9904500000000001E-16</v>
      </c>
      <c r="AD637" s="8">
        <v>2.4952199999999999E-16</v>
      </c>
      <c r="AG637" s="5"/>
      <c r="AH637" s="5"/>
      <c r="AM637" s="5"/>
      <c r="AS637" s="5">
        <v>4.9904399999999999E-16</v>
      </c>
      <c r="AT637" s="4">
        <v>2.4952199999999999E-16</v>
      </c>
      <c r="AU637" s="4">
        <v>7.1737599999999996E-14</v>
      </c>
      <c r="AV637" s="4">
        <v>6.2380499999999999E-16</v>
      </c>
    </row>
    <row r="638" spans="3:48" x14ac:dyDescent="0.25">
      <c r="C638" s="7">
        <v>2.9443600000000001E-14</v>
      </c>
      <c r="D638" s="5">
        <v>3.0978200000000001E-13</v>
      </c>
      <c r="E638" s="5">
        <v>3.2250699999999999E-13</v>
      </c>
      <c r="F638" s="8">
        <v>3.26999E-13</v>
      </c>
      <c r="I638" s="5">
        <v>8.7332699999999992E-15</v>
      </c>
      <c r="J638" s="5">
        <v>1.7466500000000001E-15</v>
      </c>
      <c r="K638" s="5">
        <v>1.99618E-15</v>
      </c>
      <c r="L638" s="8">
        <v>9.9808799999999998E-16</v>
      </c>
      <c r="O638" s="5">
        <v>1.3723700000000001E-15</v>
      </c>
      <c r="P638" s="5">
        <v>1.4971299999999999E-15</v>
      </c>
      <c r="Q638" s="5">
        <v>1.3723700000000001E-15</v>
      </c>
      <c r="R638" s="8">
        <v>9.9808799999999998E-16</v>
      </c>
      <c r="U638" s="5">
        <v>4.9904399999999999E-15</v>
      </c>
      <c r="V638" s="5">
        <v>2.4952199999999999E-16</v>
      </c>
      <c r="W638" s="5">
        <v>3.7428299999999999E-16</v>
      </c>
      <c r="X638" s="36">
        <v>1.24761E-16</v>
      </c>
      <c r="AA638" s="5"/>
      <c r="AB638" s="5">
        <v>2.4952199999999999E-16</v>
      </c>
      <c r="AC638" s="5">
        <v>4.9904500000000001E-16</v>
      </c>
      <c r="AD638" s="8">
        <v>2.4952199999999999E-16</v>
      </c>
      <c r="AG638" s="5"/>
      <c r="AH638" s="5"/>
      <c r="AM638" s="5"/>
      <c r="AS638" s="5">
        <v>4.9904399999999999E-16</v>
      </c>
      <c r="AT638" s="4">
        <v>2.4952199999999999E-16</v>
      </c>
      <c r="AU638" s="4">
        <v>3.8301600000000001E-14</v>
      </c>
      <c r="AV638" s="4">
        <v>6.2380499999999999E-16</v>
      </c>
    </row>
    <row r="639" spans="3:48" x14ac:dyDescent="0.25">
      <c r="C639" s="7">
        <v>2.9443600000000001E-14</v>
      </c>
      <c r="D639" s="5">
        <v>3.0953199999999999E-13</v>
      </c>
      <c r="E639" s="5">
        <v>3.2138399999999998E-13</v>
      </c>
      <c r="F639" s="8">
        <v>3.26999E-13</v>
      </c>
      <c r="I639" s="5">
        <v>8.7332699999999992E-15</v>
      </c>
      <c r="J639" s="5">
        <v>1.7466500000000001E-15</v>
      </c>
      <c r="K639" s="5">
        <v>1.99618E-15</v>
      </c>
      <c r="L639" s="8">
        <v>8.7332699999999998E-16</v>
      </c>
      <c r="O639" s="5">
        <v>1.3723700000000001E-15</v>
      </c>
      <c r="P639" s="5">
        <v>1.3723700000000001E-15</v>
      </c>
      <c r="Q639" s="5">
        <v>1.3723700000000001E-15</v>
      </c>
      <c r="R639" s="8">
        <v>9.9808799999999998E-16</v>
      </c>
      <c r="U639" s="5">
        <v>4.9904399999999999E-15</v>
      </c>
      <c r="V639" s="5">
        <v>2.4952199999999999E-16</v>
      </c>
      <c r="W639" s="5">
        <v>3.7428299999999999E-16</v>
      </c>
      <c r="X639" s="36">
        <v>1.24761E-16</v>
      </c>
      <c r="AA639" s="5"/>
      <c r="AB639" s="5">
        <v>2.4952199999999999E-16</v>
      </c>
      <c r="AC639" s="5">
        <v>4.9904500000000001E-16</v>
      </c>
      <c r="AD639" s="8">
        <v>2.4952199999999999E-16</v>
      </c>
      <c r="AG639" s="5"/>
      <c r="AH639" s="5"/>
      <c r="AM639" s="5"/>
      <c r="AS639" s="5">
        <v>4.9904399999999999E-16</v>
      </c>
      <c r="AT639" s="4">
        <v>2.4952199999999999E-16</v>
      </c>
      <c r="AU639" s="4">
        <v>3.7428299999999999E-16</v>
      </c>
      <c r="AV639" s="4">
        <v>6.2380499999999999E-16</v>
      </c>
    </row>
    <row r="640" spans="3:48" x14ac:dyDescent="0.25">
      <c r="C640" s="7">
        <v>2.9318800000000003E-14</v>
      </c>
      <c r="D640" s="5">
        <v>3.0953199999999999E-13</v>
      </c>
      <c r="E640" s="5">
        <v>3.2013700000000002E-13</v>
      </c>
      <c r="F640" s="8">
        <v>3.26999E-13</v>
      </c>
      <c r="I640" s="5">
        <v>8.7332699999999992E-15</v>
      </c>
      <c r="J640" s="5">
        <v>1.7466500000000001E-15</v>
      </c>
      <c r="K640" s="5">
        <v>1.8714100000000002E-15</v>
      </c>
      <c r="L640" s="8">
        <v>8.7332699999999998E-16</v>
      </c>
      <c r="O640" s="5">
        <v>1.3723700000000001E-15</v>
      </c>
      <c r="P640" s="5">
        <v>1.3723700000000001E-15</v>
      </c>
      <c r="Q640" s="5">
        <v>1.24761E-15</v>
      </c>
      <c r="R640" s="8">
        <v>9.9808799999999998E-16</v>
      </c>
      <c r="U640" s="5">
        <v>4.9904399999999999E-15</v>
      </c>
      <c r="V640" s="5">
        <v>2.4952199999999999E-16</v>
      </c>
      <c r="W640" s="5">
        <v>3.7428299999999999E-16</v>
      </c>
      <c r="X640" s="36">
        <v>1.24761E-16</v>
      </c>
      <c r="AA640" s="5"/>
      <c r="AB640" s="5">
        <v>2.4952199999999999E-16</v>
      </c>
      <c r="AC640" s="5">
        <v>4.9904500000000001E-16</v>
      </c>
      <c r="AD640" s="8">
        <v>2.4952199999999999E-16</v>
      </c>
      <c r="AG640" s="5"/>
      <c r="AH640" s="5"/>
      <c r="AM640" s="5"/>
      <c r="AS640" s="5">
        <v>4.9904399999999999E-16</v>
      </c>
      <c r="AT640" s="4">
        <v>2.4952199999999999E-16</v>
      </c>
      <c r="AU640" s="4">
        <v>2.4952199999999999E-16</v>
      </c>
      <c r="AV640" s="4">
        <v>6.2380499999999999E-16</v>
      </c>
    </row>
    <row r="641" spans="3:48" x14ac:dyDescent="0.25">
      <c r="C641" s="7">
        <v>2.9318800000000003E-14</v>
      </c>
      <c r="D641" s="5">
        <v>3.0716200000000002E-13</v>
      </c>
      <c r="E641" s="5">
        <v>3.1926300000000001E-13</v>
      </c>
      <c r="F641" s="8">
        <v>3.2587599999999998E-13</v>
      </c>
      <c r="I641" s="5">
        <v>8.7332699999999992E-15</v>
      </c>
      <c r="J641" s="5">
        <v>1.62189E-15</v>
      </c>
      <c r="K641" s="5">
        <v>1.8714100000000002E-15</v>
      </c>
      <c r="L641" s="8">
        <v>8.7332699999999998E-16</v>
      </c>
      <c r="O641" s="5">
        <v>1.3723700000000001E-15</v>
      </c>
      <c r="P641" s="5">
        <v>1.3723700000000001E-15</v>
      </c>
      <c r="Q641" s="5">
        <v>1.24761E-15</v>
      </c>
      <c r="R641" s="8">
        <v>9.9808799999999998E-16</v>
      </c>
      <c r="U641" s="5">
        <v>4.9904399999999999E-15</v>
      </c>
      <c r="V641" s="5">
        <v>2.4952199999999999E-16</v>
      </c>
      <c r="W641" s="5">
        <v>3.7428299999999999E-16</v>
      </c>
      <c r="X641" s="36">
        <v>1.24761E-16</v>
      </c>
      <c r="AA641" s="5"/>
      <c r="AB641" s="5">
        <v>2.4952199999999999E-16</v>
      </c>
      <c r="AC641" s="5">
        <v>4.9904500000000001E-16</v>
      </c>
      <c r="AD641" s="8">
        <v>2.4952199999999999E-16</v>
      </c>
      <c r="AG641" s="5"/>
      <c r="AH641" s="5"/>
      <c r="AM641" s="5"/>
      <c r="AS641" s="5">
        <v>4.9904399999999999E-16</v>
      </c>
      <c r="AT641" s="4">
        <v>2.4952199999999999E-16</v>
      </c>
      <c r="AU641" s="4">
        <v>6.5998599999999996E-14</v>
      </c>
      <c r="AV641" s="4">
        <v>6.2380499999999999E-16</v>
      </c>
    </row>
    <row r="642" spans="3:48" x14ac:dyDescent="0.25">
      <c r="C642" s="7">
        <v>2.91941E-14</v>
      </c>
      <c r="D642" s="5">
        <v>3.0703700000000001E-13</v>
      </c>
      <c r="E642" s="5">
        <v>3.1926300000000001E-13</v>
      </c>
      <c r="F642" s="8">
        <v>3.2462800000000001E-13</v>
      </c>
      <c r="I642" s="5">
        <v>8.7332699999999992E-15</v>
      </c>
      <c r="J642" s="5">
        <v>1.62189E-15</v>
      </c>
      <c r="K642" s="5">
        <v>1.8714100000000002E-15</v>
      </c>
      <c r="L642" s="8">
        <v>8.7332699999999998E-16</v>
      </c>
      <c r="O642" s="5">
        <v>1.3723700000000001E-15</v>
      </c>
      <c r="P642" s="5">
        <v>1.3723700000000001E-15</v>
      </c>
      <c r="Q642" s="5">
        <v>1.24761E-15</v>
      </c>
      <c r="R642" s="8">
        <v>8.7332699999999998E-16</v>
      </c>
      <c r="U642" s="5">
        <v>4.9904399999999999E-15</v>
      </c>
      <c r="V642" s="5">
        <v>2.4952199999999999E-16</v>
      </c>
      <c r="W642" s="5">
        <v>3.7428299999999999E-16</v>
      </c>
      <c r="X642" s="36">
        <v>1.24761E-16</v>
      </c>
      <c r="AA642" s="5"/>
      <c r="AB642" s="5">
        <v>2.4952199999999999E-16</v>
      </c>
      <c r="AC642" s="5">
        <v>4.9904500000000001E-16</v>
      </c>
      <c r="AD642" s="8">
        <v>2.4952199999999999E-16</v>
      </c>
      <c r="AG642" s="5"/>
      <c r="AH642" s="5"/>
      <c r="AM642" s="5"/>
      <c r="AS642" s="5">
        <v>4.9904399999999999E-16</v>
      </c>
      <c r="AT642" s="4">
        <v>2.4952199999999999E-16</v>
      </c>
      <c r="AU642" s="4">
        <v>1.4222799999999999E-14</v>
      </c>
      <c r="AV642" s="4">
        <v>6.2380499999999999E-16</v>
      </c>
    </row>
    <row r="643" spans="3:48" x14ac:dyDescent="0.25">
      <c r="C643" s="7">
        <v>2.9069300000000002E-14</v>
      </c>
      <c r="D643" s="5">
        <v>3.06039E-13</v>
      </c>
      <c r="E643" s="5">
        <v>3.1839000000000002E-13</v>
      </c>
      <c r="F643" s="8">
        <v>3.22632E-13</v>
      </c>
      <c r="I643" s="5">
        <v>8.7332699999999992E-15</v>
      </c>
      <c r="J643" s="5">
        <v>1.4971299999999999E-15</v>
      </c>
      <c r="K643" s="5">
        <v>1.8714100000000002E-15</v>
      </c>
      <c r="L643" s="8">
        <v>8.7332699999999998E-16</v>
      </c>
      <c r="O643" s="5">
        <v>1.3723700000000001E-15</v>
      </c>
      <c r="P643" s="5">
        <v>1.24761E-15</v>
      </c>
      <c r="Q643" s="5">
        <v>1.1228500000000001E-15</v>
      </c>
      <c r="R643" s="8">
        <v>8.7332699999999998E-16</v>
      </c>
      <c r="U643" s="5">
        <v>4.9904399999999999E-15</v>
      </c>
      <c r="V643" s="5">
        <v>2.4952199999999999E-16</v>
      </c>
      <c r="W643" s="5">
        <v>3.7428299999999999E-16</v>
      </c>
      <c r="X643" s="36">
        <v>1.24761E-16</v>
      </c>
      <c r="AA643" s="5"/>
      <c r="AB643" s="5">
        <v>2.4952199999999999E-16</v>
      </c>
      <c r="AC643" s="5">
        <v>4.9904500000000001E-16</v>
      </c>
      <c r="AD643" s="8">
        <v>2.4952199999999999E-16</v>
      </c>
      <c r="AG643" s="5"/>
      <c r="AH643" s="5"/>
      <c r="AM643" s="5"/>
      <c r="AS643" s="5">
        <v>4.9904399999999999E-16</v>
      </c>
      <c r="AT643" s="4">
        <v>2.4952199999999999E-16</v>
      </c>
      <c r="AU643" s="4">
        <v>2.4952199999999999E-16</v>
      </c>
      <c r="AV643" s="4">
        <v>6.2380499999999999E-16</v>
      </c>
    </row>
    <row r="644" spans="3:48" x14ac:dyDescent="0.25">
      <c r="C644" s="7">
        <v>2.8944599999999999E-14</v>
      </c>
      <c r="D644" s="5">
        <v>3.0516499999999999E-13</v>
      </c>
      <c r="E644" s="5">
        <v>3.1839000000000002E-13</v>
      </c>
      <c r="F644" s="8">
        <v>3.21883E-13</v>
      </c>
      <c r="I644" s="5">
        <v>8.7332699999999992E-15</v>
      </c>
      <c r="J644" s="5">
        <v>1.4971299999999999E-15</v>
      </c>
      <c r="K644" s="5">
        <v>1.8714100000000002E-15</v>
      </c>
      <c r="L644" s="8">
        <v>7.4856599999999998E-16</v>
      </c>
      <c r="O644" s="5">
        <v>1.3723700000000001E-15</v>
      </c>
      <c r="P644" s="5">
        <v>1.24761E-15</v>
      </c>
      <c r="Q644" s="5">
        <v>1.1228500000000001E-15</v>
      </c>
      <c r="R644" s="8">
        <v>8.7332699999999998E-16</v>
      </c>
      <c r="U644" s="5">
        <v>4.9904399999999999E-15</v>
      </c>
      <c r="V644" s="5">
        <v>2.4952199999999999E-16</v>
      </c>
      <c r="W644" s="5">
        <v>3.7428299999999999E-16</v>
      </c>
      <c r="X644" s="36">
        <v>1.24761E-16</v>
      </c>
      <c r="AA644" s="5"/>
      <c r="AB644" s="5">
        <v>2.4952199999999999E-16</v>
      </c>
      <c r="AC644" s="5">
        <v>4.9904500000000001E-16</v>
      </c>
      <c r="AD644" s="8">
        <v>2.4952199999999999E-16</v>
      </c>
      <c r="AG644" s="5"/>
      <c r="AH644" s="5"/>
      <c r="AM644" s="5"/>
      <c r="AS644" s="5">
        <v>4.9904399999999999E-16</v>
      </c>
      <c r="AT644" s="4">
        <v>2.4952199999999999E-16</v>
      </c>
      <c r="AU644" s="4">
        <v>1.1228500000000001E-15</v>
      </c>
      <c r="AV644" s="4">
        <v>6.2380499999999999E-16</v>
      </c>
    </row>
    <row r="645" spans="3:48" x14ac:dyDescent="0.25">
      <c r="C645" s="7">
        <v>2.8944599999999999E-14</v>
      </c>
      <c r="D645" s="5">
        <v>3.04292E-13</v>
      </c>
      <c r="E645" s="5">
        <v>3.1764199999999999E-13</v>
      </c>
      <c r="F645" s="8">
        <v>3.2138399999999998E-13</v>
      </c>
      <c r="I645" s="5">
        <v>8.7332699999999992E-15</v>
      </c>
      <c r="J645" s="5">
        <v>1.3723700000000001E-15</v>
      </c>
      <c r="K645" s="5">
        <v>1.7466500000000001E-15</v>
      </c>
      <c r="L645" s="8">
        <v>7.4856599999999998E-16</v>
      </c>
      <c r="O645" s="5">
        <v>1.3723700000000001E-15</v>
      </c>
      <c r="P645" s="5">
        <v>1.24761E-15</v>
      </c>
      <c r="Q645" s="5">
        <v>1.1228500000000001E-15</v>
      </c>
      <c r="R645" s="8">
        <v>8.7332699999999998E-16</v>
      </c>
      <c r="U645" s="5">
        <v>4.9904399999999999E-15</v>
      </c>
      <c r="V645" s="5">
        <v>2.4952199999999999E-16</v>
      </c>
      <c r="W645" s="5">
        <v>3.7428299999999999E-16</v>
      </c>
      <c r="X645" s="36">
        <v>1.24761E-16</v>
      </c>
      <c r="AA645" s="5"/>
      <c r="AB645" s="5">
        <v>2.4952199999999999E-16</v>
      </c>
      <c r="AC645" s="5">
        <v>4.9904500000000001E-16</v>
      </c>
      <c r="AD645" s="8">
        <v>2.4952199999999999E-16</v>
      </c>
      <c r="AG645" s="5"/>
      <c r="AH645" s="1"/>
      <c r="AM645" s="5"/>
      <c r="AS645" s="5">
        <v>4.9904399999999999E-16</v>
      </c>
      <c r="AT645" s="4">
        <v>2.4952199999999999E-16</v>
      </c>
      <c r="AU645" s="4">
        <v>2.4952199999999999E-16</v>
      </c>
      <c r="AV645" s="4">
        <v>6.2380499999999999E-16</v>
      </c>
    </row>
    <row r="646" spans="3:48" x14ac:dyDescent="0.25">
      <c r="C646" s="7">
        <v>2.8694999999999998E-14</v>
      </c>
      <c r="D646" s="5">
        <v>3.0391799999999999E-13</v>
      </c>
      <c r="E646" s="5">
        <v>3.1714300000000001E-13</v>
      </c>
      <c r="F646" s="8">
        <v>3.2026199999999998E-13</v>
      </c>
      <c r="I646" s="5">
        <v>8.6085100000000007E-15</v>
      </c>
      <c r="J646" s="5">
        <v>1.3723700000000001E-15</v>
      </c>
      <c r="K646" s="5">
        <v>1.7466500000000001E-15</v>
      </c>
      <c r="L646" s="8">
        <v>7.4856599999999998E-16</v>
      </c>
      <c r="O646" s="5">
        <v>1.24761E-15</v>
      </c>
      <c r="P646" s="5">
        <v>1.24761E-15</v>
      </c>
      <c r="Q646" s="5">
        <v>1.1228500000000001E-15</v>
      </c>
      <c r="R646" s="8">
        <v>8.7332699999999998E-16</v>
      </c>
      <c r="U646" s="5">
        <v>4.9904399999999999E-15</v>
      </c>
      <c r="V646" s="5">
        <v>2.4952199999999999E-16</v>
      </c>
      <c r="W646" s="5">
        <v>3.7428299999999999E-16</v>
      </c>
      <c r="X646" s="36">
        <v>1.24761E-16</v>
      </c>
      <c r="AA646" s="5"/>
      <c r="AB646" s="5">
        <v>2.4952199999999999E-16</v>
      </c>
      <c r="AC646" s="5">
        <v>4.9904500000000001E-16</v>
      </c>
      <c r="AD646" s="8">
        <v>2.4952199999999999E-16</v>
      </c>
      <c r="AG646" s="5"/>
      <c r="AM646" s="5"/>
      <c r="AS646" s="5">
        <v>4.9904399999999999E-16</v>
      </c>
      <c r="AT646" s="4">
        <v>2.4952199999999999E-16</v>
      </c>
      <c r="AU646" s="4">
        <v>7.4856599999999998E-16</v>
      </c>
      <c r="AV646" s="4">
        <v>6.2380499999999999E-16</v>
      </c>
    </row>
    <row r="647" spans="3:48" x14ac:dyDescent="0.25">
      <c r="C647" s="7">
        <v>2.8694999999999998E-14</v>
      </c>
      <c r="D647" s="5">
        <v>3.0291999999999999E-13</v>
      </c>
      <c r="E647" s="5">
        <v>3.1651899999999998E-13</v>
      </c>
      <c r="F647" s="8">
        <v>3.1901400000000001E-13</v>
      </c>
      <c r="I647" s="5">
        <v>8.6085100000000007E-15</v>
      </c>
      <c r="J647" s="5">
        <v>1.3723700000000001E-15</v>
      </c>
      <c r="K647" s="5">
        <v>1.62189E-15</v>
      </c>
      <c r="L647" s="8">
        <v>7.4856599999999998E-16</v>
      </c>
      <c r="O647" s="5">
        <v>1.24761E-15</v>
      </c>
      <c r="P647" s="5">
        <v>1.1228500000000001E-15</v>
      </c>
      <c r="Q647" s="5">
        <v>1.1228500000000001E-15</v>
      </c>
      <c r="R647" s="8">
        <v>8.7332699999999998E-16</v>
      </c>
      <c r="U647" s="5">
        <v>4.9904399999999999E-15</v>
      </c>
      <c r="V647" s="5">
        <v>2.4952199999999999E-16</v>
      </c>
      <c r="W647" s="5">
        <v>3.7428299999999999E-16</v>
      </c>
      <c r="X647" s="36">
        <v>1.24761E-16</v>
      </c>
      <c r="AA647" s="5"/>
      <c r="AB647" s="5">
        <v>2.4952199999999999E-16</v>
      </c>
      <c r="AC647" s="5">
        <v>4.9904500000000001E-16</v>
      </c>
      <c r="AD647" s="8">
        <v>2.4952199999999999E-16</v>
      </c>
      <c r="AG647" s="5"/>
      <c r="AM647" s="5"/>
      <c r="AS647" s="5">
        <v>4.9904399999999999E-16</v>
      </c>
      <c r="AT647" s="4">
        <v>2.4952199999999999E-16</v>
      </c>
      <c r="AU647" s="4">
        <v>8.8580299999999993E-15</v>
      </c>
      <c r="AV647" s="4">
        <v>6.2380499999999999E-16</v>
      </c>
    </row>
    <row r="648" spans="3:48" x14ac:dyDescent="0.25">
      <c r="C648" s="7">
        <v>2.8445499999999997E-14</v>
      </c>
      <c r="D648" s="5">
        <v>3.0192199999999998E-13</v>
      </c>
      <c r="E648" s="5">
        <v>3.1639400000000001E-13</v>
      </c>
      <c r="F648" s="8">
        <v>3.18889E-13</v>
      </c>
      <c r="I648" s="5">
        <v>8.6085100000000007E-15</v>
      </c>
      <c r="J648" s="5">
        <v>1.3723700000000001E-15</v>
      </c>
      <c r="K648" s="5">
        <v>1.62189E-15</v>
      </c>
      <c r="L648" s="8">
        <v>7.4856599999999998E-16</v>
      </c>
      <c r="O648" s="5">
        <v>1.24761E-15</v>
      </c>
      <c r="P648" s="5">
        <v>1.1228500000000001E-15</v>
      </c>
      <c r="Q648" s="5">
        <v>1.1228500000000001E-15</v>
      </c>
      <c r="R648" s="8">
        <v>8.7332699999999998E-16</v>
      </c>
      <c r="U648" s="5">
        <v>4.8656799999999998E-15</v>
      </c>
      <c r="V648" s="5">
        <v>2.4952199999999999E-16</v>
      </c>
      <c r="W648" s="5">
        <v>3.7428299999999999E-16</v>
      </c>
      <c r="X648" s="36">
        <v>1.24761E-16</v>
      </c>
      <c r="AA648" s="5"/>
      <c r="AB648" s="5">
        <v>2.4952199999999999E-16</v>
      </c>
      <c r="AC648" s="5">
        <v>3.7428299999999999E-16</v>
      </c>
      <c r="AD648" s="8">
        <v>2.4952199999999999E-16</v>
      </c>
      <c r="AG648" s="5"/>
      <c r="AM648" s="5"/>
      <c r="AS648" s="5">
        <v>4.9904399999999999E-16</v>
      </c>
      <c r="AT648" s="4">
        <v>2.4952199999999999E-16</v>
      </c>
      <c r="AU648" s="4">
        <v>4.9904399999999999E-16</v>
      </c>
      <c r="AV648" s="4">
        <v>6.2380499999999999E-16</v>
      </c>
    </row>
    <row r="649" spans="3:48" x14ac:dyDescent="0.25">
      <c r="C649" s="7">
        <v>2.8445499999999997E-14</v>
      </c>
      <c r="D649" s="5">
        <v>3.01547E-13</v>
      </c>
      <c r="E649" s="5">
        <v>3.1489699999999999E-13</v>
      </c>
      <c r="F649" s="8">
        <v>3.1876399999999998E-13</v>
      </c>
      <c r="I649" s="5">
        <v>8.6085100000000007E-15</v>
      </c>
      <c r="J649" s="5">
        <v>1.3723700000000001E-15</v>
      </c>
      <c r="K649" s="5">
        <v>1.4971299999999999E-15</v>
      </c>
      <c r="L649" s="8">
        <v>7.4856599999999998E-16</v>
      </c>
      <c r="O649" s="5">
        <v>1.24761E-15</v>
      </c>
      <c r="P649" s="5">
        <v>1.1228500000000001E-15</v>
      </c>
      <c r="Q649" s="5">
        <v>9.9808799999999998E-16</v>
      </c>
      <c r="R649" s="8">
        <v>8.7332699999999998E-16</v>
      </c>
      <c r="U649" s="5">
        <v>4.8656799999999998E-15</v>
      </c>
      <c r="V649" s="5">
        <v>2.4952199999999999E-16</v>
      </c>
      <c r="W649" s="5">
        <v>3.7428299999999999E-16</v>
      </c>
      <c r="X649" s="36">
        <v>1.24761E-16</v>
      </c>
      <c r="AA649" s="5"/>
      <c r="AB649" s="5">
        <v>2.4952199999999999E-16</v>
      </c>
      <c r="AC649" s="5">
        <v>3.7428299999999999E-16</v>
      </c>
      <c r="AD649" s="8">
        <v>2.4952199999999999E-16</v>
      </c>
      <c r="AG649" s="5"/>
      <c r="AM649" s="5"/>
      <c r="AS649" s="5">
        <v>4.9904399999999999E-16</v>
      </c>
      <c r="AT649" s="4">
        <v>2.4952199999999999E-16</v>
      </c>
      <c r="AU649" s="4">
        <v>1.24761E-16</v>
      </c>
      <c r="AV649" s="4">
        <v>4.9904399999999999E-16</v>
      </c>
    </row>
    <row r="650" spans="3:48" x14ac:dyDescent="0.25">
      <c r="C650" s="7">
        <v>2.8320800000000001E-14</v>
      </c>
      <c r="D650" s="5">
        <v>3.0142300000000001E-13</v>
      </c>
      <c r="E650" s="5">
        <v>3.13524E-13</v>
      </c>
      <c r="F650" s="8">
        <v>3.1739200000000002E-13</v>
      </c>
      <c r="I650" s="5">
        <v>8.6085100000000007E-15</v>
      </c>
      <c r="J650" s="5">
        <v>1.3723700000000001E-15</v>
      </c>
      <c r="K650" s="5">
        <v>1.4971299999999999E-15</v>
      </c>
      <c r="L650" s="8">
        <v>7.4856599999999998E-16</v>
      </c>
      <c r="O650" s="5">
        <v>1.24761E-15</v>
      </c>
      <c r="P650" s="5">
        <v>1.1228500000000001E-15</v>
      </c>
      <c r="Q650" s="5">
        <v>9.9808799999999998E-16</v>
      </c>
      <c r="R650" s="8">
        <v>8.7332699999999998E-16</v>
      </c>
      <c r="U650" s="5">
        <v>4.8656799999999998E-15</v>
      </c>
      <c r="V650" s="5">
        <v>2.4952199999999999E-16</v>
      </c>
      <c r="W650" s="5">
        <v>2.4952199999999999E-16</v>
      </c>
      <c r="X650" s="36">
        <v>1.24761E-16</v>
      </c>
      <c r="AA650" s="5"/>
      <c r="AB650" s="5">
        <v>2.4952199999999999E-16</v>
      </c>
      <c r="AC650" s="5">
        <v>3.7428299999999999E-16</v>
      </c>
      <c r="AD650" s="8">
        <v>2.4952199999999999E-16</v>
      </c>
      <c r="AG650" s="5"/>
      <c r="AM650" s="5"/>
      <c r="AS650" s="5">
        <v>4.9904399999999999E-16</v>
      </c>
      <c r="AT650" s="4">
        <v>2.4952199999999999E-16</v>
      </c>
      <c r="AU650" s="4">
        <v>1.1228500000000001E-15</v>
      </c>
      <c r="AV650" s="4">
        <v>4.9904399999999999E-16</v>
      </c>
    </row>
    <row r="651" spans="3:48" x14ac:dyDescent="0.25">
      <c r="C651" s="7">
        <v>2.8320800000000001E-14</v>
      </c>
      <c r="D651" s="5">
        <v>3.01298E-13</v>
      </c>
      <c r="E651" s="5">
        <v>3.12526E-13</v>
      </c>
      <c r="F651" s="8">
        <v>3.1602E-13</v>
      </c>
      <c r="I651" s="5">
        <v>8.6085100000000007E-15</v>
      </c>
      <c r="J651" s="5">
        <v>1.3723700000000001E-15</v>
      </c>
      <c r="K651" s="5">
        <v>1.4971299999999999E-15</v>
      </c>
      <c r="L651" s="8">
        <v>7.4856599999999998E-16</v>
      </c>
      <c r="O651" s="5">
        <v>1.24761E-15</v>
      </c>
      <c r="P651" s="5">
        <v>1.1228500000000001E-15</v>
      </c>
      <c r="Q651" s="5">
        <v>9.9808799999999998E-16</v>
      </c>
      <c r="R651" s="8">
        <v>8.7332699999999998E-16</v>
      </c>
      <c r="U651" s="5">
        <v>4.8656799999999998E-15</v>
      </c>
      <c r="V651" s="5">
        <v>2.4952199999999999E-16</v>
      </c>
      <c r="W651" s="5">
        <v>2.4952199999999999E-16</v>
      </c>
      <c r="X651" s="36">
        <v>1.24761E-16</v>
      </c>
      <c r="AA651" s="5"/>
      <c r="AB651" s="5">
        <v>2.4952199999999999E-16</v>
      </c>
      <c r="AC651" s="5">
        <v>3.7428299999999999E-16</v>
      </c>
      <c r="AD651" s="8">
        <v>2.4952199999999999E-16</v>
      </c>
      <c r="AG651" s="5"/>
      <c r="AM651" s="5"/>
      <c r="AS651" s="5">
        <v>4.9904399999999999E-16</v>
      </c>
      <c r="AT651" s="4">
        <v>2.4952199999999999E-16</v>
      </c>
      <c r="AU651" s="4">
        <v>6.2380499999999999E-16</v>
      </c>
      <c r="AV651" s="4">
        <v>4.9904399999999999E-16</v>
      </c>
    </row>
    <row r="652" spans="3:48" x14ac:dyDescent="0.25">
      <c r="C652" s="7">
        <v>2.8196E-14</v>
      </c>
      <c r="D652" s="5">
        <v>3.0117299999999998E-13</v>
      </c>
      <c r="E652" s="5">
        <v>3.1240200000000001E-13</v>
      </c>
      <c r="F652" s="8">
        <v>3.1576999999999998E-13</v>
      </c>
      <c r="I652" s="5">
        <v>8.4837500000000006E-15</v>
      </c>
      <c r="J652" s="5">
        <v>1.24761E-15</v>
      </c>
      <c r="K652" s="5">
        <v>1.4971299999999999E-15</v>
      </c>
      <c r="L652" s="8">
        <v>7.4856599999999998E-16</v>
      </c>
      <c r="O652" s="5">
        <v>1.24761E-15</v>
      </c>
      <c r="P652" s="5">
        <v>1.1228500000000001E-15</v>
      </c>
      <c r="Q652" s="5">
        <v>9.9808799999999998E-16</v>
      </c>
      <c r="R652" s="8">
        <v>8.7332699999999998E-16</v>
      </c>
      <c r="U652" s="5">
        <v>4.8656799999999998E-15</v>
      </c>
      <c r="V652" s="5">
        <v>2.4952199999999999E-16</v>
      </c>
      <c r="W652" s="5">
        <v>2.4952199999999999E-16</v>
      </c>
      <c r="X652" s="36">
        <v>1.24761E-16</v>
      </c>
      <c r="AA652" s="5"/>
      <c r="AB652" s="5">
        <v>2.4952199999999999E-16</v>
      </c>
      <c r="AC652" s="5">
        <v>3.7428299999999999E-16</v>
      </c>
      <c r="AD652" s="8">
        <v>2.4952199999999999E-16</v>
      </c>
      <c r="AG652" s="5"/>
      <c r="AM652" s="5"/>
      <c r="AS652" s="5">
        <v>4.9904399999999999E-16</v>
      </c>
      <c r="AT652" s="4">
        <v>2.4952199999999999E-16</v>
      </c>
      <c r="AU652" s="4">
        <v>4.9904399999999999E-16</v>
      </c>
      <c r="AV652" s="4">
        <v>4.9904399999999999E-16</v>
      </c>
    </row>
    <row r="653" spans="3:48" x14ac:dyDescent="0.25">
      <c r="C653" s="7">
        <v>2.7946499999999999E-14</v>
      </c>
      <c r="D653" s="5">
        <v>3.00425E-13</v>
      </c>
      <c r="E653" s="5">
        <v>3.1190299999999998E-13</v>
      </c>
      <c r="F653" s="8">
        <v>3.1377400000000002E-13</v>
      </c>
      <c r="I653" s="5">
        <v>8.4837500000000006E-15</v>
      </c>
      <c r="J653" s="5">
        <v>1.24761E-15</v>
      </c>
      <c r="K653" s="5">
        <v>1.4971299999999999E-15</v>
      </c>
      <c r="L653" s="8">
        <v>7.4856599999999998E-16</v>
      </c>
      <c r="O653" s="5">
        <v>1.24761E-15</v>
      </c>
      <c r="P653" s="5">
        <v>9.9808799999999998E-16</v>
      </c>
      <c r="Q653" s="5">
        <v>9.9808799999999998E-16</v>
      </c>
      <c r="R653" s="8">
        <v>8.7332699999999998E-16</v>
      </c>
      <c r="U653" s="5">
        <v>4.8656799999999998E-15</v>
      </c>
      <c r="V653" s="5">
        <v>2.4952199999999999E-16</v>
      </c>
      <c r="W653" s="5">
        <v>2.4952199999999999E-16</v>
      </c>
      <c r="X653" s="36">
        <v>1.24761E-16</v>
      </c>
      <c r="AA653" s="5"/>
      <c r="AB653" s="5">
        <v>2.4952199999999999E-16</v>
      </c>
      <c r="AC653" s="5">
        <v>3.7428299999999999E-16</v>
      </c>
      <c r="AD653" s="8">
        <v>2.4952199999999999E-16</v>
      </c>
      <c r="AG653" s="5"/>
      <c r="AM653" s="5"/>
      <c r="AS653" s="5">
        <v>4.9904399999999999E-16</v>
      </c>
      <c r="AT653" s="4">
        <v>2.4952199999999999E-16</v>
      </c>
      <c r="AU653" s="4">
        <v>7.6104200000000003E-15</v>
      </c>
      <c r="AV653" s="4">
        <v>4.9904399999999999E-16</v>
      </c>
    </row>
    <row r="654" spans="3:48" x14ac:dyDescent="0.25">
      <c r="C654" s="7">
        <v>2.7946499999999999E-14</v>
      </c>
      <c r="D654" s="5">
        <v>2.9942599999999998E-13</v>
      </c>
      <c r="E654" s="5">
        <v>3.1102900000000002E-13</v>
      </c>
      <c r="F654" s="8">
        <v>3.13275E-13</v>
      </c>
      <c r="I654" s="5">
        <v>8.4837500000000006E-15</v>
      </c>
      <c r="J654" s="5">
        <v>1.24761E-15</v>
      </c>
      <c r="K654" s="5">
        <v>1.3723700000000001E-15</v>
      </c>
      <c r="L654" s="8">
        <v>7.4856599999999998E-16</v>
      </c>
      <c r="O654" s="5">
        <v>1.24761E-15</v>
      </c>
      <c r="P654" s="5">
        <v>9.9808799999999998E-16</v>
      </c>
      <c r="Q654" s="5">
        <v>9.9808799999999998E-16</v>
      </c>
      <c r="R654" s="8">
        <v>8.7332699999999998E-16</v>
      </c>
      <c r="U654" s="5">
        <v>4.8656799999999998E-15</v>
      </c>
      <c r="V654" s="5">
        <v>1.24761E-16</v>
      </c>
      <c r="W654" s="5">
        <v>2.4952199999999999E-16</v>
      </c>
      <c r="X654" s="36">
        <v>1.24761E-16</v>
      </c>
      <c r="AA654" s="5"/>
      <c r="AB654" s="5">
        <v>2.4952199999999999E-16</v>
      </c>
      <c r="AC654" s="5">
        <v>3.7428299999999999E-16</v>
      </c>
      <c r="AD654" s="8">
        <v>2.4952199999999999E-16</v>
      </c>
      <c r="AG654" s="5"/>
      <c r="AM654" s="5"/>
      <c r="AS654" s="5">
        <v>4.9904399999999999E-16</v>
      </c>
      <c r="AT654" s="4">
        <v>2.4952199999999999E-16</v>
      </c>
      <c r="AU654" s="4">
        <v>1.24761E-16</v>
      </c>
      <c r="AV654" s="4">
        <v>4.9904399999999999E-16</v>
      </c>
    </row>
    <row r="655" spans="3:48" x14ac:dyDescent="0.25">
      <c r="C655" s="7">
        <v>2.7696999999999999E-14</v>
      </c>
      <c r="D655" s="5">
        <v>2.9942599999999998E-13</v>
      </c>
      <c r="E655" s="5">
        <v>3.1052999999999999E-13</v>
      </c>
      <c r="F655" s="8">
        <v>3.1215199999999998E-13</v>
      </c>
      <c r="I655" s="5">
        <v>8.4837500000000006E-15</v>
      </c>
      <c r="J655" s="5">
        <v>1.24761E-15</v>
      </c>
      <c r="K655" s="5">
        <v>1.3723700000000001E-15</v>
      </c>
      <c r="L655" s="8">
        <v>7.4856599999999998E-16</v>
      </c>
      <c r="O655" s="5">
        <v>1.24761E-15</v>
      </c>
      <c r="P655" s="5">
        <v>9.9808799999999998E-16</v>
      </c>
      <c r="Q655" s="5">
        <v>9.9808799999999998E-16</v>
      </c>
      <c r="R655" s="8">
        <v>7.4856599999999998E-16</v>
      </c>
      <c r="U655" s="5">
        <v>4.8656799999999998E-15</v>
      </c>
      <c r="V655" s="5">
        <v>1.24761E-16</v>
      </c>
      <c r="W655" s="5">
        <v>2.4952199999999999E-16</v>
      </c>
      <c r="X655" s="36">
        <v>1.24761E-16</v>
      </c>
      <c r="AA655" s="5"/>
      <c r="AB655" s="5">
        <v>2.4952199999999999E-16</v>
      </c>
      <c r="AC655" s="5">
        <v>3.7428299999999999E-16</v>
      </c>
      <c r="AD655" s="8">
        <v>1.24761E-16</v>
      </c>
      <c r="AG655" s="5"/>
      <c r="AM655" s="5"/>
      <c r="AS655" s="5">
        <v>4.9904399999999999E-16</v>
      </c>
      <c r="AT655" s="4">
        <v>2.4952199999999999E-16</v>
      </c>
      <c r="AU655" s="4">
        <v>1.24761E-16</v>
      </c>
      <c r="AV655" s="4">
        <v>4.9904399999999999E-16</v>
      </c>
    </row>
    <row r="656" spans="3:48" x14ac:dyDescent="0.25">
      <c r="C656" s="7">
        <v>2.74474E-14</v>
      </c>
      <c r="D656" s="5">
        <v>2.98927E-13</v>
      </c>
      <c r="E656" s="5">
        <v>3.0816000000000002E-13</v>
      </c>
      <c r="F656" s="8">
        <v>3.1202700000000002E-13</v>
      </c>
      <c r="I656" s="5">
        <v>8.4837500000000006E-15</v>
      </c>
      <c r="J656" s="5">
        <v>1.1228500000000001E-15</v>
      </c>
      <c r="K656" s="5">
        <v>1.24761E-15</v>
      </c>
      <c r="L656" s="8">
        <v>7.4856599999999998E-16</v>
      </c>
      <c r="O656" s="5">
        <v>1.24761E-15</v>
      </c>
      <c r="P656" s="5">
        <v>9.9808799999999998E-16</v>
      </c>
      <c r="Q656" s="5">
        <v>9.9808799999999998E-16</v>
      </c>
      <c r="R656" s="8">
        <v>7.4856599999999998E-16</v>
      </c>
      <c r="U656" s="5">
        <v>4.7409199999999997E-15</v>
      </c>
      <c r="V656" s="5">
        <v>1.24761E-16</v>
      </c>
      <c r="W656" s="5">
        <v>2.4952199999999999E-16</v>
      </c>
      <c r="X656" s="36">
        <v>1.24761E-16</v>
      </c>
      <c r="AA656" s="5"/>
      <c r="AB656" s="5">
        <v>1.24761E-16</v>
      </c>
      <c r="AC656" s="5">
        <v>3.7428299999999999E-16</v>
      </c>
      <c r="AD656" s="8">
        <v>1.24761E-16</v>
      </c>
      <c r="AG656" s="5"/>
      <c r="AM656" s="5"/>
      <c r="AS656" s="5">
        <v>4.9904399999999999E-16</v>
      </c>
      <c r="AT656" s="4">
        <v>2.4952199999999999E-16</v>
      </c>
      <c r="AU656" s="4">
        <v>5.1152E-15</v>
      </c>
      <c r="AV656" s="4">
        <v>4.9904399999999999E-16</v>
      </c>
    </row>
    <row r="657" spans="3:48" x14ac:dyDescent="0.25">
      <c r="C657" s="7">
        <v>2.73227E-14</v>
      </c>
      <c r="D657" s="5">
        <v>2.9880300000000001E-13</v>
      </c>
      <c r="E657" s="5">
        <v>3.07661E-13</v>
      </c>
      <c r="F657" s="8">
        <v>3.11653E-13</v>
      </c>
      <c r="I657" s="5">
        <v>8.3589800000000008E-15</v>
      </c>
      <c r="J657" s="5">
        <v>1.1228500000000001E-15</v>
      </c>
      <c r="K657" s="5">
        <v>1.24761E-15</v>
      </c>
      <c r="L657" s="8">
        <v>6.2380499999999999E-16</v>
      </c>
      <c r="O657" s="5">
        <v>1.24761E-15</v>
      </c>
      <c r="P657" s="5">
        <v>9.9808799999999998E-16</v>
      </c>
      <c r="Q657" s="5">
        <v>9.9808799999999998E-16</v>
      </c>
      <c r="R657" s="8">
        <v>7.4856599999999998E-16</v>
      </c>
      <c r="U657" s="5">
        <v>4.6161599999999997E-15</v>
      </c>
      <c r="V657" s="5">
        <v>1.24761E-16</v>
      </c>
      <c r="W657" s="5">
        <v>2.4952199999999999E-16</v>
      </c>
      <c r="X657" s="36">
        <v>1.24761E-16</v>
      </c>
      <c r="AA657" s="5"/>
      <c r="AB657" s="5">
        <v>1.24761E-16</v>
      </c>
      <c r="AC657" s="5">
        <v>3.7428299999999999E-16</v>
      </c>
      <c r="AD657" s="8">
        <v>1.24761E-16</v>
      </c>
      <c r="AG657" s="5"/>
      <c r="AM657" s="5"/>
      <c r="AS657" s="5">
        <v>4.9904399999999999E-16</v>
      </c>
      <c r="AT657" s="4">
        <v>2.4952199999999999E-16</v>
      </c>
      <c r="AU657" s="4">
        <v>1.8714199999999999E-15</v>
      </c>
      <c r="AV657" s="4">
        <v>4.9904399999999999E-16</v>
      </c>
    </row>
    <row r="658" spans="3:48" x14ac:dyDescent="0.25">
      <c r="C658" s="7">
        <v>2.71979E-14</v>
      </c>
      <c r="D658" s="5">
        <v>2.9842799999999998E-13</v>
      </c>
      <c r="E658" s="5">
        <v>3.07661E-13</v>
      </c>
      <c r="F658" s="8">
        <v>3.1152799999999999E-13</v>
      </c>
      <c r="I658" s="5">
        <v>8.3589800000000008E-15</v>
      </c>
      <c r="J658" s="5">
        <v>1.1228500000000001E-15</v>
      </c>
      <c r="K658" s="5">
        <v>1.24761E-15</v>
      </c>
      <c r="L658" s="8">
        <v>6.2380499999999999E-16</v>
      </c>
      <c r="O658" s="5">
        <v>1.24761E-15</v>
      </c>
      <c r="P658" s="5">
        <v>9.9808799999999998E-16</v>
      </c>
      <c r="Q658" s="5">
        <v>9.9808799999999998E-16</v>
      </c>
      <c r="R658" s="8">
        <v>7.4856599999999998E-16</v>
      </c>
      <c r="U658" s="5">
        <v>4.6161599999999997E-15</v>
      </c>
      <c r="V658" s="5">
        <v>1.24761E-16</v>
      </c>
      <c r="W658" s="5">
        <v>2.4952199999999999E-16</v>
      </c>
      <c r="X658" s="36">
        <v>1.24761E-16</v>
      </c>
      <c r="AA658" s="5"/>
      <c r="AB658" s="5">
        <v>1.24761E-16</v>
      </c>
      <c r="AC658" s="5">
        <v>3.7428299999999999E-16</v>
      </c>
      <c r="AD658" s="8">
        <v>1.24761E-16</v>
      </c>
      <c r="AG658" s="5"/>
      <c r="AM658" s="5"/>
      <c r="AS658" s="5">
        <v>4.9904399999999999E-16</v>
      </c>
      <c r="AT658" s="4">
        <v>2.4952199999999999E-16</v>
      </c>
      <c r="AU658" s="4">
        <v>1.99618E-15</v>
      </c>
      <c r="AV658" s="4">
        <v>4.9904399999999999E-16</v>
      </c>
    </row>
    <row r="659" spans="3:48" x14ac:dyDescent="0.25">
      <c r="C659" s="7">
        <v>2.71979E-14</v>
      </c>
      <c r="D659" s="5">
        <v>2.9718100000000002E-13</v>
      </c>
      <c r="E659" s="5">
        <v>3.0741100000000002E-13</v>
      </c>
      <c r="F659" s="8">
        <v>3.1127899999999999E-13</v>
      </c>
      <c r="I659" s="5">
        <v>8.3589800000000008E-15</v>
      </c>
      <c r="J659" s="5">
        <v>1.1228500000000001E-15</v>
      </c>
      <c r="K659" s="5">
        <v>1.24761E-15</v>
      </c>
      <c r="L659" s="8">
        <v>6.2380499999999999E-16</v>
      </c>
      <c r="O659" s="5">
        <v>1.24761E-15</v>
      </c>
      <c r="P659" s="5">
        <v>8.7332699999999998E-16</v>
      </c>
      <c r="Q659" s="5">
        <v>8.7332699999999998E-16</v>
      </c>
      <c r="R659" s="8">
        <v>7.4856599999999998E-16</v>
      </c>
      <c r="U659" s="5">
        <v>4.6161599999999997E-15</v>
      </c>
      <c r="V659" s="5">
        <v>1.24761E-16</v>
      </c>
      <c r="W659" s="5">
        <v>2.4952199999999999E-16</v>
      </c>
      <c r="X659" s="36"/>
      <c r="AA659" s="5"/>
      <c r="AB659" s="5">
        <v>1.24761E-16</v>
      </c>
      <c r="AC659" s="5">
        <v>3.7428299999999999E-16</v>
      </c>
      <c r="AD659" s="8">
        <v>1.24761E-16</v>
      </c>
      <c r="AG659" s="5"/>
      <c r="AM659" s="5"/>
      <c r="AS659" s="5">
        <v>4.9904399999999999E-16</v>
      </c>
      <c r="AT659" s="4">
        <v>2.4952199999999999E-16</v>
      </c>
      <c r="AU659" s="4">
        <v>1.0479900000000001E-14</v>
      </c>
      <c r="AV659" s="4">
        <v>4.9904399999999999E-16</v>
      </c>
    </row>
    <row r="660" spans="3:48" x14ac:dyDescent="0.25">
      <c r="C660" s="7">
        <v>2.7073099999999999E-14</v>
      </c>
      <c r="D660" s="5">
        <v>2.9605800000000001E-13</v>
      </c>
      <c r="E660" s="5">
        <v>3.0591399999999999E-13</v>
      </c>
      <c r="F660" s="8">
        <v>3.1090499999999998E-13</v>
      </c>
      <c r="I660" s="5">
        <v>8.3589800000000008E-15</v>
      </c>
      <c r="J660" s="5">
        <v>1.1228500000000001E-15</v>
      </c>
      <c r="K660" s="5">
        <v>1.24761E-15</v>
      </c>
      <c r="L660" s="8">
        <v>6.2380499999999999E-16</v>
      </c>
      <c r="O660" s="5">
        <v>1.24761E-15</v>
      </c>
      <c r="P660" s="5">
        <v>8.7332699999999998E-16</v>
      </c>
      <c r="Q660" s="5">
        <v>8.7332699999999998E-16</v>
      </c>
      <c r="R660" s="8">
        <v>7.4856599999999998E-16</v>
      </c>
      <c r="U660" s="5">
        <v>4.6161599999999997E-15</v>
      </c>
      <c r="V660" s="5">
        <v>1.24761E-16</v>
      </c>
      <c r="W660" s="5">
        <v>2.4952199999999999E-16</v>
      </c>
      <c r="X660" s="36"/>
      <c r="AA660" s="5"/>
      <c r="AB660" s="5">
        <v>1.24761E-16</v>
      </c>
      <c r="AC660" s="5">
        <v>3.7428299999999999E-16</v>
      </c>
      <c r="AD660" s="8">
        <v>1.24761E-16</v>
      </c>
      <c r="AG660" s="5"/>
      <c r="AM660" s="5"/>
      <c r="AS660" s="5">
        <v>4.9904399999999999E-16</v>
      </c>
      <c r="AT660" s="4">
        <v>2.4952199999999999E-16</v>
      </c>
      <c r="AU660" s="4">
        <v>6.2380499999999999E-16</v>
      </c>
      <c r="AV660" s="4">
        <v>4.9904399999999999E-16</v>
      </c>
    </row>
    <row r="661" spans="3:48" x14ac:dyDescent="0.25">
      <c r="C661" s="7">
        <v>2.7073099999999999E-14</v>
      </c>
      <c r="D661" s="5">
        <v>2.9543400000000002E-13</v>
      </c>
      <c r="E661" s="5">
        <v>3.0553999999999998E-13</v>
      </c>
      <c r="F661" s="8">
        <v>3.1078000000000001E-13</v>
      </c>
      <c r="I661" s="5">
        <v>8.2342200000000007E-15</v>
      </c>
      <c r="J661" s="5">
        <v>1.1228500000000001E-15</v>
      </c>
      <c r="K661" s="5">
        <v>1.24761E-15</v>
      </c>
      <c r="L661" s="8">
        <v>6.2380499999999999E-16</v>
      </c>
      <c r="O661" s="5">
        <v>1.1228500000000001E-15</v>
      </c>
      <c r="P661" s="5">
        <v>8.7332699999999998E-16</v>
      </c>
      <c r="Q661" s="5">
        <v>8.7332699999999998E-16</v>
      </c>
      <c r="R661" s="8">
        <v>7.4856599999999998E-16</v>
      </c>
      <c r="U661" s="5">
        <v>4.6161599999999997E-15</v>
      </c>
      <c r="V661" s="5">
        <v>1.24761E-16</v>
      </c>
      <c r="W661" s="5">
        <v>2.4952199999999999E-16</v>
      </c>
      <c r="X661" s="36"/>
      <c r="AA661" s="5"/>
      <c r="AB661" s="5">
        <v>1.24761E-16</v>
      </c>
      <c r="AC661" s="5">
        <v>3.7428299999999999E-16</v>
      </c>
      <c r="AD661" s="8">
        <v>1.24761E-16</v>
      </c>
      <c r="AG661" s="5"/>
      <c r="AM661" s="5"/>
      <c r="AS661" s="5">
        <v>4.9904399999999999E-16</v>
      </c>
      <c r="AT661" s="4">
        <v>2.4952199999999999E-16</v>
      </c>
      <c r="AU661" s="4">
        <v>1.3723700000000001E-15</v>
      </c>
      <c r="AV661" s="4">
        <v>4.9904399999999999E-16</v>
      </c>
    </row>
    <row r="662" spans="3:48" x14ac:dyDescent="0.25">
      <c r="C662" s="7">
        <v>2.6948399999999999E-14</v>
      </c>
      <c r="D662" s="5">
        <v>2.9431100000000001E-13</v>
      </c>
      <c r="E662" s="5">
        <v>3.0529E-13</v>
      </c>
      <c r="F662" s="8">
        <v>3.1078000000000001E-13</v>
      </c>
      <c r="I662" s="5">
        <v>8.2342200000000007E-15</v>
      </c>
      <c r="J662" s="5">
        <v>1.1228500000000001E-15</v>
      </c>
      <c r="K662" s="5">
        <v>1.1228500000000001E-15</v>
      </c>
      <c r="L662" s="8">
        <v>6.2380499999999999E-16</v>
      </c>
      <c r="O662" s="5">
        <v>1.1228500000000001E-15</v>
      </c>
      <c r="P662" s="5">
        <v>8.7332699999999998E-16</v>
      </c>
      <c r="Q662" s="5">
        <v>8.7332699999999998E-16</v>
      </c>
      <c r="R662" s="8">
        <v>7.4856599999999998E-16</v>
      </c>
      <c r="U662" s="5">
        <v>4.4914000000000004E-15</v>
      </c>
      <c r="V662" s="5">
        <v>1.24761E-16</v>
      </c>
      <c r="W662" s="5">
        <v>2.4952199999999999E-16</v>
      </c>
      <c r="X662" s="36"/>
      <c r="AA662" s="5"/>
      <c r="AB662" s="5">
        <v>1.24761E-16</v>
      </c>
      <c r="AC662" s="5">
        <v>3.7428299999999999E-16</v>
      </c>
      <c r="AD662" s="8">
        <v>1.24761E-16</v>
      </c>
      <c r="AG662" s="5"/>
      <c r="AM662" s="5"/>
      <c r="AS662" s="5">
        <v>4.9904399999999999E-16</v>
      </c>
      <c r="AT662" s="4">
        <v>2.4952199999999999E-16</v>
      </c>
      <c r="AU662" s="4">
        <v>1.2850400000000001E-14</v>
      </c>
      <c r="AV662" s="4">
        <v>4.9904399999999999E-16</v>
      </c>
    </row>
    <row r="663" spans="3:48" x14ac:dyDescent="0.25">
      <c r="C663" s="7">
        <v>2.6698899999999998E-14</v>
      </c>
      <c r="D663" s="5">
        <v>2.93064E-13</v>
      </c>
      <c r="E663" s="5">
        <v>3.0366800000000001E-13</v>
      </c>
      <c r="F663" s="8">
        <v>3.09906E-13</v>
      </c>
      <c r="I663" s="5">
        <v>8.2342200000000007E-15</v>
      </c>
      <c r="J663" s="5">
        <v>9.9808799999999998E-16</v>
      </c>
      <c r="K663" s="5">
        <v>1.1228500000000001E-15</v>
      </c>
      <c r="L663" s="8">
        <v>6.2380499999999999E-16</v>
      </c>
      <c r="O663" s="5">
        <v>1.1228500000000001E-15</v>
      </c>
      <c r="P663" s="5">
        <v>8.7332699999999998E-16</v>
      </c>
      <c r="Q663" s="5">
        <v>8.7332699999999998E-16</v>
      </c>
      <c r="R663" s="8">
        <v>7.4856599999999998E-16</v>
      </c>
      <c r="U663" s="5">
        <v>4.4914000000000004E-15</v>
      </c>
      <c r="V663" s="5">
        <v>1.24761E-16</v>
      </c>
      <c r="W663" s="5">
        <v>2.4952199999999999E-16</v>
      </c>
      <c r="X663" s="36"/>
      <c r="AA663" s="5"/>
      <c r="AB663" s="5">
        <v>1.24761E-16</v>
      </c>
      <c r="AC663" s="5">
        <v>3.7428299999999999E-16</v>
      </c>
      <c r="AD663" s="8">
        <v>1.24761E-16</v>
      </c>
      <c r="AG663" s="5"/>
      <c r="AM663" s="5"/>
      <c r="AS663" s="5">
        <v>4.9904399999999999E-16</v>
      </c>
      <c r="AT663" s="4">
        <v>2.4952199999999999E-16</v>
      </c>
      <c r="AU663" s="4">
        <v>4.9904399999999999E-16</v>
      </c>
      <c r="AV663" s="4">
        <v>4.9904399999999999E-16</v>
      </c>
    </row>
    <row r="664" spans="3:48" x14ac:dyDescent="0.25">
      <c r="C664" s="7">
        <v>2.6574100000000001E-14</v>
      </c>
      <c r="D664" s="5">
        <v>2.92315E-13</v>
      </c>
      <c r="E664" s="5">
        <v>3.00425E-13</v>
      </c>
      <c r="F664" s="8">
        <v>3.0940699999999998E-13</v>
      </c>
      <c r="I664" s="5">
        <v>8.2342200000000007E-15</v>
      </c>
      <c r="J664" s="5">
        <v>9.9808799999999998E-16</v>
      </c>
      <c r="K664" s="5">
        <v>1.1228500000000001E-15</v>
      </c>
      <c r="L664" s="8">
        <v>6.2380499999999999E-16</v>
      </c>
      <c r="O664" s="5">
        <v>1.1228500000000001E-15</v>
      </c>
      <c r="P664" s="5">
        <v>8.7332699999999998E-16</v>
      </c>
      <c r="Q664" s="5">
        <v>8.7332699999999998E-16</v>
      </c>
      <c r="R664" s="8">
        <v>7.4856599999999998E-16</v>
      </c>
      <c r="U664" s="5">
        <v>4.4914000000000004E-15</v>
      </c>
      <c r="V664" s="5">
        <v>1.24761E-16</v>
      </c>
      <c r="W664" s="5">
        <v>2.4952199999999999E-16</v>
      </c>
      <c r="X664" s="36"/>
      <c r="AA664" s="5"/>
      <c r="AB664" s="5">
        <v>1.24761E-16</v>
      </c>
      <c r="AC664" s="5">
        <v>3.7428299999999999E-16</v>
      </c>
      <c r="AD664" s="8">
        <v>1.24761E-16</v>
      </c>
      <c r="AG664" s="5"/>
      <c r="AM664" s="5"/>
      <c r="AS664" s="5">
        <v>4.9904399999999999E-16</v>
      </c>
      <c r="AT664" s="4">
        <v>2.4952199999999999E-16</v>
      </c>
      <c r="AU664" s="4">
        <v>2.61998E-15</v>
      </c>
      <c r="AV664" s="4">
        <v>4.9904399999999999E-16</v>
      </c>
    </row>
    <row r="665" spans="3:48" x14ac:dyDescent="0.25">
      <c r="C665" s="7">
        <v>2.6574100000000001E-14</v>
      </c>
      <c r="D665" s="5">
        <v>2.9194099999999999E-13</v>
      </c>
      <c r="E665" s="5">
        <v>3.0005000000000002E-13</v>
      </c>
      <c r="F665" s="8">
        <v>3.0753599999999998E-13</v>
      </c>
      <c r="I665" s="5">
        <v>8.1094600000000006E-15</v>
      </c>
      <c r="J665" s="5">
        <v>9.9808799999999998E-16</v>
      </c>
      <c r="K665" s="5">
        <v>1.1228500000000001E-15</v>
      </c>
      <c r="L665" s="8">
        <v>6.2380499999999999E-16</v>
      </c>
      <c r="O665" s="5">
        <v>1.1228500000000001E-15</v>
      </c>
      <c r="P665" s="5">
        <v>8.7332699999999998E-16</v>
      </c>
      <c r="Q665" s="5">
        <v>7.4856599999999998E-16</v>
      </c>
      <c r="R665" s="8">
        <v>6.2380499999999999E-16</v>
      </c>
      <c r="U665" s="5">
        <v>4.4914000000000004E-15</v>
      </c>
      <c r="V665" s="5">
        <v>1.24761E-16</v>
      </c>
      <c r="W665" s="5">
        <v>2.4952199999999999E-16</v>
      </c>
      <c r="X665" s="36"/>
      <c r="AA665" s="5"/>
      <c r="AB665" s="5">
        <v>1.24761E-16</v>
      </c>
      <c r="AC665" s="5">
        <v>3.7428299999999999E-16</v>
      </c>
      <c r="AD665" s="4">
        <v>1.24761E-16</v>
      </c>
      <c r="AG665" s="5"/>
      <c r="AM665" s="5"/>
      <c r="AS665" s="5">
        <v>4.9904399999999999E-16</v>
      </c>
      <c r="AT665" s="4">
        <v>2.4952199999999999E-16</v>
      </c>
      <c r="AU665" s="4">
        <v>3.7428299999999999E-16</v>
      </c>
      <c r="AV665" s="4">
        <v>4.9904399999999999E-16</v>
      </c>
    </row>
    <row r="666" spans="3:48" x14ac:dyDescent="0.25">
      <c r="C666" s="7">
        <v>2.6574100000000001E-14</v>
      </c>
      <c r="D666" s="5">
        <v>2.9156700000000002E-13</v>
      </c>
      <c r="E666" s="5">
        <v>3.0005000000000002E-13</v>
      </c>
      <c r="F666" s="8">
        <v>3.0578899999999998E-13</v>
      </c>
      <c r="I666" s="5">
        <v>8.1094600000000006E-15</v>
      </c>
      <c r="J666" s="5">
        <v>9.9808799999999998E-16</v>
      </c>
      <c r="K666" s="5">
        <v>9.9808799999999998E-16</v>
      </c>
      <c r="L666" s="8">
        <v>4.9904399999999999E-16</v>
      </c>
      <c r="O666" s="5">
        <v>1.1228500000000001E-15</v>
      </c>
      <c r="P666" s="5">
        <v>8.7332699999999998E-16</v>
      </c>
      <c r="Q666" s="5">
        <v>7.4856599999999998E-16</v>
      </c>
      <c r="R666" s="8">
        <v>6.2380499999999999E-16</v>
      </c>
      <c r="U666" s="5">
        <v>4.4914000000000004E-15</v>
      </c>
      <c r="V666" s="5">
        <v>1.24761E-16</v>
      </c>
      <c r="W666" s="5">
        <v>2.4952199999999999E-16</v>
      </c>
      <c r="X666" s="33"/>
      <c r="AA666" s="5"/>
      <c r="AB666" s="5">
        <v>1.24761E-16</v>
      </c>
      <c r="AC666" s="5">
        <v>3.7428299999999999E-16</v>
      </c>
      <c r="AD666" s="4">
        <v>1.24761E-16</v>
      </c>
      <c r="AG666" s="5"/>
      <c r="AM666" s="5"/>
      <c r="AS666" s="5">
        <v>4.9904399999999999E-16</v>
      </c>
      <c r="AT666" s="4">
        <v>2.4952199999999999E-16</v>
      </c>
      <c r="AU666" s="4">
        <v>2.8695000000000002E-15</v>
      </c>
      <c r="AV666" s="4">
        <v>4.9904399999999999E-16</v>
      </c>
    </row>
    <row r="667" spans="3:48" x14ac:dyDescent="0.25">
      <c r="C667" s="7">
        <v>2.6199799999999999E-14</v>
      </c>
      <c r="D667" s="5">
        <v>2.91317E-13</v>
      </c>
      <c r="E667" s="5">
        <v>2.9992599999999998E-13</v>
      </c>
      <c r="F667" s="8">
        <v>3.0479099999999998E-13</v>
      </c>
      <c r="I667" s="5">
        <v>8.1094600000000006E-15</v>
      </c>
      <c r="J667" s="5">
        <v>9.9808799999999998E-16</v>
      </c>
      <c r="K667" s="5">
        <v>9.9808799999999998E-16</v>
      </c>
      <c r="L667" s="8">
        <v>4.9904399999999999E-16</v>
      </c>
      <c r="O667" s="5">
        <v>1.1228500000000001E-15</v>
      </c>
      <c r="P667" s="5">
        <v>8.7332699999999998E-16</v>
      </c>
      <c r="Q667" s="5">
        <v>7.4856599999999998E-16</v>
      </c>
      <c r="R667" s="8">
        <v>6.2380499999999999E-16</v>
      </c>
      <c r="U667" s="5">
        <v>4.4914000000000004E-15</v>
      </c>
      <c r="V667" s="5">
        <v>1.24761E-16</v>
      </c>
      <c r="W667" s="5">
        <v>2.4952199999999999E-16</v>
      </c>
      <c r="AA667" s="5"/>
      <c r="AB667" s="5">
        <v>1.24761E-16</v>
      </c>
      <c r="AC667" s="5">
        <v>3.7428299999999999E-16</v>
      </c>
      <c r="AD667" s="4">
        <v>1.24761E-16</v>
      </c>
      <c r="AG667" s="5"/>
      <c r="AM667" s="5"/>
      <c r="AS667" s="5">
        <v>4.9904399999999999E-16</v>
      </c>
      <c r="AT667" s="4">
        <v>2.4952199999999999E-16</v>
      </c>
      <c r="AU667" s="4">
        <v>2.0585600000000001E-14</v>
      </c>
      <c r="AV667" s="4">
        <v>4.9904399999999999E-16</v>
      </c>
    </row>
    <row r="668" spans="3:48" x14ac:dyDescent="0.25">
      <c r="C668" s="7">
        <v>2.6199799999999999E-14</v>
      </c>
      <c r="D668" s="5">
        <v>2.8982000000000002E-13</v>
      </c>
      <c r="E668" s="5">
        <v>2.9855299999999999E-13</v>
      </c>
      <c r="F668" s="8">
        <v>3.0479099999999998E-13</v>
      </c>
      <c r="I668" s="5">
        <v>8.1094600000000006E-15</v>
      </c>
      <c r="J668" s="5">
        <v>9.9808799999999998E-16</v>
      </c>
      <c r="K668" s="5">
        <v>9.9808799999999998E-16</v>
      </c>
      <c r="L668" s="8">
        <v>4.9904399999999999E-16</v>
      </c>
      <c r="O668" s="5">
        <v>1.1228500000000001E-15</v>
      </c>
      <c r="P668" s="5">
        <v>8.7332699999999998E-16</v>
      </c>
      <c r="Q668" s="5">
        <v>7.4856599999999998E-16</v>
      </c>
      <c r="R668" s="8">
        <v>6.2380499999999999E-16</v>
      </c>
      <c r="U668" s="5">
        <v>4.4914000000000004E-15</v>
      </c>
      <c r="V668" s="5">
        <v>1.24761E-16</v>
      </c>
      <c r="W668" s="5">
        <v>2.4952199999999999E-16</v>
      </c>
      <c r="AA668" s="5"/>
      <c r="AB668" s="5">
        <v>1.24761E-16</v>
      </c>
      <c r="AC668" s="5">
        <v>3.7428299999999999E-16</v>
      </c>
      <c r="AD668" s="4">
        <v>1.24761E-16</v>
      </c>
      <c r="AG668" s="5"/>
      <c r="AM668" s="5"/>
      <c r="AS668" s="5">
        <v>3.7428299999999999E-16</v>
      </c>
      <c r="AT668" s="4">
        <v>2.4952199999999999E-16</v>
      </c>
      <c r="AU668" s="4">
        <v>8.7332699999999998E-16</v>
      </c>
      <c r="AV668" s="4">
        <v>4.9904399999999999E-16</v>
      </c>
    </row>
    <row r="669" spans="3:48" x14ac:dyDescent="0.25">
      <c r="C669" s="7">
        <v>2.6199799999999999E-14</v>
      </c>
      <c r="D669" s="5">
        <v>2.8932099999999999E-13</v>
      </c>
      <c r="E669" s="5">
        <v>2.9842799999999998E-13</v>
      </c>
      <c r="F669" s="8">
        <v>3.0466600000000002E-13</v>
      </c>
      <c r="I669" s="5">
        <v>8.1094600000000006E-15</v>
      </c>
      <c r="J669" s="5">
        <v>9.9808799999999998E-16</v>
      </c>
      <c r="K669" s="5">
        <v>9.9808799999999998E-16</v>
      </c>
      <c r="L669" s="8">
        <v>4.9904399999999999E-16</v>
      </c>
      <c r="O669" s="5">
        <v>1.1228500000000001E-15</v>
      </c>
      <c r="P669" s="5">
        <v>7.4856599999999998E-16</v>
      </c>
      <c r="Q669" s="5">
        <v>7.4856599999999998E-16</v>
      </c>
      <c r="R669" s="8">
        <v>6.2380499999999999E-16</v>
      </c>
      <c r="U669" s="5">
        <v>4.4914000000000004E-15</v>
      </c>
      <c r="V669" s="5">
        <v>1.24761E-16</v>
      </c>
      <c r="W669" s="5">
        <v>2.4952199999999999E-16</v>
      </c>
      <c r="AA669" s="5"/>
      <c r="AB669" s="5">
        <v>1.24761E-16</v>
      </c>
      <c r="AC669" s="5">
        <v>3.7428299999999999E-16</v>
      </c>
      <c r="AD669" s="4">
        <v>1.24761E-16</v>
      </c>
      <c r="AG669" s="5"/>
      <c r="AM669" s="5"/>
      <c r="AS669" s="5">
        <v>3.7428299999999999E-16</v>
      </c>
      <c r="AT669" s="4">
        <v>2.4952199999999999E-16</v>
      </c>
      <c r="AU669" s="4">
        <v>3.49331E-15</v>
      </c>
      <c r="AV669" s="4">
        <v>4.9904399999999999E-16</v>
      </c>
    </row>
    <row r="670" spans="3:48" x14ac:dyDescent="0.25">
      <c r="C670" s="7">
        <v>2.60751E-14</v>
      </c>
      <c r="D670" s="5">
        <v>2.8932099999999999E-13</v>
      </c>
      <c r="E670" s="5">
        <v>2.9805400000000001E-13</v>
      </c>
      <c r="F670" s="8">
        <v>3.0441700000000001E-13</v>
      </c>
      <c r="I670" s="5">
        <v>7.9847000000000006E-15</v>
      </c>
      <c r="J670" s="5">
        <v>9.9808799999999998E-16</v>
      </c>
      <c r="K670" s="5">
        <v>9.9808799999999998E-16</v>
      </c>
      <c r="L670" s="8">
        <v>4.9904399999999999E-16</v>
      </c>
      <c r="O670" s="5">
        <v>1.1228500000000001E-15</v>
      </c>
      <c r="P670" s="5">
        <v>7.4856599999999998E-16</v>
      </c>
      <c r="Q670" s="5">
        <v>7.4856599999999998E-16</v>
      </c>
      <c r="R670" s="8">
        <v>6.2380499999999999E-16</v>
      </c>
      <c r="U670" s="5">
        <v>4.4914000000000004E-15</v>
      </c>
      <c r="V670" s="5">
        <v>1.24761E-16</v>
      </c>
      <c r="W670" s="5">
        <v>2.4952199999999999E-16</v>
      </c>
      <c r="AA670" s="5"/>
      <c r="AB670" s="5">
        <v>1.24761E-16</v>
      </c>
      <c r="AC670" s="5">
        <v>3.7428299999999999E-16</v>
      </c>
      <c r="AD670" s="4">
        <v>1.24761E-16</v>
      </c>
      <c r="AG670" s="5"/>
      <c r="AM670" s="5"/>
      <c r="AS670" s="5">
        <v>3.7428299999999999E-16</v>
      </c>
      <c r="AT670" s="4">
        <v>2.4952199999999999E-16</v>
      </c>
      <c r="AU670" s="4">
        <v>3.7428299999999999E-16</v>
      </c>
      <c r="AV670" s="4">
        <v>4.9904399999999999E-16</v>
      </c>
    </row>
    <row r="671" spans="3:48" x14ac:dyDescent="0.25">
      <c r="C671" s="7">
        <v>2.5825500000000001E-14</v>
      </c>
      <c r="D671" s="5">
        <v>2.8869700000000001E-13</v>
      </c>
      <c r="E671" s="5">
        <v>2.9718100000000002E-13</v>
      </c>
      <c r="F671" s="8">
        <v>3.04043E-13</v>
      </c>
      <c r="I671" s="5">
        <v>7.9847000000000006E-15</v>
      </c>
      <c r="J671" s="5">
        <v>8.7332699999999998E-16</v>
      </c>
      <c r="K671" s="5">
        <v>9.9808799999999998E-16</v>
      </c>
      <c r="L671" s="8">
        <v>4.9904399999999999E-16</v>
      </c>
      <c r="O671" s="5">
        <v>1.1228500000000001E-15</v>
      </c>
      <c r="P671" s="5">
        <v>7.4856599999999998E-16</v>
      </c>
      <c r="Q671" s="5">
        <v>7.4856599999999998E-16</v>
      </c>
      <c r="R671" s="8">
        <v>6.2380499999999999E-16</v>
      </c>
      <c r="U671" s="5">
        <v>4.3666299999999997E-15</v>
      </c>
      <c r="V671" s="5">
        <v>1.24761E-16</v>
      </c>
      <c r="W671" s="5">
        <v>2.4952199999999999E-16</v>
      </c>
      <c r="AA671" s="5"/>
      <c r="AB671" s="5">
        <v>1.24761E-16</v>
      </c>
      <c r="AC671" s="5">
        <v>3.7428299999999999E-16</v>
      </c>
      <c r="AD671" s="4">
        <v>1.24761E-16</v>
      </c>
      <c r="AG671" s="5"/>
      <c r="AM671" s="5"/>
      <c r="AS671" s="5">
        <v>3.7428299999999999E-16</v>
      </c>
      <c r="AT671" s="4">
        <v>2.4952199999999999E-16</v>
      </c>
      <c r="AU671" s="4">
        <v>1.62189E-15</v>
      </c>
      <c r="AV671" s="4">
        <v>4.9904399999999999E-16</v>
      </c>
    </row>
    <row r="672" spans="3:48" x14ac:dyDescent="0.25">
      <c r="C672" s="7">
        <v>2.5825500000000001E-14</v>
      </c>
      <c r="D672" s="5">
        <v>2.8819799999999998E-13</v>
      </c>
      <c r="E672" s="5">
        <v>2.9705600000000001E-13</v>
      </c>
      <c r="F672" s="8">
        <v>3.0379299999999998E-13</v>
      </c>
      <c r="I672" s="5">
        <v>7.8599400000000005E-15</v>
      </c>
      <c r="J672" s="5">
        <v>8.7332699999999998E-16</v>
      </c>
      <c r="K672" s="5">
        <v>9.9808799999999998E-16</v>
      </c>
      <c r="L672" s="8">
        <v>4.9904399999999999E-16</v>
      </c>
      <c r="O672" s="5">
        <v>1.1228500000000001E-15</v>
      </c>
      <c r="P672" s="5">
        <v>7.4856599999999998E-16</v>
      </c>
      <c r="Q672" s="5">
        <v>7.4856599999999998E-16</v>
      </c>
      <c r="R672" s="8">
        <v>6.2380499999999999E-16</v>
      </c>
      <c r="U672" s="5">
        <v>4.3666299999999997E-15</v>
      </c>
      <c r="V672" s="5">
        <v>1.24761E-16</v>
      </c>
      <c r="W672" s="5">
        <v>2.4952199999999999E-16</v>
      </c>
      <c r="AA672" s="5"/>
      <c r="AB672" s="5">
        <v>1.24761E-16</v>
      </c>
      <c r="AC672" s="5">
        <v>3.7428299999999999E-16</v>
      </c>
      <c r="AD672" s="4">
        <v>1.24761E-16</v>
      </c>
      <c r="AG672" s="5"/>
      <c r="AM672" s="5"/>
      <c r="AS672" s="5">
        <v>3.7428299999999999E-16</v>
      </c>
      <c r="AT672" s="4">
        <v>2.4952199999999999E-16</v>
      </c>
      <c r="AU672" s="4">
        <v>3.8675900000000002E-15</v>
      </c>
      <c r="AV672" s="4">
        <v>4.9904399999999999E-16</v>
      </c>
    </row>
    <row r="673" spans="3:48" x14ac:dyDescent="0.25">
      <c r="C673" s="7">
        <v>2.5700800000000001E-14</v>
      </c>
      <c r="D673" s="5">
        <v>2.8682600000000001E-13</v>
      </c>
      <c r="E673" s="5">
        <v>2.9680700000000001E-13</v>
      </c>
      <c r="F673" s="8">
        <v>3.03294E-13</v>
      </c>
      <c r="I673" s="5">
        <v>7.8599400000000005E-15</v>
      </c>
      <c r="J673" s="5">
        <v>8.7332699999999998E-16</v>
      </c>
      <c r="K673" s="5">
        <v>9.9808799999999998E-16</v>
      </c>
      <c r="L673" s="8">
        <v>4.9904399999999999E-16</v>
      </c>
      <c r="O673" s="5">
        <v>9.9808799999999998E-16</v>
      </c>
      <c r="P673" s="5">
        <v>7.4856599999999998E-16</v>
      </c>
      <c r="Q673" s="5">
        <v>7.4856599999999998E-16</v>
      </c>
      <c r="R673" s="8">
        <v>6.2380499999999999E-16</v>
      </c>
      <c r="U673" s="5">
        <v>4.3666299999999997E-15</v>
      </c>
      <c r="V673" s="5">
        <v>1.24761E-16</v>
      </c>
      <c r="W673" s="5">
        <v>2.4952199999999999E-16</v>
      </c>
      <c r="AA673" s="5"/>
      <c r="AB673" s="5">
        <v>1.24761E-16</v>
      </c>
      <c r="AC673" s="5">
        <v>3.7428299999999999E-16</v>
      </c>
      <c r="AD673" s="4">
        <v>1.24761E-16</v>
      </c>
      <c r="AG673" s="5"/>
      <c r="AM673" s="5"/>
      <c r="AS673" s="5">
        <v>3.7428299999999999E-16</v>
      </c>
      <c r="AT673" s="4">
        <v>2.4952199999999999E-16</v>
      </c>
      <c r="AU673" s="4">
        <v>4.9904399999999999E-16</v>
      </c>
      <c r="AV673" s="4">
        <v>4.9904399999999999E-16</v>
      </c>
    </row>
    <row r="674" spans="3:48" x14ac:dyDescent="0.25">
      <c r="C674" s="7">
        <v>2.5700800000000001E-14</v>
      </c>
      <c r="D674" s="5">
        <v>2.8582800000000001E-13</v>
      </c>
      <c r="E674" s="5">
        <v>2.9356299999999998E-13</v>
      </c>
      <c r="F674" s="8">
        <v>3.0316899999999999E-13</v>
      </c>
      <c r="I674" s="5">
        <v>7.8599400000000005E-15</v>
      </c>
      <c r="J674" s="5">
        <v>8.7332699999999998E-16</v>
      </c>
      <c r="K674" s="5">
        <v>9.9808799999999998E-16</v>
      </c>
      <c r="L674" s="8">
        <v>4.9904399999999999E-16</v>
      </c>
      <c r="O674" s="5">
        <v>9.9808799999999998E-16</v>
      </c>
      <c r="P674" s="5">
        <v>7.4856599999999998E-16</v>
      </c>
      <c r="Q674" s="5">
        <v>7.4856599999999998E-16</v>
      </c>
      <c r="R674" s="8">
        <v>4.9904399999999999E-16</v>
      </c>
      <c r="U674" s="5">
        <v>4.3666299999999997E-15</v>
      </c>
      <c r="V674" s="5">
        <v>1.24761E-16</v>
      </c>
      <c r="W674" s="5">
        <v>2.4952199999999999E-16</v>
      </c>
      <c r="AA674" s="5"/>
      <c r="AB674" s="5">
        <v>1.24761E-16</v>
      </c>
      <c r="AC674" s="5">
        <v>3.7428299999999999E-16</v>
      </c>
      <c r="AD674" s="4">
        <v>1.24761E-16</v>
      </c>
      <c r="AG674" s="5"/>
      <c r="AM674" s="5"/>
      <c r="AS674" s="5">
        <v>3.7428299999999999E-16</v>
      </c>
      <c r="AT674" s="4">
        <v>2.4952199999999999E-16</v>
      </c>
      <c r="AU674" s="4">
        <v>5.2399600000000001E-15</v>
      </c>
      <c r="AV674" s="4">
        <v>4.9904399999999999E-16</v>
      </c>
    </row>
    <row r="675" spans="3:48" x14ac:dyDescent="0.25">
      <c r="C675" s="7">
        <v>2.5576000000000001E-14</v>
      </c>
      <c r="D675" s="5">
        <v>2.83956E-13</v>
      </c>
      <c r="E675" s="5">
        <v>2.9318799999999999E-13</v>
      </c>
      <c r="F675" s="8">
        <v>3.0242100000000001E-13</v>
      </c>
      <c r="I675" s="5">
        <v>7.8599400000000005E-15</v>
      </c>
      <c r="J675" s="5">
        <v>8.7332699999999998E-16</v>
      </c>
      <c r="K675" s="5">
        <v>8.7332699999999998E-16</v>
      </c>
      <c r="L675" s="8">
        <v>4.9904399999999999E-16</v>
      </c>
      <c r="O675" s="5">
        <v>9.9808799999999998E-16</v>
      </c>
      <c r="P675" s="5">
        <v>7.4856599999999998E-16</v>
      </c>
      <c r="Q675" s="5">
        <v>7.4856599999999998E-16</v>
      </c>
      <c r="R675" s="8">
        <v>4.9904399999999999E-16</v>
      </c>
      <c r="U675" s="5">
        <v>4.3666299999999997E-15</v>
      </c>
      <c r="V675" s="5">
        <v>1.24761E-16</v>
      </c>
      <c r="W675" s="5">
        <v>2.4952199999999999E-16</v>
      </c>
      <c r="AA675" s="5"/>
      <c r="AB675" s="5">
        <v>1.24761E-16</v>
      </c>
      <c r="AC675" s="5">
        <v>3.7428299999999999E-16</v>
      </c>
      <c r="AD675" s="4">
        <v>1.24761E-16</v>
      </c>
      <c r="AG675" s="5"/>
      <c r="AM675" s="5"/>
      <c r="AS675" s="5">
        <v>3.7428299999999999E-16</v>
      </c>
      <c r="AT675" s="4">
        <v>2.4952199999999999E-16</v>
      </c>
      <c r="AU675" s="4">
        <v>2.4952199999999999E-16</v>
      </c>
      <c r="AV675" s="4">
        <v>4.9904399999999999E-16</v>
      </c>
    </row>
    <row r="676" spans="3:48" x14ac:dyDescent="0.25">
      <c r="C676" s="7">
        <v>2.5451300000000001E-14</v>
      </c>
      <c r="D676" s="5">
        <v>2.83956E-13</v>
      </c>
      <c r="E676" s="5">
        <v>2.93064E-13</v>
      </c>
      <c r="F676" s="8">
        <v>3.0242100000000001E-13</v>
      </c>
      <c r="I676" s="5">
        <v>7.7351800000000004E-15</v>
      </c>
      <c r="J676" s="5">
        <v>8.7332699999999998E-16</v>
      </c>
      <c r="K676" s="5">
        <v>8.7332699999999998E-16</v>
      </c>
      <c r="L676" s="8">
        <v>4.9904399999999999E-16</v>
      </c>
      <c r="O676" s="5">
        <v>9.9808799999999998E-16</v>
      </c>
      <c r="P676" s="5">
        <v>7.4856599999999998E-16</v>
      </c>
      <c r="Q676" s="5">
        <v>7.4856599999999998E-16</v>
      </c>
      <c r="R676" s="8">
        <v>4.9904399999999999E-16</v>
      </c>
      <c r="U676" s="5">
        <v>4.3666299999999997E-15</v>
      </c>
      <c r="V676" s="5">
        <v>1.24761E-16</v>
      </c>
      <c r="W676" s="5">
        <v>2.4952199999999999E-16</v>
      </c>
      <c r="AA676" s="5"/>
      <c r="AB676" s="5">
        <v>1.24761E-16</v>
      </c>
      <c r="AC676" s="5">
        <v>3.7428299999999999E-16</v>
      </c>
      <c r="AD676" s="4">
        <v>1.24761E-16</v>
      </c>
      <c r="AG676" s="5"/>
      <c r="AM676" s="5"/>
      <c r="AS676" s="5">
        <v>3.7428299999999999E-16</v>
      </c>
      <c r="AT676" s="4">
        <v>2.4952199999999999E-16</v>
      </c>
      <c r="AU676" s="4">
        <v>8.6085100000000001E-14</v>
      </c>
      <c r="AV676" s="4">
        <v>4.9904399999999999E-16</v>
      </c>
    </row>
    <row r="677" spans="3:48" x14ac:dyDescent="0.25">
      <c r="C677" s="7">
        <v>2.5451300000000001E-14</v>
      </c>
      <c r="D677" s="5">
        <v>2.8370699999999999E-13</v>
      </c>
      <c r="E677" s="5">
        <v>2.9156700000000002E-13</v>
      </c>
      <c r="F677" s="8">
        <v>3.0079900000000002E-13</v>
      </c>
      <c r="I677" s="5">
        <v>7.7351800000000004E-15</v>
      </c>
      <c r="J677" s="5">
        <v>8.7332699999999998E-16</v>
      </c>
      <c r="K677" s="5">
        <v>8.7332699999999998E-16</v>
      </c>
      <c r="L677" s="8">
        <v>4.9904399999999999E-16</v>
      </c>
      <c r="O677" s="5">
        <v>9.9808799999999998E-16</v>
      </c>
      <c r="P677" s="5">
        <v>7.4856599999999998E-16</v>
      </c>
      <c r="Q677" s="5">
        <v>7.4856599999999998E-16</v>
      </c>
      <c r="R677" s="8">
        <v>4.9904399999999999E-16</v>
      </c>
      <c r="U677" s="5">
        <v>4.3666299999999997E-15</v>
      </c>
      <c r="V677" s="5">
        <v>1.24761E-16</v>
      </c>
      <c r="W677" s="5">
        <v>2.4952199999999999E-16</v>
      </c>
      <c r="AA677" s="5"/>
      <c r="AB677" s="5">
        <v>1.24761E-16</v>
      </c>
      <c r="AC677" s="5">
        <v>3.7428299999999999E-16</v>
      </c>
      <c r="AD677" s="4">
        <v>1.24761E-16</v>
      </c>
      <c r="AG677" s="5"/>
      <c r="AM677" s="5"/>
      <c r="AS677" s="5">
        <v>3.7428299999999999E-16</v>
      </c>
      <c r="AT677" s="4">
        <v>2.4952199999999999E-16</v>
      </c>
      <c r="AU677" s="4">
        <v>1.62189E-15</v>
      </c>
      <c r="AV677" s="4">
        <v>4.9904399999999999E-16</v>
      </c>
    </row>
    <row r="678" spans="3:48" x14ac:dyDescent="0.25">
      <c r="C678" s="7">
        <v>2.5451300000000001E-14</v>
      </c>
      <c r="D678" s="5">
        <v>2.8345700000000002E-13</v>
      </c>
      <c r="E678" s="5">
        <v>2.9144200000000001E-13</v>
      </c>
      <c r="F678" s="8">
        <v>3.0054899999999999E-13</v>
      </c>
      <c r="I678" s="5">
        <v>7.7351800000000004E-15</v>
      </c>
      <c r="J678" s="5">
        <v>8.7332699999999998E-16</v>
      </c>
      <c r="K678" s="5">
        <v>8.7332699999999998E-16</v>
      </c>
      <c r="L678" s="8">
        <v>4.9904399999999999E-16</v>
      </c>
      <c r="O678" s="5">
        <v>9.9808799999999998E-16</v>
      </c>
      <c r="P678" s="5">
        <v>6.2380499999999999E-16</v>
      </c>
      <c r="Q678" s="5">
        <v>7.4856599999999998E-16</v>
      </c>
      <c r="R678" s="8">
        <v>4.9904399999999999E-16</v>
      </c>
      <c r="U678" s="5">
        <v>4.3666299999999997E-15</v>
      </c>
      <c r="V678" s="5">
        <v>1.24761E-16</v>
      </c>
      <c r="W678" s="5">
        <v>2.4952199999999999E-16</v>
      </c>
      <c r="AA678" s="5"/>
      <c r="AB678" s="5">
        <v>1.24761E-16</v>
      </c>
      <c r="AC678" s="5">
        <v>3.7428299999999999E-16</v>
      </c>
      <c r="AD678" s="4">
        <v>1.24761E-16</v>
      </c>
      <c r="AG678" s="5"/>
      <c r="AM678" s="5"/>
      <c r="AS678" s="5">
        <v>3.7428299999999999E-16</v>
      </c>
      <c r="AT678" s="4">
        <v>2.4952199999999999E-16</v>
      </c>
      <c r="AU678" s="4">
        <v>2.4952199999999999E-16</v>
      </c>
      <c r="AV678" s="4">
        <v>4.9904399999999999E-16</v>
      </c>
    </row>
    <row r="679" spans="3:48" x14ac:dyDescent="0.25">
      <c r="C679" s="7">
        <v>2.53265E-14</v>
      </c>
      <c r="D679" s="5">
        <v>2.8320800000000002E-13</v>
      </c>
      <c r="E679" s="5">
        <v>2.91317E-13</v>
      </c>
      <c r="F679" s="8">
        <v>2.98927E-13</v>
      </c>
      <c r="I679" s="5">
        <v>7.7351800000000004E-15</v>
      </c>
      <c r="J679" s="5">
        <v>8.7332699999999998E-16</v>
      </c>
      <c r="K679" s="5">
        <v>8.7332699999999998E-16</v>
      </c>
      <c r="L679" s="8">
        <v>4.9904399999999999E-16</v>
      </c>
      <c r="O679" s="5">
        <v>9.9808799999999998E-16</v>
      </c>
      <c r="P679" s="5">
        <v>6.2380499999999999E-16</v>
      </c>
      <c r="Q679" s="5">
        <v>7.4856599999999998E-16</v>
      </c>
      <c r="R679" s="8">
        <v>4.9904399999999999E-16</v>
      </c>
      <c r="U679" s="5">
        <v>4.3666299999999997E-15</v>
      </c>
      <c r="V679" s="5">
        <v>1.24761E-16</v>
      </c>
      <c r="W679" s="5">
        <v>2.4952199999999999E-16</v>
      </c>
      <c r="AA679" s="5"/>
      <c r="AB679" s="5">
        <v>1.24761E-16</v>
      </c>
      <c r="AC679" s="5">
        <v>3.7428299999999999E-16</v>
      </c>
      <c r="AD679" s="4">
        <v>1.24761E-16</v>
      </c>
      <c r="AG679" s="5"/>
      <c r="AM679" s="5"/>
      <c r="AS679" s="5">
        <v>3.7428299999999999E-16</v>
      </c>
      <c r="AT679" s="4">
        <v>2.4952199999999999E-16</v>
      </c>
      <c r="AU679" s="4">
        <v>2.2457000000000002E-15</v>
      </c>
      <c r="AV679" s="4">
        <v>4.9904399999999999E-16</v>
      </c>
    </row>
    <row r="680" spans="3:48" x14ac:dyDescent="0.25">
      <c r="C680" s="7">
        <v>2.53265E-14</v>
      </c>
      <c r="D680" s="5">
        <v>2.8245900000000002E-13</v>
      </c>
      <c r="E680" s="5">
        <v>2.9094299999999999E-13</v>
      </c>
      <c r="F680" s="8">
        <v>2.9880300000000001E-13</v>
      </c>
      <c r="I680" s="5">
        <v>7.6104200000000003E-15</v>
      </c>
      <c r="J680" s="5">
        <v>8.7332699999999998E-16</v>
      </c>
      <c r="K680" s="5">
        <v>8.7332699999999998E-16</v>
      </c>
      <c r="L680" s="8">
        <v>4.9904399999999999E-16</v>
      </c>
      <c r="O680" s="5">
        <v>9.9808799999999998E-16</v>
      </c>
      <c r="P680" s="5">
        <v>6.2380499999999999E-16</v>
      </c>
      <c r="Q680" s="5">
        <v>7.4856599999999998E-16</v>
      </c>
      <c r="R680" s="8">
        <v>4.9904399999999999E-16</v>
      </c>
      <c r="U680" s="5">
        <v>4.3666299999999997E-15</v>
      </c>
      <c r="V680" s="5">
        <v>1.24761E-16</v>
      </c>
      <c r="W680" s="5">
        <v>2.4952199999999999E-16</v>
      </c>
      <c r="AA680" s="5"/>
      <c r="AB680" s="5">
        <v>1.24761E-16</v>
      </c>
      <c r="AC680" s="5">
        <v>3.7428299999999999E-16</v>
      </c>
      <c r="AD680" s="4">
        <v>1.24761E-16</v>
      </c>
      <c r="AG680" s="5"/>
      <c r="AM680" s="5"/>
      <c r="AS680" s="5">
        <v>3.7428299999999999E-16</v>
      </c>
      <c r="AT680" s="4">
        <v>2.4952199999999999E-16</v>
      </c>
      <c r="AU680" s="4">
        <v>3.7428299999999999E-16</v>
      </c>
      <c r="AV680" s="4">
        <v>4.9904399999999999E-16</v>
      </c>
    </row>
    <row r="681" spans="3:48" x14ac:dyDescent="0.25">
      <c r="C681" s="7">
        <v>2.5201699999999999E-14</v>
      </c>
      <c r="D681" s="5">
        <v>2.8245900000000002E-13</v>
      </c>
      <c r="E681" s="5">
        <v>2.86701E-13</v>
      </c>
      <c r="F681" s="8">
        <v>2.98678E-13</v>
      </c>
      <c r="I681" s="5">
        <v>7.6104200000000003E-15</v>
      </c>
      <c r="J681" s="5">
        <v>7.4856599999999998E-16</v>
      </c>
      <c r="K681" s="5">
        <v>8.7332699999999998E-16</v>
      </c>
      <c r="L681" s="8">
        <v>4.9904399999999999E-16</v>
      </c>
      <c r="O681" s="5">
        <v>9.9808799999999998E-16</v>
      </c>
      <c r="P681" s="5">
        <v>6.2380499999999999E-16</v>
      </c>
      <c r="Q681" s="5">
        <v>6.2380499999999999E-16</v>
      </c>
      <c r="R681" s="8">
        <v>4.9904399999999999E-16</v>
      </c>
      <c r="U681" s="5">
        <v>4.2418699999999996E-15</v>
      </c>
      <c r="V681" s="5">
        <v>1.24761E-16</v>
      </c>
      <c r="W681" s="5">
        <v>2.4952199999999999E-16</v>
      </c>
      <c r="AA681" s="5"/>
      <c r="AB681" s="5">
        <v>1.24761E-16</v>
      </c>
      <c r="AC681" s="5">
        <v>3.7428299999999999E-16</v>
      </c>
      <c r="AD681" s="4">
        <v>1.24761E-16</v>
      </c>
      <c r="AG681" s="5"/>
      <c r="AM681" s="5"/>
      <c r="AS681" s="5">
        <v>3.7428299999999999E-16</v>
      </c>
      <c r="AT681" s="4">
        <v>2.4952199999999999E-16</v>
      </c>
      <c r="AU681" s="4">
        <v>3.7428299999999999E-16</v>
      </c>
      <c r="AV681" s="4">
        <v>4.9904399999999999E-16</v>
      </c>
    </row>
    <row r="682" spans="3:48" x14ac:dyDescent="0.25">
      <c r="C682" s="7">
        <v>2.5201699999999999E-14</v>
      </c>
      <c r="D682" s="5">
        <v>2.7809200000000002E-13</v>
      </c>
      <c r="E682" s="5">
        <v>2.8557799999999999E-13</v>
      </c>
      <c r="F682" s="8">
        <v>2.9742999999999998E-13</v>
      </c>
      <c r="I682" s="5">
        <v>7.6104200000000003E-15</v>
      </c>
      <c r="J682" s="5">
        <v>7.4856599999999998E-16</v>
      </c>
      <c r="K682" s="5">
        <v>8.7332699999999998E-16</v>
      </c>
      <c r="L682" s="8">
        <v>4.9904399999999999E-16</v>
      </c>
      <c r="O682" s="5">
        <v>9.9808799999999998E-16</v>
      </c>
      <c r="P682" s="5">
        <v>6.2380499999999999E-16</v>
      </c>
      <c r="Q682" s="5">
        <v>6.2380499999999999E-16</v>
      </c>
      <c r="R682" s="8">
        <v>4.9904399999999999E-16</v>
      </c>
      <c r="U682" s="5">
        <v>4.2418699999999996E-15</v>
      </c>
      <c r="V682" s="5">
        <v>1.24761E-16</v>
      </c>
      <c r="W682" s="5">
        <v>2.4952199999999999E-16</v>
      </c>
      <c r="AA682" s="5"/>
      <c r="AB682" s="5">
        <v>1.24761E-16</v>
      </c>
      <c r="AC682" s="5">
        <v>3.7428299999999999E-16</v>
      </c>
      <c r="AD682" s="4">
        <v>1.24761E-16</v>
      </c>
      <c r="AG682" s="5"/>
      <c r="AM682" s="5"/>
      <c r="AS682" s="5">
        <v>3.7428299999999999E-16</v>
      </c>
      <c r="AT682" s="4">
        <v>2.4952199999999999E-16</v>
      </c>
      <c r="AU682" s="4">
        <v>1.24761E-16</v>
      </c>
      <c r="AV682" s="4">
        <v>4.9904399999999999E-16</v>
      </c>
    </row>
    <row r="683" spans="3:48" x14ac:dyDescent="0.25">
      <c r="C683" s="7">
        <v>2.5201699999999999E-14</v>
      </c>
      <c r="D683" s="5">
        <v>2.7784300000000002E-13</v>
      </c>
      <c r="E683" s="5">
        <v>2.84954E-13</v>
      </c>
      <c r="F683" s="8">
        <v>2.9555899999999998E-13</v>
      </c>
      <c r="I683" s="5">
        <v>7.6104200000000003E-15</v>
      </c>
      <c r="J683" s="5">
        <v>7.4856599999999998E-16</v>
      </c>
      <c r="K683" s="5">
        <v>8.7332699999999998E-16</v>
      </c>
      <c r="L683" s="8">
        <v>4.9904399999999999E-16</v>
      </c>
      <c r="O683" s="5">
        <v>9.9808799999999998E-16</v>
      </c>
      <c r="P683" s="5">
        <v>6.2380499999999999E-16</v>
      </c>
      <c r="Q683" s="5">
        <v>6.2380499999999999E-16</v>
      </c>
      <c r="R683" s="8">
        <v>4.9904399999999999E-16</v>
      </c>
      <c r="U683" s="5">
        <v>4.2418699999999996E-15</v>
      </c>
      <c r="V683" s="5">
        <v>1.24761E-16</v>
      </c>
      <c r="W683" s="5">
        <v>2.4952199999999999E-16</v>
      </c>
      <c r="AA683" s="5"/>
      <c r="AB683" s="5">
        <v>1.24761E-16</v>
      </c>
      <c r="AC683" s="5">
        <v>2.4952199999999999E-16</v>
      </c>
      <c r="AD683" s="4">
        <v>1.24761E-16</v>
      </c>
      <c r="AG683" s="5"/>
      <c r="AM683" s="5"/>
      <c r="AS683" s="5">
        <v>3.7428299999999999E-16</v>
      </c>
      <c r="AT683" s="4">
        <v>2.4952199999999999E-16</v>
      </c>
      <c r="AU683" s="4">
        <v>9.9808799999999998E-16</v>
      </c>
      <c r="AV683" s="4">
        <v>4.9904399999999999E-16</v>
      </c>
    </row>
    <row r="684" spans="3:48" x14ac:dyDescent="0.25">
      <c r="C684" s="7">
        <v>2.5201699999999999E-14</v>
      </c>
      <c r="D684" s="5">
        <v>2.7734399999999999E-13</v>
      </c>
      <c r="E684" s="5">
        <v>2.8358199999999998E-13</v>
      </c>
      <c r="F684" s="8">
        <v>2.9530900000000001E-13</v>
      </c>
      <c r="I684" s="5">
        <v>7.6104200000000003E-15</v>
      </c>
      <c r="J684" s="5">
        <v>7.4856599999999998E-16</v>
      </c>
      <c r="K684" s="5">
        <v>8.7332699999999998E-16</v>
      </c>
      <c r="L684" s="8">
        <v>4.9904399999999999E-16</v>
      </c>
      <c r="O684" s="5">
        <v>9.9808799999999998E-16</v>
      </c>
      <c r="P684" s="5">
        <v>6.2380499999999999E-16</v>
      </c>
      <c r="Q684" s="5">
        <v>6.2380499999999999E-16</v>
      </c>
      <c r="R684" s="8">
        <v>4.9904399999999999E-16</v>
      </c>
      <c r="U684" s="5">
        <v>4.2418699999999996E-15</v>
      </c>
      <c r="V684" s="5">
        <v>1.24761E-16</v>
      </c>
      <c r="W684" s="5">
        <v>2.4952199999999999E-16</v>
      </c>
      <c r="AA684" s="5"/>
      <c r="AB684" s="5">
        <v>1.24761E-16</v>
      </c>
      <c r="AC684" s="5">
        <v>2.4952199999999999E-16</v>
      </c>
      <c r="AD684" s="4">
        <v>1.24761E-16</v>
      </c>
      <c r="AG684" s="5"/>
      <c r="AM684" s="5"/>
      <c r="AS684" s="5">
        <v>3.7428299999999999E-16</v>
      </c>
      <c r="AT684" s="4">
        <v>2.4952199999999999E-16</v>
      </c>
      <c r="AU684" s="4">
        <v>1.24761E-16</v>
      </c>
      <c r="AV684" s="4">
        <v>4.9904399999999999E-16</v>
      </c>
    </row>
    <row r="685" spans="3:48" x14ac:dyDescent="0.25">
      <c r="C685" s="7">
        <v>2.5076999999999999E-14</v>
      </c>
      <c r="D685" s="5">
        <v>2.7709400000000002E-13</v>
      </c>
      <c r="E685" s="5">
        <v>2.8320800000000002E-13</v>
      </c>
      <c r="F685" s="8">
        <v>2.9456099999999998E-13</v>
      </c>
      <c r="I685" s="5">
        <v>7.4856600000000002E-15</v>
      </c>
      <c r="J685" s="5">
        <v>7.4856599999999998E-16</v>
      </c>
      <c r="K685" s="5">
        <v>8.7332699999999998E-16</v>
      </c>
      <c r="L685" s="8">
        <v>4.9904399999999999E-16</v>
      </c>
      <c r="O685" s="5">
        <v>9.9808799999999998E-16</v>
      </c>
      <c r="P685" s="5">
        <v>6.2380499999999999E-16</v>
      </c>
      <c r="Q685" s="5">
        <v>6.2380499999999999E-16</v>
      </c>
      <c r="R685" s="8">
        <v>3.7428299999999999E-16</v>
      </c>
      <c r="U685" s="5">
        <v>4.2418699999999996E-15</v>
      </c>
      <c r="V685" s="5">
        <v>1.24761E-16</v>
      </c>
      <c r="W685" s="5">
        <v>2.4952199999999999E-16</v>
      </c>
      <c r="AA685" s="5"/>
      <c r="AB685" s="5">
        <v>1.24761E-16</v>
      </c>
      <c r="AC685" s="5">
        <v>2.4952199999999999E-16</v>
      </c>
      <c r="AD685" s="4">
        <v>1.24761E-16</v>
      </c>
      <c r="AG685" s="5"/>
      <c r="AM685" s="5"/>
      <c r="AS685" s="5">
        <v>3.7428299999999999E-16</v>
      </c>
      <c r="AT685" s="4">
        <v>2.4952199999999999E-16</v>
      </c>
      <c r="AU685" s="4">
        <v>4.9904399999999999E-16</v>
      </c>
      <c r="AV685" s="4">
        <v>4.9904399999999999E-16</v>
      </c>
    </row>
    <row r="686" spans="3:48" x14ac:dyDescent="0.25">
      <c r="C686" s="7">
        <v>2.4952199999999999E-14</v>
      </c>
      <c r="D686" s="5">
        <v>2.7684500000000002E-13</v>
      </c>
      <c r="E686" s="5">
        <v>2.8270899999999999E-13</v>
      </c>
      <c r="F686" s="8">
        <v>2.94062E-13</v>
      </c>
      <c r="I686" s="5">
        <v>7.4856600000000002E-15</v>
      </c>
      <c r="J686" s="5">
        <v>7.4856599999999998E-16</v>
      </c>
      <c r="K686" s="5">
        <v>7.4856599999999998E-16</v>
      </c>
      <c r="L686" s="8">
        <v>4.9904399999999999E-16</v>
      </c>
      <c r="O686" s="5">
        <v>9.9808799999999998E-16</v>
      </c>
      <c r="P686" s="5">
        <v>6.2380499999999999E-16</v>
      </c>
      <c r="Q686" s="5">
        <v>6.2380499999999999E-16</v>
      </c>
      <c r="R686" s="8">
        <v>3.7428299999999999E-16</v>
      </c>
      <c r="U686" s="5">
        <v>4.2418699999999996E-15</v>
      </c>
      <c r="V686" s="5">
        <v>1.24761E-16</v>
      </c>
      <c r="W686" s="5">
        <v>2.4952199999999999E-16</v>
      </c>
      <c r="AA686" s="5"/>
      <c r="AB686" s="5">
        <v>1.24761E-16</v>
      </c>
      <c r="AC686" s="5">
        <v>2.4952199999999999E-16</v>
      </c>
      <c r="AD686" s="4">
        <v>1.24761E-16</v>
      </c>
      <c r="AG686" s="5"/>
      <c r="AM686" s="5"/>
      <c r="AS686" s="5">
        <v>3.7428299999999999E-16</v>
      </c>
      <c r="AT686" s="4">
        <v>2.4952199999999999E-16</v>
      </c>
      <c r="AU686" s="4">
        <v>1.7466500000000001E-15</v>
      </c>
      <c r="AV686" s="4">
        <v>4.9904399999999999E-16</v>
      </c>
    </row>
    <row r="687" spans="3:48" x14ac:dyDescent="0.25">
      <c r="C687" s="7">
        <v>2.4827400000000001E-14</v>
      </c>
      <c r="D687" s="5">
        <v>2.7597100000000001E-13</v>
      </c>
      <c r="E687" s="5">
        <v>2.8258399999999998E-13</v>
      </c>
      <c r="F687" s="8">
        <v>2.94062E-13</v>
      </c>
      <c r="I687" s="5">
        <v>7.4856600000000002E-15</v>
      </c>
      <c r="J687" s="5">
        <v>7.4856599999999998E-16</v>
      </c>
      <c r="K687" s="5">
        <v>7.4856599999999998E-16</v>
      </c>
      <c r="L687" s="8">
        <v>4.9904399999999999E-16</v>
      </c>
      <c r="O687" s="5">
        <v>9.9808799999999998E-16</v>
      </c>
      <c r="P687" s="5">
        <v>6.2380499999999999E-16</v>
      </c>
      <c r="Q687" s="5">
        <v>6.2380499999999999E-16</v>
      </c>
      <c r="R687" s="8">
        <v>3.7428299999999999E-16</v>
      </c>
      <c r="U687" s="5">
        <v>4.2418699999999996E-15</v>
      </c>
      <c r="V687" s="5">
        <v>1.24761E-16</v>
      </c>
      <c r="W687" s="5">
        <v>1.24761E-16</v>
      </c>
      <c r="AA687" s="5"/>
      <c r="AB687" s="5">
        <v>1.24761E-16</v>
      </c>
      <c r="AC687" s="5">
        <v>2.4952199999999999E-16</v>
      </c>
      <c r="AD687" s="4">
        <v>1.24761E-16</v>
      </c>
      <c r="AG687" s="5"/>
      <c r="AM687" s="5"/>
      <c r="AS687" s="5">
        <v>3.7428299999999999E-16</v>
      </c>
      <c r="AT687" s="4">
        <v>2.4952199999999999E-16</v>
      </c>
      <c r="AU687" s="4">
        <v>9.9808799999999998E-16</v>
      </c>
      <c r="AV687" s="4">
        <v>4.9904399999999999E-16</v>
      </c>
    </row>
    <row r="688" spans="3:48" x14ac:dyDescent="0.25">
      <c r="C688" s="7">
        <v>2.4827400000000001E-14</v>
      </c>
      <c r="D688" s="5">
        <v>2.75722E-13</v>
      </c>
      <c r="E688" s="5">
        <v>2.81336E-13</v>
      </c>
      <c r="F688" s="8">
        <v>2.9393699999999999E-13</v>
      </c>
      <c r="I688" s="5">
        <v>7.3609000000000002E-15</v>
      </c>
      <c r="J688" s="5">
        <v>7.4856599999999998E-16</v>
      </c>
      <c r="K688" s="5">
        <v>7.4856599999999998E-16</v>
      </c>
      <c r="L688" s="8">
        <v>4.9904399999999999E-16</v>
      </c>
      <c r="O688" s="5">
        <v>9.9808799999999998E-16</v>
      </c>
      <c r="P688" s="5">
        <v>6.2380499999999999E-16</v>
      </c>
      <c r="Q688" s="5">
        <v>6.2380499999999999E-16</v>
      </c>
      <c r="R688" s="8">
        <v>3.7428299999999999E-16</v>
      </c>
      <c r="U688" s="5">
        <v>4.2418699999999996E-15</v>
      </c>
      <c r="V688" s="5">
        <v>1.24761E-16</v>
      </c>
      <c r="W688" s="5">
        <v>1.24761E-16</v>
      </c>
      <c r="AA688" s="5"/>
      <c r="AB688" s="5">
        <v>1.24761E-16</v>
      </c>
      <c r="AC688" s="5">
        <v>2.4952199999999999E-16</v>
      </c>
      <c r="AD688" s="4">
        <v>1.24761E-16</v>
      </c>
      <c r="AG688" s="5"/>
      <c r="AM688" s="5"/>
      <c r="AS688" s="5">
        <v>3.7428299999999999E-16</v>
      </c>
      <c r="AT688" s="4">
        <v>2.4952199999999999E-16</v>
      </c>
      <c r="AU688" s="4">
        <v>5.9885300000000003E-15</v>
      </c>
      <c r="AV688" s="4">
        <v>4.9904399999999999E-16</v>
      </c>
    </row>
    <row r="689" spans="3:48" x14ac:dyDescent="0.25">
      <c r="C689" s="7">
        <v>2.4702700000000001E-14</v>
      </c>
      <c r="D689" s="5">
        <v>2.7484900000000001E-13</v>
      </c>
      <c r="E689" s="5">
        <v>2.81087E-13</v>
      </c>
      <c r="F689" s="8">
        <v>2.9081800000000002E-13</v>
      </c>
      <c r="I689" s="5">
        <v>7.3609000000000002E-15</v>
      </c>
      <c r="J689" s="5">
        <v>6.2380499999999999E-16</v>
      </c>
      <c r="K689" s="5">
        <v>7.4856599999999998E-16</v>
      </c>
      <c r="L689" s="8">
        <v>3.7428299999999999E-16</v>
      </c>
      <c r="O689" s="5">
        <v>9.9808799999999998E-16</v>
      </c>
      <c r="P689" s="5">
        <v>6.2380499999999999E-16</v>
      </c>
      <c r="Q689" s="5">
        <v>6.2380499999999999E-16</v>
      </c>
      <c r="R689" s="8">
        <v>3.7428299999999999E-16</v>
      </c>
      <c r="U689" s="5">
        <v>4.2418699999999996E-15</v>
      </c>
      <c r="V689" s="5">
        <v>1.24761E-16</v>
      </c>
      <c r="W689" s="5">
        <v>1.24761E-16</v>
      </c>
      <c r="AA689" s="5"/>
      <c r="AB689" s="5">
        <v>1.24761E-16</v>
      </c>
      <c r="AC689" s="5">
        <v>2.4952199999999999E-16</v>
      </c>
      <c r="AD689" s="4">
        <v>1.24761E-16</v>
      </c>
      <c r="AG689" s="5"/>
      <c r="AM689" s="5"/>
      <c r="AS689" s="5">
        <v>3.7428299999999999E-16</v>
      </c>
      <c r="AT689" s="4">
        <v>2.4952199999999999E-16</v>
      </c>
      <c r="AU689" s="4">
        <v>1.1228500000000001E-15</v>
      </c>
      <c r="AV689" s="4">
        <v>4.9904399999999999E-16</v>
      </c>
    </row>
    <row r="690" spans="3:48" x14ac:dyDescent="0.25">
      <c r="C690" s="7">
        <v>2.4702700000000001E-14</v>
      </c>
      <c r="D690" s="5">
        <v>2.7459899999999999E-13</v>
      </c>
      <c r="E690" s="5">
        <v>2.8058799999999998E-13</v>
      </c>
      <c r="F690" s="8">
        <v>2.9069300000000001E-13</v>
      </c>
      <c r="I690" s="5">
        <v>7.2361400000000001E-15</v>
      </c>
      <c r="J690" s="5">
        <v>6.2380499999999999E-16</v>
      </c>
      <c r="K690" s="5">
        <v>7.4856599999999998E-16</v>
      </c>
      <c r="L690" s="8">
        <v>3.7428299999999999E-16</v>
      </c>
      <c r="O690" s="5">
        <v>9.9808799999999998E-16</v>
      </c>
      <c r="P690" s="5">
        <v>6.2380499999999999E-16</v>
      </c>
      <c r="Q690" s="5">
        <v>6.2380499999999999E-16</v>
      </c>
      <c r="R690" s="8">
        <v>3.7428299999999999E-16</v>
      </c>
      <c r="U690" s="5">
        <v>4.2418699999999996E-15</v>
      </c>
      <c r="V690" s="5">
        <v>1.24761E-16</v>
      </c>
      <c r="W690" s="5">
        <v>1.24761E-16</v>
      </c>
      <c r="AA690" s="5"/>
      <c r="AB690" s="5">
        <v>1.24761E-16</v>
      </c>
      <c r="AC690" s="5">
        <v>2.4952199999999999E-16</v>
      </c>
      <c r="AD690" s="4">
        <v>1.24761E-16</v>
      </c>
      <c r="AG690" s="5"/>
      <c r="AM690" s="5"/>
      <c r="AS690" s="5">
        <v>3.7428299999999999E-16</v>
      </c>
      <c r="AT690" s="4">
        <v>2.4952199999999999E-16</v>
      </c>
      <c r="AU690" s="4">
        <v>1.24761E-16</v>
      </c>
      <c r="AV690" s="4">
        <v>4.9904399999999999E-16</v>
      </c>
    </row>
    <row r="691" spans="3:48" x14ac:dyDescent="0.25">
      <c r="C691" s="7">
        <v>2.4453200000000001E-14</v>
      </c>
      <c r="D691" s="5">
        <v>2.7422499999999998E-13</v>
      </c>
      <c r="E691" s="5">
        <v>2.80338E-13</v>
      </c>
      <c r="F691" s="8">
        <v>2.8969500000000001E-13</v>
      </c>
      <c r="I691" s="5">
        <v>7.2361400000000001E-15</v>
      </c>
      <c r="J691" s="5">
        <v>6.2380499999999999E-16</v>
      </c>
      <c r="K691" s="5">
        <v>7.4856599999999998E-16</v>
      </c>
      <c r="L691" s="8">
        <v>3.7428299999999999E-16</v>
      </c>
      <c r="O691" s="5">
        <v>8.7332699999999998E-16</v>
      </c>
      <c r="P691" s="5">
        <v>6.2380499999999999E-16</v>
      </c>
      <c r="Q691" s="5">
        <v>6.2380499999999999E-16</v>
      </c>
      <c r="R691" s="8">
        <v>3.7428299999999999E-16</v>
      </c>
      <c r="U691" s="5">
        <v>4.1171100000000004E-15</v>
      </c>
      <c r="V691" s="5">
        <v>1.24761E-16</v>
      </c>
      <c r="W691" s="5">
        <v>1.24761E-16</v>
      </c>
      <c r="AA691" s="5"/>
      <c r="AB691" s="5">
        <v>1.24761E-16</v>
      </c>
      <c r="AC691" s="5">
        <v>2.4952199999999999E-16</v>
      </c>
      <c r="AD691" s="4">
        <v>1.24761E-16</v>
      </c>
      <c r="AG691" s="5"/>
      <c r="AM691" s="5"/>
      <c r="AS691" s="5">
        <v>3.7428299999999999E-16</v>
      </c>
      <c r="AT691" s="4">
        <v>2.4952199999999999E-16</v>
      </c>
      <c r="AU691" s="4">
        <v>3.7428299999999999E-16</v>
      </c>
      <c r="AV691" s="4">
        <v>4.9904399999999999E-16</v>
      </c>
    </row>
    <row r="692" spans="3:48" x14ac:dyDescent="0.25">
      <c r="C692" s="7">
        <v>2.4203599999999999E-14</v>
      </c>
      <c r="D692" s="5">
        <v>2.73975E-13</v>
      </c>
      <c r="E692" s="5">
        <v>2.7946500000000001E-13</v>
      </c>
      <c r="F692" s="8">
        <v>2.87699E-13</v>
      </c>
      <c r="I692" s="5">
        <v>7.2361400000000001E-15</v>
      </c>
      <c r="J692" s="5">
        <v>6.2380499999999999E-16</v>
      </c>
      <c r="K692" s="5">
        <v>7.4856599999999998E-16</v>
      </c>
      <c r="L692" s="8">
        <v>3.7428299999999999E-16</v>
      </c>
      <c r="O692" s="5">
        <v>8.7332699999999998E-16</v>
      </c>
      <c r="P692" s="5">
        <v>6.2380499999999999E-16</v>
      </c>
      <c r="Q692" s="5">
        <v>6.2380499999999999E-16</v>
      </c>
      <c r="R692" s="8">
        <v>3.7428299999999999E-16</v>
      </c>
      <c r="U692" s="5">
        <v>4.1171100000000004E-15</v>
      </c>
      <c r="V692" s="5"/>
      <c r="W692" s="5">
        <v>1.24761E-16</v>
      </c>
      <c r="AA692" s="5"/>
      <c r="AB692" s="5">
        <v>1.24761E-16</v>
      </c>
      <c r="AC692" s="5">
        <v>2.4952199999999999E-16</v>
      </c>
      <c r="AD692" s="4">
        <v>1.24761E-16</v>
      </c>
      <c r="AG692" s="5"/>
      <c r="AM692" s="5"/>
      <c r="AS692" s="5">
        <v>3.7428299999999999E-16</v>
      </c>
      <c r="AT692" s="4">
        <v>2.4952199999999999E-16</v>
      </c>
      <c r="AU692" s="4">
        <v>1.3723700000000001E-15</v>
      </c>
      <c r="AV692" s="4">
        <v>4.9904399999999999E-16</v>
      </c>
    </row>
    <row r="693" spans="3:48" x14ac:dyDescent="0.25">
      <c r="C693" s="7">
        <v>2.4203599999999999E-14</v>
      </c>
      <c r="D693" s="5">
        <v>2.7335100000000001E-13</v>
      </c>
      <c r="E693" s="5">
        <v>2.7871600000000001E-13</v>
      </c>
      <c r="F693" s="8">
        <v>2.84954E-13</v>
      </c>
      <c r="I693" s="5">
        <v>7.2361400000000001E-15</v>
      </c>
      <c r="J693" s="5">
        <v>6.2380499999999999E-16</v>
      </c>
      <c r="K693" s="5">
        <v>7.4856599999999998E-16</v>
      </c>
      <c r="L693" s="8">
        <v>3.7428299999999999E-16</v>
      </c>
      <c r="O693" s="5">
        <v>8.7332699999999998E-16</v>
      </c>
      <c r="P693" s="5">
        <v>4.9904399999999999E-16</v>
      </c>
      <c r="Q693" s="5">
        <v>6.2380499999999999E-16</v>
      </c>
      <c r="R693" s="8">
        <v>3.7428299999999999E-16</v>
      </c>
      <c r="U693" s="5">
        <v>4.1171100000000004E-15</v>
      </c>
      <c r="V693" s="5"/>
      <c r="W693" s="5">
        <v>1.24761E-16</v>
      </c>
      <c r="AA693" s="5"/>
      <c r="AB693" s="5">
        <v>1.24761E-16</v>
      </c>
      <c r="AC693" s="5">
        <v>2.4952199999999999E-16</v>
      </c>
      <c r="AD693" s="4">
        <v>1.24761E-16</v>
      </c>
      <c r="AG693" s="5"/>
      <c r="AM693" s="5"/>
      <c r="AS693" s="5">
        <v>3.7428299999999999E-16</v>
      </c>
      <c r="AT693" s="4">
        <v>2.4952199999999999E-16</v>
      </c>
      <c r="AU693" s="4">
        <v>3.4184499999999997E-14</v>
      </c>
      <c r="AV693" s="4">
        <v>4.9904399999999999E-16</v>
      </c>
    </row>
    <row r="694" spans="3:48" x14ac:dyDescent="0.25">
      <c r="C694" s="7">
        <v>2.4078899999999999E-14</v>
      </c>
      <c r="D694" s="5">
        <v>2.7322700000000002E-13</v>
      </c>
      <c r="E694" s="5">
        <v>2.7771800000000001E-13</v>
      </c>
      <c r="F694" s="8">
        <v>2.8433000000000001E-13</v>
      </c>
      <c r="I694" s="5">
        <v>7.2361400000000001E-15</v>
      </c>
      <c r="J694" s="5">
        <v>6.2380499999999999E-16</v>
      </c>
      <c r="K694" s="5">
        <v>7.4856599999999998E-16</v>
      </c>
      <c r="L694" s="8">
        <v>3.7428299999999999E-16</v>
      </c>
      <c r="O694" s="5">
        <v>8.7332699999999998E-16</v>
      </c>
      <c r="P694" s="5">
        <v>4.9904399999999999E-16</v>
      </c>
      <c r="Q694" s="5">
        <v>6.2380499999999999E-16</v>
      </c>
      <c r="R694" s="8">
        <v>3.7428299999999999E-16</v>
      </c>
      <c r="U694" s="5">
        <v>4.1171100000000004E-15</v>
      </c>
      <c r="V694" s="5"/>
      <c r="W694" s="5">
        <v>1.24761E-16</v>
      </c>
      <c r="AA694" s="5"/>
      <c r="AB694" s="5">
        <v>1.24761E-16</v>
      </c>
      <c r="AC694" s="5">
        <v>2.4952199999999999E-16</v>
      </c>
      <c r="AD694" s="4">
        <v>1.24761E-16</v>
      </c>
      <c r="AG694" s="5"/>
      <c r="AM694" s="5"/>
      <c r="AS694" s="5">
        <v>3.7428299999999999E-16</v>
      </c>
      <c r="AT694" s="4">
        <v>2.4952199999999999E-16</v>
      </c>
      <c r="AU694" s="4">
        <v>1.3599E-14</v>
      </c>
      <c r="AV694" s="4">
        <v>4.9904399999999999E-16</v>
      </c>
    </row>
    <row r="695" spans="3:48" x14ac:dyDescent="0.25">
      <c r="C695" s="7">
        <v>2.3954099999999998E-14</v>
      </c>
      <c r="D695" s="5">
        <v>2.7160499999999998E-13</v>
      </c>
      <c r="E695" s="5">
        <v>2.7672000000000001E-13</v>
      </c>
      <c r="F695" s="8">
        <v>2.8408100000000001E-13</v>
      </c>
      <c r="I695" s="5">
        <v>7.1113700000000002E-15</v>
      </c>
      <c r="J695" s="5">
        <v>6.2380499999999999E-16</v>
      </c>
      <c r="K695" s="5">
        <v>7.4856599999999998E-16</v>
      </c>
      <c r="L695" s="8">
        <v>3.7428299999999999E-16</v>
      </c>
      <c r="O695" s="5">
        <v>8.7332699999999998E-16</v>
      </c>
      <c r="P695" s="5">
        <v>4.9904399999999999E-16</v>
      </c>
      <c r="Q695" s="5">
        <v>4.9904399999999999E-16</v>
      </c>
      <c r="R695" s="8">
        <v>3.7428299999999999E-16</v>
      </c>
      <c r="U695" s="5">
        <v>4.1171100000000004E-15</v>
      </c>
      <c r="V695" s="5"/>
      <c r="W695" s="5">
        <v>1.24761E-16</v>
      </c>
      <c r="AA695" s="5"/>
      <c r="AB695" s="5">
        <v>1.24761E-16</v>
      </c>
      <c r="AC695" s="5">
        <v>2.4952199999999999E-16</v>
      </c>
      <c r="AD695" s="4">
        <v>1.24761E-16</v>
      </c>
      <c r="AG695" s="5"/>
      <c r="AM695" s="5"/>
      <c r="AS695" s="5">
        <v>3.7428299999999999E-16</v>
      </c>
      <c r="AT695" s="4">
        <v>1.24761E-16</v>
      </c>
      <c r="AU695" s="4">
        <v>6.2380499999999999E-16</v>
      </c>
      <c r="AV695" s="4">
        <v>4.9904399999999999E-16</v>
      </c>
    </row>
    <row r="696" spans="3:48" x14ac:dyDescent="0.25">
      <c r="C696" s="7">
        <v>2.3954099999999998E-14</v>
      </c>
      <c r="D696" s="5">
        <v>2.7060699999999998E-13</v>
      </c>
      <c r="E696" s="5">
        <v>2.7672000000000001E-13</v>
      </c>
      <c r="F696" s="8">
        <v>2.8183499999999998E-13</v>
      </c>
      <c r="I696" s="5">
        <v>7.1113700000000002E-15</v>
      </c>
      <c r="J696" s="5">
        <v>6.2380499999999999E-16</v>
      </c>
      <c r="K696" s="5">
        <v>7.4856599999999998E-16</v>
      </c>
      <c r="L696" s="8">
        <v>3.7428299999999999E-16</v>
      </c>
      <c r="O696" s="5">
        <v>8.7332699999999998E-16</v>
      </c>
      <c r="P696" s="5">
        <v>4.9904399999999999E-16</v>
      </c>
      <c r="Q696" s="5">
        <v>4.9904399999999999E-16</v>
      </c>
      <c r="R696" s="8">
        <v>3.7428299999999999E-16</v>
      </c>
      <c r="U696" s="5">
        <v>4.1171100000000004E-15</v>
      </c>
      <c r="V696" s="5"/>
      <c r="W696" s="5">
        <v>1.24761E-16</v>
      </c>
      <c r="AA696" s="5"/>
      <c r="AB696" s="5"/>
      <c r="AC696" s="5">
        <v>2.4952199999999999E-16</v>
      </c>
      <c r="AD696" s="4">
        <v>1.24761E-16</v>
      </c>
      <c r="AG696" s="5"/>
      <c r="AM696" s="5"/>
      <c r="AS696" s="5">
        <v>3.7428299999999999E-16</v>
      </c>
      <c r="AT696" s="4">
        <v>1.24761E-16</v>
      </c>
      <c r="AU696" s="4">
        <v>1.24761E-16</v>
      </c>
      <c r="AV696" s="4">
        <v>4.9904399999999999E-16</v>
      </c>
    </row>
    <row r="697" spans="3:48" x14ac:dyDescent="0.25">
      <c r="C697" s="7">
        <v>2.3704600000000001E-14</v>
      </c>
      <c r="D697" s="5">
        <v>2.6811099999999998E-13</v>
      </c>
      <c r="E697" s="5">
        <v>2.7447399999999998E-13</v>
      </c>
      <c r="F697" s="8">
        <v>2.8158599999999998E-13</v>
      </c>
      <c r="I697" s="5">
        <v>7.1113700000000002E-15</v>
      </c>
      <c r="J697" s="5">
        <v>6.2380499999999999E-16</v>
      </c>
      <c r="K697" s="5">
        <v>7.4856599999999998E-16</v>
      </c>
      <c r="L697" s="8">
        <v>3.7428299999999999E-16</v>
      </c>
      <c r="O697" s="5">
        <v>8.7332699999999998E-16</v>
      </c>
      <c r="P697" s="5">
        <v>4.9904399999999999E-16</v>
      </c>
      <c r="Q697" s="5">
        <v>4.9904399999999999E-16</v>
      </c>
      <c r="R697" s="8">
        <v>3.7428299999999999E-16</v>
      </c>
      <c r="U697" s="5">
        <v>3.9923500000000003E-15</v>
      </c>
      <c r="V697" s="5"/>
      <c r="W697" s="5">
        <v>1.24761E-16</v>
      </c>
      <c r="AA697" s="5"/>
      <c r="AB697" s="5"/>
      <c r="AC697" s="5">
        <v>2.4952199999999999E-16</v>
      </c>
      <c r="AD697" s="4">
        <v>1.24761E-16</v>
      </c>
      <c r="AG697" s="5"/>
      <c r="AM697" s="5"/>
      <c r="AS697" s="5">
        <v>3.7428299999999999E-16</v>
      </c>
      <c r="AT697" s="4">
        <v>1.24761E-16</v>
      </c>
      <c r="AU697" s="4">
        <v>4.9904399999999999E-16</v>
      </c>
      <c r="AV697" s="4">
        <v>4.9904399999999999E-16</v>
      </c>
    </row>
    <row r="698" spans="3:48" x14ac:dyDescent="0.25">
      <c r="C698" s="7">
        <v>2.3704600000000001E-14</v>
      </c>
      <c r="D698" s="5">
        <v>2.67612E-13</v>
      </c>
      <c r="E698" s="5">
        <v>2.7347599999999997E-13</v>
      </c>
      <c r="F698" s="8">
        <v>2.81336E-13</v>
      </c>
      <c r="I698" s="5">
        <v>7.1113700000000002E-15</v>
      </c>
      <c r="J698" s="5">
        <v>6.2380499999999999E-16</v>
      </c>
      <c r="K698" s="5">
        <v>7.4856599999999998E-16</v>
      </c>
      <c r="L698" s="8">
        <v>3.7428299999999999E-16</v>
      </c>
      <c r="O698" s="5">
        <v>8.7332699999999998E-16</v>
      </c>
      <c r="P698" s="5">
        <v>4.9904399999999999E-16</v>
      </c>
      <c r="Q698" s="5">
        <v>4.9904399999999999E-16</v>
      </c>
      <c r="R698" s="8">
        <v>3.7428299999999999E-16</v>
      </c>
      <c r="U698" s="5">
        <v>3.9923500000000003E-15</v>
      </c>
      <c r="V698" s="5"/>
      <c r="W698" s="5">
        <v>1.24761E-16</v>
      </c>
      <c r="AA698" s="5"/>
      <c r="AB698" s="5"/>
      <c r="AC698" s="5">
        <v>2.4952199999999999E-16</v>
      </c>
      <c r="AD698" s="4">
        <v>1.24761E-16</v>
      </c>
      <c r="AG698" s="5"/>
      <c r="AM698" s="5"/>
      <c r="AS698" s="5">
        <v>3.7428299999999999E-16</v>
      </c>
      <c r="AT698" s="4">
        <v>1.24761E-16</v>
      </c>
      <c r="AU698" s="4">
        <v>9.9808799999999998E-16</v>
      </c>
      <c r="AV698" s="4">
        <v>4.9904399999999999E-16</v>
      </c>
    </row>
    <row r="699" spans="3:48" x14ac:dyDescent="0.25">
      <c r="C699" s="7">
        <v>2.35798E-14</v>
      </c>
      <c r="D699" s="5">
        <v>2.6698899999999998E-13</v>
      </c>
      <c r="E699" s="5">
        <v>2.7335100000000001E-13</v>
      </c>
      <c r="F699" s="8">
        <v>2.8121099999999999E-13</v>
      </c>
      <c r="I699" s="5">
        <v>7.1113700000000002E-15</v>
      </c>
      <c r="J699" s="5">
        <v>6.2380499999999999E-16</v>
      </c>
      <c r="K699" s="5">
        <v>7.4856599999999998E-16</v>
      </c>
      <c r="L699" s="8">
        <v>3.7428299999999999E-16</v>
      </c>
      <c r="O699" s="5">
        <v>8.7332699999999998E-16</v>
      </c>
      <c r="P699" s="5">
        <v>4.9904399999999999E-16</v>
      </c>
      <c r="Q699" s="5">
        <v>4.9904399999999999E-16</v>
      </c>
      <c r="R699" s="8">
        <v>3.7428299999999999E-16</v>
      </c>
      <c r="U699" s="5">
        <v>3.9923500000000003E-15</v>
      </c>
      <c r="V699" s="5"/>
      <c r="W699" s="5">
        <v>1.24761E-16</v>
      </c>
      <c r="AA699" s="5"/>
      <c r="AB699" s="5"/>
      <c r="AC699" s="5">
        <v>2.4952199999999999E-16</v>
      </c>
      <c r="AD699" s="4">
        <v>1.24761E-16</v>
      </c>
      <c r="AG699" s="5"/>
      <c r="AM699" s="5"/>
      <c r="AS699" s="5">
        <v>3.7428299999999999E-16</v>
      </c>
      <c r="AT699" s="4">
        <v>1.24761E-16</v>
      </c>
      <c r="AU699" s="4">
        <v>2.4952199999999999E-16</v>
      </c>
      <c r="AV699" s="4">
        <v>3.7428299999999999E-16</v>
      </c>
    </row>
    <row r="700" spans="3:48" x14ac:dyDescent="0.25">
      <c r="C700" s="7">
        <v>2.33303E-14</v>
      </c>
      <c r="D700" s="5">
        <v>2.6673900000000001E-13</v>
      </c>
      <c r="E700" s="5">
        <v>2.72977E-13</v>
      </c>
      <c r="F700" s="8">
        <v>2.81087E-13</v>
      </c>
      <c r="I700" s="5">
        <v>7.1113700000000002E-15</v>
      </c>
      <c r="J700" s="5">
        <v>6.2380499999999999E-16</v>
      </c>
      <c r="K700" s="5">
        <v>7.4856599999999998E-16</v>
      </c>
      <c r="L700" s="8">
        <v>3.7428299999999999E-16</v>
      </c>
      <c r="O700" s="5">
        <v>8.7332699999999998E-16</v>
      </c>
      <c r="P700" s="5">
        <v>4.9904399999999999E-16</v>
      </c>
      <c r="Q700" s="5">
        <v>4.9904399999999999E-16</v>
      </c>
      <c r="R700" s="8">
        <v>3.7428299999999999E-16</v>
      </c>
      <c r="U700" s="5">
        <v>3.9923500000000003E-15</v>
      </c>
      <c r="V700" s="5"/>
      <c r="W700" s="5">
        <v>1.24761E-16</v>
      </c>
      <c r="AA700" s="5"/>
      <c r="AB700" s="5"/>
      <c r="AC700" s="5">
        <v>2.4952199999999999E-16</v>
      </c>
      <c r="AD700" s="4">
        <v>1.24761E-16</v>
      </c>
      <c r="AG700" s="5"/>
      <c r="AM700" s="5"/>
      <c r="AS700" s="5">
        <v>3.7428299999999999E-16</v>
      </c>
      <c r="AT700" s="4">
        <v>1.24761E-16</v>
      </c>
      <c r="AU700" s="4">
        <v>1.4971299999999999E-15</v>
      </c>
      <c r="AV700" s="4">
        <v>3.7428299999999999E-16</v>
      </c>
    </row>
    <row r="701" spans="3:48" x14ac:dyDescent="0.25">
      <c r="C701" s="7">
        <v>2.2956000000000001E-14</v>
      </c>
      <c r="D701" s="5">
        <v>2.6461799999999999E-13</v>
      </c>
      <c r="E701" s="5">
        <v>2.7260299999999998E-13</v>
      </c>
      <c r="F701" s="8">
        <v>2.8058799999999998E-13</v>
      </c>
      <c r="I701" s="5">
        <v>7.1113700000000002E-15</v>
      </c>
      <c r="J701" s="5">
        <v>6.2380499999999999E-16</v>
      </c>
      <c r="K701" s="5">
        <v>7.4856599999999998E-16</v>
      </c>
      <c r="L701" s="8">
        <v>3.7428299999999999E-16</v>
      </c>
      <c r="O701" s="5">
        <v>8.7332699999999998E-16</v>
      </c>
      <c r="P701" s="5">
        <v>4.9904399999999999E-16</v>
      </c>
      <c r="Q701" s="5">
        <v>4.9904399999999999E-16</v>
      </c>
      <c r="R701" s="8">
        <v>3.7428299999999999E-16</v>
      </c>
      <c r="U701" s="5">
        <v>3.9923500000000003E-15</v>
      </c>
      <c r="V701" s="5"/>
      <c r="W701" s="5">
        <v>1.24761E-16</v>
      </c>
      <c r="AA701" s="5"/>
      <c r="AB701" s="5"/>
      <c r="AC701" s="5">
        <v>2.4952199999999999E-16</v>
      </c>
      <c r="AD701" s="4">
        <v>1.24761E-16</v>
      </c>
      <c r="AG701" s="5"/>
      <c r="AM701" s="5"/>
      <c r="AS701" s="5">
        <v>3.7428299999999999E-16</v>
      </c>
      <c r="AT701" s="4">
        <v>1.24761E-16</v>
      </c>
      <c r="AU701" s="4">
        <v>4.9904399999999999E-16</v>
      </c>
      <c r="AV701" s="4">
        <v>3.7428299999999999E-16</v>
      </c>
    </row>
    <row r="702" spans="3:48" x14ac:dyDescent="0.25">
      <c r="C702" s="7">
        <v>2.2956000000000001E-14</v>
      </c>
      <c r="D702" s="5">
        <v>2.6461799999999999E-13</v>
      </c>
      <c r="E702" s="5">
        <v>2.7222900000000002E-13</v>
      </c>
      <c r="F702" s="8">
        <v>2.7934E-13</v>
      </c>
      <c r="I702" s="5">
        <v>6.9866100000000001E-15</v>
      </c>
      <c r="J702" s="5">
        <v>4.9904399999999999E-16</v>
      </c>
      <c r="K702" s="5">
        <v>7.4856599999999998E-16</v>
      </c>
      <c r="L702" s="8">
        <v>3.7428299999999999E-16</v>
      </c>
      <c r="O702" s="5">
        <v>8.7332699999999998E-16</v>
      </c>
      <c r="P702" s="5">
        <v>4.9904399999999999E-16</v>
      </c>
      <c r="Q702" s="5">
        <v>4.9904399999999999E-16</v>
      </c>
      <c r="R702" s="8">
        <v>3.7428299999999999E-16</v>
      </c>
      <c r="U702" s="5">
        <v>3.9923500000000003E-15</v>
      </c>
      <c r="V702" s="5"/>
      <c r="W702" s="5">
        <v>1.24761E-16</v>
      </c>
      <c r="AA702" s="5"/>
      <c r="AB702" s="5"/>
      <c r="AC702" s="5">
        <v>2.4952199999999999E-16</v>
      </c>
      <c r="AD702" s="4">
        <v>1.24761E-16</v>
      </c>
      <c r="AG702" s="5"/>
      <c r="AM702" s="5"/>
      <c r="AS702" s="5">
        <v>3.7428299999999999E-16</v>
      </c>
      <c r="AT702" s="4">
        <v>1.24761E-16</v>
      </c>
      <c r="AU702" s="4">
        <v>7.4357600000000001E-14</v>
      </c>
      <c r="AV702" s="4">
        <v>3.7428299999999999E-16</v>
      </c>
    </row>
    <row r="703" spans="3:48" x14ac:dyDescent="0.25">
      <c r="C703" s="7">
        <v>2.2706500000000001E-14</v>
      </c>
      <c r="D703" s="5">
        <v>2.6312100000000002E-13</v>
      </c>
      <c r="E703" s="5">
        <v>2.7172999999999999E-13</v>
      </c>
      <c r="F703" s="8">
        <v>2.7871600000000001E-13</v>
      </c>
      <c r="I703" s="5">
        <v>6.9866100000000001E-15</v>
      </c>
      <c r="J703" s="5">
        <v>4.9904399999999999E-16</v>
      </c>
      <c r="K703" s="5">
        <v>7.4856599999999998E-16</v>
      </c>
      <c r="L703" s="8">
        <v>3.7428299999999999E-16</v>
      </c>
      <c r="O703" s="5">
        <v>8.7332699999999998E-16</v>
      </c>
      <c r="P703" s="5">
        <v>4.9904399999999999E-16</v>
      </c>
      <c r="Q703" s="5">
        <v>4.9904399999999999E-16</v>
      </c>
      <c r="R703" s="8">
        <v>3.7428299999999999E-16</v>
      </c>
      <c r="U703" s="5">
        <v>3.9923500000000003E-15</v>
      </c>
      <c r="V703" s="5"/>
      <c r="W703" s="5">
        <v>1.24761E-16</v>
      </c>
      <c r="AA703" s="5"/>
      <c r="AB703" s="5"/>
      <c r="AC703" s="5">
        <v>2.4952199999999999E-16</v>
      </c>
      <c r="AD703" s="4">
        <v>1.24761E-16</v>
      </c>
      <c r="AG703" s="5"/>
      <c r="AM703" s="5"/>
      <c r="AS703" s="5">
        <v>3.7428299999999999E-16</v>
      </c>
      <c r="AT703" s="4">
        <v>1.24761E-16</v>
      </c>
      <c r="AU703" s="4">
        <v>1.24761E-16</v>
      </c>
      <c r="AV703" s="4">
        <v>3.7428299999999999E-16</v>
      </c>
    </row>
    <row r="704" spans="3:48" x14ac:dyDescent="0.25">
      <c r="C704" s="7">
        <v>2.25817E-14</v>
      </c>
      <c r="D704" s="5">
        <v>2.6312100000000002E-13</v>
      </c>
      <c r="E704" s="5">
        <v>2.7048200000000002E-13</v>
      </c>
      <c r="F704" s="8">
        <v>2.7784300000000002E-13</v>
      </c>
      <c r="I704" s="5">
        <v>6.9866100000000001E-15</v>
      </c>
      <c r="J704" s="5">
        <v>4.9904399999999999E-16</v>
      </c>
      <c r="K704" s="5">
        <v>7.4856599999999998E-16</v>
      </c>
      <c r="L704" s="8">
        <v>3.7428299999999999E-16</v>
      </c>
      <c r="O704" s="5">
        <v>8.7332699999999998E-16</v>
      </c>
      <c r="P704" s="5">
        <v>4.9904399999999999E-16</v>
      </c>
      <c r="Q704" s="5">
        <v>4.9904399999999999E-16</v>
      </c>
      <c r="R704" s="8">
        <v>3.7428299999999999E-16</v>
      </c>
      <c r="U704" s="5">
        <v>3.9923500000000003E-15</v>
      </c>
      <c r="V704" s="5"/>
      <c r="W704" s="5">
        <v>1.24761E-16</v>
      </c>
      <c r="AA704" s="5"/>
      <c r="AB704" s="5"/>
      <c r="AC704" s="5">
        <v>2.4952199999999999E-16</v>
      </c>
      <c r="AD704" s="4">
        <v>1.24761E-16</v>
      </c>
      <c r="AG704" s="5"/>
      <c r="AM704" s="5"/>
      <c r="AS704" s="5">
        <v>3.7428299999999999E-16</v>
      </c>
      <c r="AT704" s="4">
        <v>1.24761E-16</v>
      </c>
      <c r="AU704" s="4">
        <v>2.4952199999999999E-16</v>
      </c>
      <c r="AV704" s="4">
        <v>3.7428299999999999E-16</v>
      </c>
    </row>
    <row r="705" spans="3:48" x14ac:dyDescent="0.25">
      <c r="C705" s="7">
        <v>2.25817E-14</v>
      </c>
      <c r="D705" s="5">
        <v>2.6249699999999998E-13</v>
      </c>
      <c r="E705" s="5">
        <v>2.7048200000000002E-13</v>
      </c>
      <c r="F705" s="8">
        <v>2.7771800000000001E-13</v>
      </c>
      <c r="I705" s="5">
        <v>6.9866100000000001E-15</v>
      </c>
      <c r="J705" s="5">
        <v>4.9904399999999999E-16</v>
      </c>
      <c r="K705" s="5">
        <v>7.4856599999999998E-16</v>
      </c>
      <c r="L705" s="8">
        <v>3.7428299999999999E-16</v>
      </c>
      <c r="O705" s="5">
        <v>8.7332699999999998E-16</v>
      </c>
      <c r="P705" s="5">
        <v>4.9904399999999999E-16</v>
      </c>
      <c r="Q705" s="5">
        <v>4.9904399999999999E-16</v>
      </c>
      <c r="R705" s="8">
        <v>3.7428299999999999E-16</v>
      </c>
      <c r="U705" s="5">
        <v>3.8675900000000002E-15</v>
      </c>
      <c r="V705" s="5"/>
      <c r="W705" s="5">
        <v>1.24761E-16</v>
      </c>
      <c r="AA705" s="5"/>
      <c r="AB705" s="5"/>
      <c r="AC705" s="5">
        <v>2.4952199999999999E-16</v>
      </c>
      <c r="AG705" s="5"/>
      <c r="AM705" s="5"/>
      <c r="AS705" s="5">
        <v>3.7428299999999999E-16</v>
      </c>
      <c r="AT705" s="4">
        <v>1.24761E-16</v>
      </c>
      <c r="AU705" s="4">
        <v>1.99618E-15</v>
      </c>
      <c r="AV705" s="4">
        <v>3.7428299999999999E-16</v>
      </c>
    </row>
    <row r="706" spans="3:48" x14ac:dyDescent="0.25">
      <c r="C706" s="7">
        <v>2.2457E-14</v>
      </c>
      <c r="D706" s="5">
        <v>2.6187299999999999E-13</v>
      </c>
      <c r="E706" s="5">
        <v>2.7023199999999999E-13</v>
      </c>
      <c r="F706" s="8">
        <v>2.7522299999999998E-13</v>
      </c>
      <c r="I706" s="5">
        <v>6.8618500000000001E-15</v>
      </c>
      <c r="J706" s="5">
        <v>4.9904399999999999E-16</v>
      </c>
      <c r="K706" s="5">
        <v>7.4856599999999998E-16</v>
      </c>
      <c r="L706" s="8">
        <v>3.7428299999999999E-16</v>
      </c>
      <c r="O706" s="5">
        <v>7.4856599999999998E-16</v>
      </c>
      <c r="P706" s="5">
        <v>4.9904399999999999E-16</v>
      </c>
      <c r="Q706" s="5">
        <v>4.9904399999999999E-16</v>
      </c>
      <c r="R706" s="8">
        <v>3.7428299999999999E-16</v>
      </c>
      <c r="U706" s="5">
        <v>3.8675900000000002E-15</v>
      </c>
      <c r="V706" s="5"/>
      <c r="W706" s="5">
        <v>1.24761E-16</v>
      </c>
      <c r="AA706" s="5"/>
      <c r="AB706" s="5"/>
      <c r="AC706" s="5">
        <v>2.4952199999999999E-16</v>
      </c>
      <c r="AG706" s="5"/>
      <c r="AM706" s="5"/>
      <c r="AS706" s="5">
        <v>3.7428299999999999E-16</v>
      </c>
      <c r="AT706" s="4">
        <v>1.24761E-16</v>
      </c>
      <c r="AU706" s="4">
        <v>1.1228500000000001E-15</v>
      </c>
      <c r="AV706" s="4">
        <v>3.7428299999999999E-16</v>
      </c>
    </row>
    <row r="707" spans="3:48" x14ac:dyDescent="0.25">
      <c r="C707" s="7">
        <v>2.2457E-14</v>
      </c>
      <c r="D707" s="5">
        <v>2.61749E-13</v>
      </c>
      <c r="E707" s="5">
        <v>2.6998299999999999E-13</v>
      </c>
      <c r="F707" s="8">
        <v>2.7447399999999998E-13</v>
      </c>
      <c r="I707" s="5">
        <v>6.8618500000000001E-15</v>
      </c>
      <c r="J707" s="5">
        <v>4.9904399999999999E-16</v>
      </c>
      <c r="K707" s="5">
        <v>7.4856599999999998E-16</v>
      </c>
      <c r="L707" s="8">
        <v>3.7428299999999999E-16</v>
      </c>
      <c r="O707" s="5">
        <v>7.4856599999999998E-16</v>
      </c>
      <c r="P707" s="5">
        <v>4.9904399999999999E-16</v>
      </c>
      <c r="Q707" s="5">
        <v>4.9904399999999999E-16</v>
      </c>
      <c r="R707" s="8">
        <v>3.7428299999999999E-16</v>
      </c>
      <c r="U707" s="5">
        <v>3.8675900000000002E-15</v>
      </c>
      <c r="V707" s="5"/>
      <c r="W707" s="5">
        <v>1.24761E-16</v>
      </c>
      <c r="AA707" s="5"/>
      <c r="AB707" s="5"/>
      <c r="AC707" s="5">
        <v>2.4952199999999999E-16</v>
      </c>
      <c r="AG707" s="5"/>
      <c r="AM707" s="5"/>
      <c r="AS707" s="5">
        <v>3.7428299999999999E-16</v>
      </c>
      <c r="AT707" s="4">
        <v>1.24761E-16</v>
      </c>
      <c r="AU707" s="4">
        <v>1.24761E-16</v>
      </c>
      <c r="AV707" s="4">
        <v>3.7428299999999999E-16</v>
      </c>
    </row>
    <row r="708" spans="3:48" x14ac:dyDescent="0.25">
      <c r="C708" s="7">
        <v>2.2457E-14</v>
      </c>
      <c r="D708" s="5">
        <v>2.6162399999999999E-13</v>
      </c>
      <c r="E708" s="5">
        <v>2.6885999999999998E-13</v>
      </c>
      <c r="F708" s="8">
        <v>2.73975E-13</v>
      </c>
      <c r="I708" s="5">
        <v>6.8618500000000001E-15</v>
      </c>
      <c r="J708" s="5">
        <v>4.9904399999999999E-16</v>
      </c>
      <c r="K708" s="5">
        <v>6.2380499999999999E-16</v>
      </c>
      <c r="L708" s="8">
        <v>3.7428299999999999E-16</v>
      </c>
      <c r="O708" s="5">
        <v>7.4856599999999998E-16</v>
      </c>
      <c r="P708" s="5">
        <v>4.9904399999999999E-16</v>
      </c>
      <c r="Q708" s="5">
        <v>4.9904399999999999E-16</v>
      </c>
      <c r="R708" s="8">
        <v>3.7428299999999999E-16</v>
      </c>
      <c r="U708" s="5">
        <v>3.8675900000000002E-15</v>
      </c>
      <c r="V708" s="5"/>
      <c r="W708" s="5">
        <v>1.24761E-16</v>
      </c>
      <c r="AA708" s="5"/>
      <c r="AB708" s="5"/>
      <c r="AC708" s="5">
        <v>2.4952199999999999E-16</v>
      </c>
      <c r="AG708" s="5"/>
      <c r="AM708" s="5"/>
      <c r="AS708" s="5">
        <v>3.7428299999999999E-16</v>
      </c>
      <c r="AT708" s="4">
        <v>1.24761E-16</v>
      </c>
      <c r="AU708" s="4">
        <v>1.24761E-16</v>
      </c>
      <c r="AV708" s="4">
        <v>3.7428299999999999E-16</v>
      </c>
    </row>
    <row r="709" spans="3:48" x14ac:dyDescent="0.25">
      <c r="C709" s="7">
        <v>2.2457E-14</v>
      </c>
      <c r="D709" s="5">
        <v>2.6149900000000003E-13</v>
      </c>
      <c r="E709" s="5">
        <v>2.6823599999999999E-13</v>
      </c>
      <c r="F709" s="8">
        <v>2.7310200000000001E-13</v>
      </c>
      <c r="I709" s="5">
        <v>6.8618500000000001E-15</v>
      </c>
      <c r="J709" s="5">
        <v>4.9904399999999999E-16</v>
      </c>
      <c r="K709" s="5">
        <v>6.2380499999999999E-16</v>
      </c>
      <c r="L709" s="8">
        <v>3.7428299999999999E-16</v>
      </c>
      <c r="O709" s="5">
        <v>7.4856599999999998E-16</v>
      </c>
      <c r="P709" s="5">
        <v>3.7428299999999999E-16</v>
      </c>
      <c r="Q709" s="5">
        <v>4.9904399999999999E-16</v>
      </c>
      <c r="R709" s="8">
        <v>3.7428299999999999E-16</v>
      </c>
      <c r="U709" s="5">
        <v>3.8675900000000002E-15</v>
      </c>
      <c r="V709" s="5"/>
      <c r="W709" s="5">
        <v>1.24761E-16</v>
      </c>
      <c r="AA709" s="5"/>
      <c r="AB709" s="5"/>
      <c r="AC709" s="5">
        <v>2.4952199999999999E-16</v>
      </c>
      <c r="AG709" s="5"/>
      <c r="AM709" s="5"/>
      <c r="AS709" s="5">
        <v>3.7428299999999999E-16</v>
      </c>
      <c r="AT709" s="4">
        <v>1.24761E-16</v>
      </c>
      <c r="AU709" s="4">
        <v>2.4952199999999999E-16</v>
      </c>
      <c r="AV709" s="4">
        <v>3.7428299999999999E-16</v>
      </c>
    </row>
    <row r="710" spans="3:48" x14ac:dyDescent="0.25">
      <c r="C710" s="7">
        <v>2.2332199999999999E-14</v>
      </c>
      <c r="D710" s="5">
        <v>2.6125000000000002E-13</v>
      </c>
      <c r="E710" s="5">
        <v>2.6823599999999999E-13</v>
      </c>
      <c r="F710" s="8">
        <v>2.7310200000000001E-13</v>
      </c>
      <c r="I710" s="5">
        <v>6.8618500000000001E-15</v>
      </c>
      <c r="J710" s="5">
        <v>4.9904399999999999E-16</v>
      </c>
      <c r="K710" s="5">
        <v>6.2380499999999999E-16</v>
      </c>
      <c r="L710" s="8">
        <v>3.7428299999999999E-16</v>
      </c>
      <c r="O710" s="5">
        <v>7.4856599999999998E-16</v>
      </c>
      <c r="P710" s="5">
        <v>3.7428299999999999E-16</v>
      </c>
      <c r="Q710" s="5">
        <v>4.9904399999999999E-16</v>
      </c>
      <c r="R710" s="8">
        <v>2.4952199999999999E-16</v>
      </c>
      <c r="U710" s="5">
        <v>3.8675900000000002E-15</v>
      </c>
      <c r="V710" s="5"/>
      <c r="W710" s="5">
        <v>1.24761E-16</v>
      </c>
      <c r="AA710" s="5"/>
      <c r="AB710" s="5"/>
      <c r="AC710" s="5">
        <v>2.4952199999999999E-16</v>
      </c>
      <c r="AG710" s="5"/>
      <c r="AM710" s="5"/>
      <c r="AS710" s="5">
        <v>3.7428299999999999E-16</v>
      </c>
      <c r="AT710" s="4">
        <v>1.24761E-16</v>
      </c>
      <c r="AU710" s="4">
        <v>1.24761E-15</v>
      </c>
      <c r="AV710" s="4">
        <v>3.7428299999999999E-16</v>
      </c>
    </row>
    <row r="711" spans="3:48" x14ac:dyDescent="0.25">
      <c r="C711" s="7">
        <v>2.22075E-14</v>
      </c>
      <c r="D711" s="5">
        <v>2.6112500000000001E-13</v>
      </c>
      <c r="E711" s="5">
        <v>2.6823599999999999E-13</v>
      </c>
      <c r="F711" s="8">
        <v>2.7210400000000001E-13</v>
      </c>
      <c r="I711" s="5">
        <v>6.73709E-15</v>
      </c>
      <c r="J711" s="5">
        <v>4.9904399999999999E-16</v>
      </c>
      <c r="K711" s="5">
        <v>6.2380499999999999E-16</v>
      </c>
      <c r="L711" s="8">
        <v>3.7428299999999999E-16</v>
      </c>
      <c r="O711" s="5">
        <v>7.4856599999999998E-16</v>
      </c>
      <c r="P711" s="5">
        <v>3.7428299999999999E-16</v>
      </c>
      <c r="Q711" s="5">
        <v>4.9904399999999999E-16</v>
      </c>
      <c r="R711" s="8">
        <v>2.4952199999999999E-16</v>
      </c>
      <c r="U711" s="5">
        <v>3.8675900000000002E-15</v>
      </c>
      <c r="V711" s="5"/>
      <c r="W711" s="5">
        <v>1.24761E-16</v>
      </c>
      <c r="AA711" s="5"/>
      <c r="AB711" s="5"/>
      <c r="AC711" s="5">
        <v>2.4952199999999999E-16</v>
      </c>
      <c r="AG711" s="5"/>
      <c r="AM711" s="5"/>
      <c r="AS711" s="5">
        <v>3.7428299999999999E-16</v>
      </c>
      <c r="AT711" s="4">
        <v>1.24761E-16</v>
      </c>
      <c r="AU711" s="4">
        <v>1.24761E-16</v>
      </c>
      <c r="AV711" s="4">
        <v>3.7428299999999999E-16</v>
      </c>
    </row>
    <row r="712" spans="3:48" x14ac:dyDescent="0.25">
      <c r="C712" s="7">
        <v>2.22075E-14</v>
      </c>
      <c r="D712" s="5">
        <v>2.61E-13</v>
      </c>
      <c r="E712" s="5">
        <v>2.6798699999999999E-13</v>
      </c>
      <c r="F712" s="8">
        <v>2.7172999999999999E-13</v>
      </c>
      <c r="I712" s="5">
        <v>6.73709E-15</v>
      </c>
      <c r="J712" s="5">
        <v>4.9904399999999999E-16</v>
      </c>
      <c r="K712" s="5">
        <v>6.2380499999999999E-16</v>
      </c>
      <c r="L712" s="8">
        <v>3.7428299999999999E-16</v>
      </c>
      <c r="O712" s="5">
        <v>7.4856599999999998E-16</v>
      </c>
      <c r="P712" s="5">
        <v>3.7428299999999999E-16</v>
      </c>
      <c r="Q712" s="5">
        <v>4.9904399999999999E-16</v>
      </c>
      <c r="R712" s="8">
        <v>2.4952199999999999E-16</v>
      </c>
      <c r="U712" s="5">
        <v>3.7428300000000001E-15</v>
      </c>
      <c r="V712" s="5"/>
      <c r="W712" s="5">
        <v>1.24761E-16</v>
      </c>
      <c r="AA712" s="5"/>
      <c r="AB712" s="5"/>
      <c r="AC712" s="5">
        <v>2.4952199999999999E-16</v>
      </c>
      <c r="AG712" s="5"/>
      <c r="AM712" s="5"/>
      <c r="AS712" s="5">
        <v>3.7428299999999999E-16</v>
      </c>
      <c r="AT712" s="4">
        <v>1.24761E-16</v>
      </c>
      <c r="AU712" s="4">
        <v>1.4971299999999999E-15</v>
      </c>
      <c r="AV712" s="4">
        <v>3.7428299999999999E-16</v>
      </c>
    </row>
    <row r="713" spans="3:48" x14ac:dyDescent="0.25">
      <c r="C713" s="7">
        <v>2.2082699999999999E-14</v>
      </c>
      <c r="D713" s="5">
        <v>2.60751E-13</v>
      </c>
      <c r="E713" s="5">
        <v>2.6748800000000001E-13</v>
      </c>
      <c r="F713" s="8">
        <v>2.7123E-13</v>
      </c>
      <c r="I713" s="5">
        <v>6.73709E-15</v>
      </c>
      <c r="J713" s="5">
        <v>4.9904399999999999E-16</v>
      </c>
      <c r="K713" s="5">
        <v>6.2380499999999999E-16</v>
      </c>
      <c r="L713" s="8">
        <v>3.7428299999999999E-16</v>
      </c>
      <c r="O713" s="5">
        <v>7.4856599999999998E-16</v>
      </c>
      <c r="P713" s="5">
        <v>3.7428299999999999E-16</v>
      </c>
      <c r="Q713" s="5">
        <v>4.9904399999999999E-16</v>
      </c>
      <c r="R713" s="8">
        <v>2.4952199999999999E-16</v>
      </c>
      <c r="U713" s="5">
        <v>3.7428300000000001E-15</v>
      </c>
      <c r="V713" s="5"/>
      <c r="W713" s="5">
        <v>1.24761E-16</v>
      </c>
      <c r="AA713" s="5"/>
      <c r="AB713" s="5"/>
      <c r="AC713" s="5">
        <v>2.4952199999999999E-16</v>
      </c>
      <c r="AG713" s="5"/>
      <c r="AM713" s="5"/>
      <c r="AS713" s="5">
        <v>3.7428299999999999E-16</v>
      </c>
      <c r="AT713" s="4">
        <v>1.24761E-16</v>
      </c>
      <c r="AU713" s="4">
        <v>2.4952199999999999E-16</v>
      </c>
      <c r="AV713" s="4">
        <v>3.7428299999999999E-16</v>
      </c>
    </row>
    <row r="714" spans="3:48" x14ac:dyDescent="0.25">
      <c r="C714" s="7">
        <v>2.2082699999999999E-14</v>
      </c>
      <c r="D714" s="5">
        <v>2.6037600000000001E-13</v>
      </c>
      <c r="E714" s="5">
        <v>2.6723799999999999E-13</v>
      </c>
      <c r="F714" s="8">
        <v>2.70108E-13</v>
      </c>
      <c r="I714" s="5">
        <v>6.73709E-15</v>
      </c>
      <c r="J714" s="5">
        <v>4.9904399999999999E-16</v>
      </c>
      <c r="K714" s="5">
        <v>6.2380499999999999E-16</v>
      </c>
      <c r="L714" s="8">
        <v>3.7428299999999999E-16</v>
      </c>
      <c r="O714" s="5">
        <v>7.4856599999999998E-16</v>
      </c>
      <c r="P714" s="5">
        <v>3.7428299999999999E-16</v>
      </c>
      <c r="Q714" s="5">
        <v>4.9904399999999999E-16</v>
      </c>
      <c r="R714" s="8">
        <v>2.4952199999999999E-16</v>
      </c>
      <c r="U714" s="5">
        <v>3.7428300000000001E-15</v>
      </c>
      <c r="V714" s="5"/>
      <c r="W714" s="5">
        <v>1.24761E-16</v>
      </c>
      <c r="AA714" s="5"/>
      <c r="AB714" s="5"/>
      <c r="AC714" s="5">
        <v>2.4952199999999999E-16</v>
      </c>
      <c r="AG714" s="5"/>
      <c r="AM714" s="5"/>
      <c r="AS714" s="5">
        <v>3.7428299999999999E-16</v>
      </c>
      <c r="AT714" s="4">
        <v>1.24761E-16</v>
      </c>
      <c r="AU714" s="4">
        <v>9.9808799999999998E-16</v>
      </c>
      <c r="AV714" s="4">
        <v>3.7428299999999999E-16</v>
      </c>
    </row>
    <row r="715" spans="3:48" x14ac:dyDescent="0.25">
      <c r="C715" s="7">
        <v>2.1957900000000001E-14</v>
      </c>
      <c r="D715" s="5">
        <v>2.5838000000000001E-13</v>
      </c>
      <c r="E715" s="5">
        <v>2.6611500000000002E-13</v>
      </c>
      <c r="F715" s="8">
        <v>2.69359E-13</v>
      </c>
      <c r="I715" s="5">
        <v>6.73709E-15</v>
      </c>
      <c r="J715" s="5">
        <v>4.9904399999999999E-16</v>
      </c>
      <c r="K715" s="5">
        <v>6.2380499999999999E-16</v>
      </c>
      <c r="L715" s="8">
        <v>3.7428299999999999E-16</v>
      </c>
      <c r="O715" s="5">
        <v>7.4856599999999998E-16</v>
      </c>
      <c r="P715" s="5">
        <v>3.7428299999999999E-16</v>
      </c>
      <c r="Q715" s="5">
        <v>4.9904399999999999E-16</v>
      </c>
      <c r="R715" s="8">
        <v>2.4952199999999999E-16</v>
      </c>
      <c r="U715" s="5">
        <v>3.7428300000000001E-15</v>
      </c>
      <c r="V715" s="5"/>
      <c r="W715" s="5">
        <v>1.24761E-16</v>
      </c>
      <c r="AA715" s="5"/>
      <c r="AB715" s="5"/>
      <c r="AC715" s="5">
        <v>2.4952199999999999E-16</v>
      </c>
      <c r="AG715" s="5"/>
      <c r="AM715" s="5"/>
      <c r="AS715" s="5">
        <v>3.7428299999999999E-16</v>
      </c>
      <c r="AT715" s="4">
        <v>1.24761E-16</v>
      </c>
      <c r="AU715" s="4">
        <v>1.37362E-13</v>
      </c>
      <c r="AV715" s="4">
        <v>3.7428299999999999E-16</v>
      </c>
    </row>
    <row r="716" spans="3:48" x14ac:dyDescent="0.25">
      <c r="C716" s="7">
        <v>2.1957900000000001E-14</v>
      </c>
      <c r="D716" s="5">
        <v>2.57382E-13</v>
      </c>
      <c r="E716" s="5">
        <v>2.6449299999999998E-13</v>
      </c>
      <c r="F716" s="8">
        <v>2.6923399999999999E-13</v>
      </c>
      <c r="I716" s="5">
        <v>6.73709E-15</v>
      </c>
      <c r="J716" s="5">
        <v>4.9904399999999999E-16</v>
      </c>
      <c r="K716" s="5">
        <v>6.2380499999999999E-16</v>
      </c>
      <c r="L716" s="8">
        <v>2.4952199999999999E-16</v>
      </c>
      <c r="O716" s="5">
        <v>7.4856599999999998E-16</v>
      </c>
      <c r="P716" s="5">
        <v>3.7428299999999999E-16</v>
      </c>
      <c r="Q716" s="5">
        <v>4.9904399999999999E-16</v>
      </c>
      <c r="R716" s="8">
        <v>2.4952199999999999E-16</v>
      </c>
      <c r="U716" s="5">
        <v>3.7428300000000001E-15</v>
      </c>
      <c r="V716" s="5"/>
      <c r="W716" s="5">
        <v>1.24761E-16</v>
      </c>
      <c r="AA716" s="5"/>
      <c r="AB716" s="5"/>
      <c r="AC716" s="5">
        <v>2.4952199999999999E-16</v>
      </c>
      <c r="AG716" s="5"/>
      <c r="AM716" s="5"/>
      <c r="AS716" s="5">
        <v>3.7428299999999999E-16</v>
      </c>
      <c r="AT716" s="4">
        <v>1.24761E-16</v>
      </c>
      <c r="AU716" s="4">
        <v>1.2027E-13</v>
      </c>
      <c r="AV716" s="4">
        <v>3.7428299999999999E-16</v>
      </c>
    </row>
    <row r="717" spans="3:48" x14ac:dyDescent="0.25">
      <c r="C717" s="7">
        <v>2.1957900000000001E-14</v>
      </c>
      <c r="D717" s="5">
        <v>2.5675800000000002E-13</v>
      </c>
      <c r="E717" s="5">
        <v>2.6324599999999998E-13</v>
      </c>
      <c r="F717" s="8">
        <v>2.6923399999999999E-13</v>
      </c>
      <c r="I717" s="5">
        <v>6.73709E-15</v>
      </c>
      <c r="J717" s="5">
        <v>4.9904399999999999E-16</v>
      </c>
      <c r="K717" s="5">
        <v>6.2380499999999999E-16</v>
      </c>
      <c r="L717" s="8">
        <v>2.4952199999999999E-16</v>
      </c>
      <c r="O717" s="5">
        <v>7.4856599999999998E-16</v>
      </c>
      <c r="P717" s="5">
        <v>3.7428299999999999E-16</v>
      </c>
      <c r="Q717" s="5">
        <v>4.9904399999999999E-16</v>
      </c>
      <c r="R717" s="8">
        <v>2.4952199999999999E-16</v>
      </c>
      <c r="U717" s="5">
        <v>3.7428300000000001E-15</v>
      </c>
      <c r="V717" s="5"/>
      <c r="W717" s="5">
        <v>1.24761E-16</v>
      </c>
      <c r="AA717" s="5"/>
      <c r="AB717" s="5"/>
      <c r="AC717" s="5">
        <v>2.4952199999999999E-16</v>
      </c>
      <c r="AG717" s="5"/>
      <c r="AM717" s="5"/>
      <c r="AS717" s="5">
        <v>3.7428299999999999E-16</v>
      </c>
      <c r="AT717" s="4">
        <v>1.24761E-16</v>
      </c>
      <c r="AU717" s="4">
        <v>2.4952199999999999E-16</v>
      </c>
      <c r="AV717" s="4">
        <v>3.7428299999999999E-16</v>
      </c>
    </row>
    <row r="718" spans="3:48" x14ac:dyDescent="0.25">
      <c r="C718" s="7">
        <v>2.1833200000000001E-14</v>
      </c>
      <c r="D718" s="5">
        <v>2.55386E-13</v>
      </c>
      <c r="E718" s="5">
        <v>2.6287200000000001E-13</v>
      </c>
      <c r="F718" s="8">
        <v>2.6911E-13</v>
      </c>
      <c r="I718" s="5">
        <v>6.73709E-15</v>
      </c>
      <c r="J718" s="5">
        <v>4.9904399999999999E-16</v>
      </c>
      <c r="K718" s="5">
        <v>6.2380499999999999E-16</v>
      </c>
      <c r="L718" s="8">
        <v>2.4952199999999999E-16</v>
      </c>
      <c r="O718" s="5">
        <v>7.4856599999999998E-16</v>
      </c>
      <c r="P718" s="5">
        <v>3.7428299999999999E-16</v>
      </c>
      <c r="Q718" s="5">
        <v>4.9904399999999999E-16</v>
      </c>
      <c r="R718" s="8">
        <v>2.4952199999999999E-16</v>
      </c>
      <c r="U718" s="5">
        <v>3.7428300000000001E-15</v>
      </c>
      <c r="V718" s="5"/>
      <c r="W718" s="5">
        <v>1.24761E-16</v>
      </c>
      <c r="AA718" s="5"/>
      <c r="AB718" s="5"/>
      <c r="AC718" s="5">
        <v>2.4952199999999999E-16</v>
      </c>
      <c r="AG718" s="5"/>
      <c r="AM718" s="5"/>
      <c r="AS718" s="5">
        <v>3.7428299999999999E-16</v>
      </c>
      <c r="AT718" s="4">
        <v>1.24761E-16</v>
      </c>
      <c r="AU718" s="4">
        <v>5.3647200000000001E-15</v>
      </c>
      <c r="AV718" s="4">
        <v>3.7428299999999999E-16</v>
      </c>
    </row>
    <row r="719" spans="3:48" x14ac:dyDescent="0.25">
      <c r="C719" s="7">
        <v>2.1708400000000001E-14</v>
      </c>
      <c r="D719" s="5">
        <v>2.55386E-13</v>
      </c>
      <c r="E719" s="5">
        <v>2.6087499999999999E-13</v>
      </c>
      <c r="F719" s="8">
        <v>2.6873500000000002E-13</v>
      </c>
      <c r="I719" s="5">
        <v>6.6123299999999999E-15</v>
      </c>
      <c r="J719" s="5">
        <v>4.9904399999999999E-16</v>
      </c>
      <c r="K719" s="5">
        <v>6.2380499999999999E-16</v>
      </c>
      <c r="L719" s="8">
        <v>2.4952199999999999E-16</v>
      </c>
      <c r="O719" s="5">
        <v>7.4856599999999998E-16</v>
      </c>
      <c r="P719" s="5">
        <v>3.7428299999999999E-16</v>
      </c>
      <c r="Q719" s="5">
        <v>4.9904399999999999E-16</v>
      </c>
      <c r="R719" s="8">
        <v>2.4952199999999999E-16</v>
      </c>
      <c r="U719" s="5">
        <v>3.61807E-15</v>
      </c>
      <c r="V719" s="5"/>
      <c r="W719" s="5">
        <v>1.24761E-16</v>
      </c>
      <c r="AA719" s="5"/>
      <c r="AB719" s="5"/>
      <c r="AC719" s="5">
        <v>2.4952199999999999E-16</v>
      </c>
      <c r="AG719" s="5"/>
      <c r="AM719" s="5"/>
      <c r="AS719" s="5">
        <v>3.7428299999999999E-16</v>
      </c>
      <c r="AT719" s="4">
        <v>1.24761E-16</v>
      </c>
      <c r="AU719" s="4">
        <v>2.0086499999999999E-14</v>
      </c>
      <c r="AV719" s="4">
        <v>3.7428299999999999E-16</v>
      </c>
    </row>
    <row r="720" spans="3:48" x14ac:dyDescent="0.25">
      <c r="C720" s="7">
        <v>2.14589E-14</v>
      </c>
      <c r="D720" s="5">
        <v>2.5526099999999999E-13</v>
      </c>
      <c r="E720" s="5">
        <v>2.6062599999999998E-13</v>
      </c>
      <c r="F720" s="8">
        <v>2.67612E-13</v>
      </c>
      <c r="I720" s="5">
        <v>6.6123299999999999E-15</v>
      </c>
      <c r="J720" s="5">
        <v>4.9904399999999999E-16</v>
      </c>
      <c r="K720" s="5">
        <v>6.2380499999999999E-16</v>
      </c>
      <c r="L720" s="8">
        <v>2.4952199999999999E-16</v>
      </c>
      <c r="O720" s="5">
        <v>7.4856599999999998E-16</v>
      </c>
      <c r="P720" s="5">
        <v>3.7428299999999999E-16</v>
      </c>
      <c r="Q720" s="5">
        <v>4.9904399999999999E-16</v>
      </c>
      <c r="R720" s="8">
        <v>2.4952199999999999E-16</v>
      </c>
      <c r="U720" s="5">
        <v>3.61807E-15</v>
      </c>
      <c r="V720" s="5"/>
      <c r="W720" s="5">
        <v>1.24761E-16</v>
      </c>
      <c r="AA720" s="5"/>
      <c r="AB720" s="5"/>
      <c r="AC720" s="5">
        <v>2.4952199999999999E-16</v>
      </c>
      <c r="AG720" s="5"/>
      <c r="AM720" s="5"/>
      <c r="AS720" s="5">
        <v>3.7428299999999999E-16</v>
      </c>
      <c r="AT720" s="4">
        <v>1.24761E-16</v>
      </c>
      <c r="AU720" s="4">
        <v>2.4527999999999999E-13</v>
      </c>
      <c r="AV720" s="4">
        <v>3.7428299999999999E-16</v>
      </c>
    </row>
    <row r="721" spans="3:48" x14ac:dyDescent="0.25">
      <c r="C721" s="7">
        <v>2.1334099999999999E-14</v>
      </c>
      <c r="D721" s="5">
        <v>2.5513600000000002E-13</v>
      </c>
      <c r="E721" s="5">
        <v>2.5987699999999998E-13</v>
      </c>
      <c r="F721" s="8">
        <v>2.6711300000000003E-13</v>
      </c>
      <c r="I721" s="5">
        <v>6.6123299999999999E-15</v>
      </c>
      <c r="J721" s="5">
        <v>4.9904399999999999E-16</v>
      </c>
      <c r="K721" s="5">
        <v>6.2380499999999999E-16</v>
      </c>
      <c r="L721" s="8">
        <v>2.4952199999999999E-16</v>
      </c>
      <c r="O721" s="5">
        <v>7.4856599999999998E-16</v>
      </c>
      <c r="P721" s="5">
        <v>3.7428299999999999E-16</v>
      </c>
      <c r="Q721" s="5">
        <v>4.9904399999999999E-16</v>
      </c>
      <c r="R721" s="8">
        <v>2.4952199999999999E-16</v>
      </c>
      <c r="U721" s="5">
        <v>3.61807E-15</v>
      </c>
      <c r="V721" s="5"/>
      <c r="W721" s="5">
        <v>1.24761E-16</v>
      </c>
      <c r="AA721" s="5"/>
      <c r="AB721" s="5"/>
      <c r="AC721" s="5">
        <v>2.4952199999999999E-16</v>
      </c>
      <c r="AG721" s="5"/>
      <c r="AM721" s="5"/>
      <c r="AS721" s="5">
        <v>3.7428299999999999E-16</v>
      </c>
      <c r="AT721" s="4">
        <v>1.24761E-16</v>
      </c>
      <c r="AU721" s="4">
        <v>2.4952199999999999E-16</v>
      </c>
      <c r="AV721" s="4">
        <v>3.7428299999999999E-16</v>
      </c>
    </row>
    <row r="722" spans="3:48" x14ac:dyDescent="0.25">
      <c r="C722" s="7">
        <v>2.1209399999999999E-14</v>
      </c>
      <c r="D722" s="5">
        <v>2.5501199999999998E-13</v>
      </c>
      <c r="E722" s="5">
        <v>2.5937800000000001E-13</v>
      </c>
      <c r="F722" s="8">
        <v>2.6698899999999998E-13</v>
      </c>
      <c r="I722" s="5">
        <v>6.6123299999999999E-15</v>
      </c>
      <c r="J722" s="5">
        <v>3.7428299999999999E-16</v>
      </c>
      <c r="K722" s="5">
        <v>6.2380499999999999E-16</v>
      </c>
      <c r="L722" s="8">
        <v>2.4952199999999999E-16</v>
      </c>
      <c r="O722" s="5">
        <v>7.4856599999999998E-16</v>
      </c>
      <c r="P722" s="5">
        <v>3.7428299999999999E-16</v>
      </c>
      <c r="Q722" s="5">
        <v>4.9904399999999999E-16</v>
      </c>
      <c r="R722" s="8">
        <v>2.4952199999999999E-16</v>
      </c>
      <c r="U722" s="5">
        <v>3.61807E-15</v>
      </c>
      <c r="V722" s="5"/>
      <c r="W722" s="5">
        <v>1.24761E-16</v>
      </c>
      <c r="AA722" s="5"/>
      <c r="AB722" s="5"/>
      <c r="AC722" s="5">
        <v>2.4952199999999999E-16</v>
      </c>
      <c r="AG722" s="5"/>
      <c r="AM722" s="5"/>
      <c r="AS722" s="5">
        <v>3.7428299999999999E-16</v>
      </c>
      <c r="AT722" s="4">
        <v>1.24761E-16</v>
      </c>
      <c r="AU722" s="4">
        <v>2.4952199999999999E-16</v>
      </c>
      <c r="AV722" s="4">
        <v>3.7428299999999999E-16</v>
      </c>
    </row>
    <row r="723" spans="3:48" x14ac:dyDescent="0.25">
      <c r="C723" s="7">
        <v>2.1209399999999999E-14</v>
      </c>
      <c r="D723" s="5">
        <v>2.5501199999999998E-13</v>
      </c>
      <c r="E723" s="5">
        <v>2.58131E-13</v>
      </c>
      <c r="F723" s="8">
        <v>2.6698899999999998E-13</v>
      </c>
      <c r="I723" s="5">
        <v>6.6123299999999999E-15</v>
      </c>
      <c r="J723" s="5">
        <v>3.7428299999999999E-16</v>
      </c>
      <c r="K723" s="5">
        <v>4.9904399999999999E-16</v>
      </c>
      <c r="L723" s="8">
        <v>2.4952199999999999E-16</v>
      </c>
      <c r="O723" s="5">
        <v>6.2380499999999999E-16</v>
      </c>
      <c r="P723" s="5">
        <v>3.7428299999999999E-16</v>
      </c>
      <c r="Q723" s="5">
        <v>4.9904399999999999E-16</v>
      </c>
      <c r="R723" s="8">
        <v>2.4952199999999999E-16</v>
      </c>
      <c r="U723" s="5">
        <v>3.61807E-15</v>
      </c>
      <c r="V723" s="5"/>
      <c r="W723" s="5">
        <v>1.24761E-16</v>
      </c>
      <c r="AA723" s="5"/>
      <c r="AB723" s="5"/>
      <c r="AC723" s="5">
        <v>2.4952199999999999E-16</v>
      </c>
      <c r="AG723" s="5"/>
      <c r="AM723" s="5"/>
      <c r="AS723" s="5">
        <v>3.7428299999999999E-16</v>
      </c>
      <c r="AT723" s="4">
        <v>1.24761E-16</v>
      </c>
      <c r="AU723" s="4">
        <v>6.2380499999999999E-16</v>
      </c>
      <c r="AV723" s="4">
        <v>3.7428299999999999E-16</v>
      </c>
    </row>
    <row r="724" spans="3:48" x14ac:dyDescent="0.25">
      <c r="C724" s="7">
        <v>2.1209399999999999E-14</v>
      </c>
      <c r="D724" s="5">
        <v>2.54637E-13</v>
      </c>
      <c r="E724" s="5">
        <v>2.5800599999999999E-13</v>
      </c>
      <c r="F724" s="8">
        <v>2.6673900000000001E-13</v>
      </c>
      <c r="I724" s="5">
        <v>6.6123299999999999E-15</v>
      </c>
      <c r="J724" s="5">
        <v>3.7428299999999999E-16</v>
      </c>
      <c r="K724" s="5">
        <v>4.9904399999999999E-16</v>
      </c>
      <c r="L724" s="8">
        <v>2.4952199999999999E-16</v>
      </c>
      <c r="O724" s="5">
        <v>6.2380499999999999E-16</v>
      </c>
      <c r="P724" s="5">
        <v>3.7428299999999999E-16</v>
      </c>
      <c r="Q724" s="5">
        <v>4.9904399999999999E-16</v>
      </c>
      <c r="R724" s="8">
        <v>2.4952199999999999E-16</v>
      </c>
      <c r="U724" s="5">
        <v>3.61807E-15</v>
      </c>
      <c r="V724" s="5"/>
      <c r="W724" s="5">
        <v>1.24761E-16</v>
      </c>
      <c r="AA724" s="5"/>
      <c r="AB724" s="5"/>
      <c r="AC724" s="5">
        <v>2.4952199999999999E-16</v>
      </c>
      <c r="AG724" s="5"/>
      <c r="AM724" s="5"/>
      <c r="AS724" s="5">
        <v>3.7428299999999999E-16</v>
      </c>
      <c r="AT724" s="4">
        <v>1.24761E-16</v>
      </c>
      <c r="AU724" s="4">
        <v>6.2380499999999999E-16</v>
      </c>
      <c r="AV724" s="4">
        <v>3.7428299999999999E-16</v>
      </c>
    </row>
    <row r="725" spans="3:48" x14ac:dyDescent="0.25">
      <c r="C725" s="7">
        <v>2.1209399999999999E-14</v>
      </c>
      <c r="D725" s="5">
        <v>2.5451300000000001E-13</v>
      </c>
      <c r="E725" s="5">
        <v>2.5600999999999999E-13</v>
      </c>
      <c r="F725" s="8">
        <v>2.66365E-13</v>
      </c>
      <c r="I725" s="5">
        <v>6.6123299999999999E-15</v>
      </c>
      <c r="J725" s="5">
        <v>3.7428299999999999E-16</v>
      </c>
      <c r="K725" s="5">
        <v>4.9904399999999999E-16</v>
      </c>
      <c r="L725" s="8">
        <v>2.4952199999999999E-16</v>
      </c>
      <c r="O725" s="5">
        <v>6.2380499999999999E-16</v>
      </c>
      <c r="P725" s="5">
        <v>3.7428299999999999E-16</v>
      </c>
      <c r="Q725" s="5">
        <v>4.9904399999999999E-16</v>
      </c>
      <c r="R725" s="8">
        <v>2.4952199999999999E-16</v>
      </c>
      <c r="U725" s="5">
        <v>3.61807E-15</v>
      </c>
      <c r="V725" s="5"/>
      <c r="W725" s="5">
        <v>1.24761E-16</v>
      </c>
      <c r="AA725" s="5"/>
      <c r="AB725" s="5"/>
      <c r="AC725" s="5">
        <v>2.4952199999999999E-16</v>
      </c>
      <c r="AG725" s="5"/>
      <c r="AM725" s="5"/>
      <c r="AS725" s="5">
        <v>3.7428299999999999E-16</v>
      </c>
      <c r="AT725" s="4">
        <v>1.24761E-16</v>
      </c>
      <c r="AU725" s="4">
        <v>1.8714199999999999E-15</v>
      </c>
      <c r="AV725" s="4">
        <v>3.7428299999999999E-16</v>
      </c>
    </row>
    <row r="726" spans="3:48" x14ac:dyDescent="0.25">
      <c r="C726" s="7">
        <v>2.1084599999999999E-14</v>
      </c>
      <c r="D726" s="5">
        <v>2.5426299999999998E-13</v>
      </c>
      <c r="E726" s="5">
        <v>2.55635E-13</v>
      </c>
      <c r="F726" s="8">
        <v>2.6511700000000002E-13</v>
      </c>
      <c r="I726" s="5">
        <v>6.4875699999999998E-15</v>
      </c>
      <c r="J726" s="5">
        <v>3.7428299999999999E-16</v>
      </c>
      <c r="K726" s="5">
        <v>4.9904399999999999E-16</v>
      </c>
      <c r="L726" s="8">
        <v>2.4952199999999999E-16</v>
      </c>
      <c r="O726" s="5">
        <v>6.2380499999999999E-16</v>
      </c>
      <c r="P726" s="5">
        <v>2.4952199999999999E-16</v>
      </c>
      <c r="Q726" s="5">
        <v>3.7428299999999999E-16</v>
      </c>
      <c r="R726" s="8">
        <v>2.4952199999999999E-16</v>
      </c>
      <c r="U726" s="5">
        <v>3.61807E-15</v>
      </c>
      <c r="V726" s="5"/>
      <c r="W726" s="5">
        <v>1.24761E-16</v>
      </c>
      <c r="AA726" s="5"/>
      <c r="AB726" s="5"/>
      <c r="AC726" s="5">
        <v>2.4952199999999999E-16</v>
      </c>
      <c r="AG726" s="5"/>
      <c r="AM726" s="5"/>
      <c r="AS726" s="5">
        <v>3.7428299999999999E-16</v>
      </c>
      <c r="AT726" s="4">
        <v>1.24761E-16</v>
      </c>
      <c r="AU726" s="4">
        <v>1.3723700000000001E-15</v>
      </c>
      <c r="AV726" s="4">
        <v>3.7428299999999999E-16</v>
      </c>
    </row>
    <row r="727" spans="3:48" x14ac:dyDescent="0.25">
      <c r="C727" s="7">
        <v>2.1084599999999999E-14</v>
      </c>
      <c r="D727" s="5">
        <v>2.5289100000000002E-13</v>
      </c>
      <c r="E727" s="5">
        <v>2.5476200000000001E-13</v>
      </c>
      <c r="F727" s="8">
        <v>2.6461799999999999E-13</v>
      </c>
      <c r="I727" s="5">
        <v>6.4875699999999998E-15</v>
      </c>
      <c r="J727" s="5">
        <v>3.7428299999999999E-16</v>
      </c>
      <c r="K727" s="5">
        <v>4.9904399999999999E-16</v>
      </c>
      <c r="L727" s="8">
        <v>2.4952199999999999E-16</v>
      </c>
      <c r="O727" s="5">
        <v>6.2380499999999999E-16</v>
      </c>
      <c r="P727" s="5">
        <v>2.4952199999999999E-16</v>
      </c>
      <c r="Q727" s="5">
        <v>3.7428299999999999E-16</v>
      </c>
      <c r="R727" s="8">
        <v>2.4952199999999999E-16</v>
      </c>
      <c r="U727" s="5">
        <v>3.49331E-15</v>
      </c>
      <c r="V727" s="5"/>
      <c r="W727" s="5"/>
      <c r="AA727" s="5"/>
      <c r="AB727" s="5"/>
      <c r="AC727" s="5">
        <v>2.4952199999999999E-16</v>
      </c>
      <c r="AG727" s="5"/>
      <c r="AM727" s="5"/>
      <c r="AS727" s="5">
        <v>3.7428299999999999E-16</v>
      </c>
      <c r="AT727" s="4">
        <v>1.24761E-16</v>
      </c>
      <c r="AU727" s="4">
        <v>9.9808799999999998E-16</v>
      </c>
      <c r="AV727" s="4">
        <v>3.7428299999999999E-16</v>
      </c>
    </row>
    <row r="728" spans="3:48" x14ac:dyDescent="0.25">
      <c r="C728" s="7">
        <v>2.1084599999999999E-14</v>
      </c>
      <c r="D728" s="5">
        <v>2.5264099999999999E-13</v>
      </c>
      <c r="E728" s="5">
        <v>2.54637E-13</v>
      </c>
      <c r="F728" s="8">
        <v>2.6461799999999999E-13</v>
      </c>
      <c r="I728" s="5">
        <v>6.4875699999999998E-15</v>
      </c>
      <c r="J728" s="5">
        <v>3.7428299999999999E-16</v>
      </c>
      <c r="K728" s="5">
        <v>4.9904399999999999E-16</v>
      </c>
      <c r="L728" s="8">
        <v>2.4952199999999999E-16</v>
      </c>
      <c r="O728" s="5">
        <v>6.2380499999999999E-16</v>
      </c>
      <c r="P728" s="5">
        <v>2.4952199999999999E-16</v>
      </c>
      <c r="Q728" s="5">
        <v>3.7428299999999999E-16</v>
      </c>
      <c r="R728" s="8">
        <v>2.4952199999999999E-16</v>
      </c>
      <c r="U728" s="5">
        <v>3.49331E-15</v>
      </c>
      <c r="V728" s="5"/>
      <c r="W728" s="5"/>
      <c r="AA728" s="5"/>
      <c r="AB728" s="5"/>
      <c r="AC728" s="5">
        <v>2.4952199999999999E-16</v>
      </c>
      <c r="AG728" s="5"/>
      <c r="AM728" s="5"/>
      <c r="AS728" s="5">
        <v>3.7428299999999999E-16</v>
      </c>
      <c r="AT728" s="4">
        <v>1.24761E-16</v>
      </c>
      <c r="AU728" s="4">
        <v>1.3723700000000001E-15</v>
      </c>
      <c r="AV728" s="4">
        <v>3.7428299999999999E-16</v>
      </c>
    </row>
    <row r="729" spans="3:48" x14ac:dyDescent="0.25">
      <c r="C729" s="7">
        <v>2.1084599999999999E-14</v>
      </c>
      <c r="D729" s="5">
        <v>2.5264099999999999E-13</v>
      </c>
      <c r="E729" s="5">
        <v>2.5451300000000001E-13</v>
      </c>
      <c r="F729" s="8">
        <v>2.6461799999999999E-13</v>
      </c>
      <c r="I729" s="5">
        <v>6.3628099999999997E-15</v>
      </c>
      <c r="J729" s="5">
        <v>3.7428299999999999E-16</v>
      </c>
      <c r="K729" s="5">
        <v>4.9904399999999999E-16</v>
      </c>
      <c r="L729" s="8">
        <v>2.4952199999999999E-16</v>
      </c>
      <c r="O729" s="5">
        <v>6.2380499999999999E-16</v>
      </c>
      <c r="P729" s="5">
        <v>2.4952199999999999E-16</v>
      </c>
      <c r="Q729" s="5">
        <v>3.7428299999999999E-16</v>
      </c>
      <c r="R729" s="8">
        <v>2.4952199999999999E-16</v>
      </c>
      <c r="U729" s="5">
        <v>3.49331E-15</v>
      </c>
      <c r="V729" s="5"/>
      <c r="W729" s="5"/>
      <c r="AA729" s="5"/>
      <c r="AB729" s="5"/>
      <c r="AC729" s="5">
        <v>2.4952199999999999E-16</v>
      </c>
      <c r="AG729" s="5"/>
      <c r="AM729" s="5"/>
      <c r="AS729" s="5">
        <v>3.7428299999999999E-16</v>
      </c>
      <c r="AT729" s="4">
        <v>1.24761E-16</v>
      </c>
      <c r="AU729" s="4">
        <v>3.4309300000000001E-14</v>
      </c>
      <c r="AV729" s="4">
        <v>3.7428299999999999E-16</v>
      </c>
    </row>
    <row r="730" spans="3:48" x14ac:dyDescent="0.25">
      <c r="C730" s="7">
        <v>2.1084599999999999E-14</v>
      </c>
      <c r="D730" s="5">
        <v>2.5226699999999998E-13</v>
      </c>
      <c r="E730" s="5">
        <v>2.5426299999999998E-13</v>
      </c>
      <c r="F730" s="8">
        <v>2.6411900000000002E-13</v>
      </c>
      <c r="I730" s="5">
        <v>6.3628099999999997E-15</v>
      </c>
      <c r="J730" s="5">
        <v>3.7428299999999999E-16</v>
      </c>
      <c r="K730" s="5">
        <v>4.9904399999999999E-16</v>
      </c>
      <c r="L730" s="8">
        <v>2.4952199999999999E-16</v>
      </c>
      <c r="O730" s="5">
        <v>6.2380499999999999E-16</v>
      </c>
      <c r="P730" s="5">
        <v>2.4952199999999999E-16</v>
      </c>
      <c r="Q730" s="5">
        <v>3.7428299999999999E-16</v>
      </c>
      <c r="R730" s="8">
        <v>2.4952199999999999E-16</v>
      </c>
      <c r="U730" s="5">
        <v>3.49331E-15</v>
      </c>
      <c r="V730" s="5"/>
      <c r="W730" s="5"/>
      <c r="AA730" s="5"/>
      <c r="AB730" s="5"/>
      <c r="AC730" s="5">
        <v>2.4952199999999999E-16</v>
      </c>
      <c r="AG730" s="5"/>
      <c r="AM730" s="5"/>
      <c r="AS730" s="5">
        <v>3.7428299999999999E-16</v>
      </c>
      <c r="AT730" s="4">
        <v>1.24761E-16</v>
      </c>
      <c r="AU730" s="4">
        <v>1.24761E-16</v>
      </c>
      <c r="AV730" s="4">
        <v>3.7428299999999999E-16</v>
      </c>
    </row>
    <row r="731" spans="3:48" x14ac:dyDescent="0.25">
      <c r="C731" s="7">
        <v>2.0835100000000001E-14</v>
      </c>
      <c r="D731" s="5">
        <v>2.5226699999999998E-13</v>
      </c>
      <c r="E731" s="5">
        <v>2.5388900000000002E-13</v>
      </c>
      <c r="F731" s="8">
        <v>2.6387000000000002E-13</v>
      </c>
      <c r="I731" s="5">
        <v>6.3628099999999997E-15</v>
      </c>
      <c r="J731" s="5">
        <v>3.7428299999999999E-16</v>
      </c>
      <c r="K731" s="5">
        <v>4.9904399999999999E-16</v>
      </c>
      <c r="L731" s="8">
        <v>2.4952199999999999E-16</v>
      </c>
      <c r="O731" s="5">
        <v>6.2380499999999999E-16</v>
      </c>
      <c r="P731" s="5">
        <v>2.4952199999999999E-16</v>
      </c>
      <c r="Q731" s="5">
        <v>3.7428299999999999E-16</v>
      </c>
      <c r="R731" s="8">
        <v>2.4952199999999999E-16</v>
      </c>
      <c r="U731" s="5">
        <v>3.49331E-15</v>
      </c>
      <c r="V731" s="5"/>
      <c r="W731" s="5"/>
      <c r="AA731" s="5"/>
      <c r="AB731" s="5"/>
      <c r="AC731" s="5">
        <v>2.4952199999999999E-16</v>
      </c>
      <c r="AG731" s="5"/>
      <c r="AM731" s="5"/>
      <c r="AS731" s="5">
        <v>3.7428299999999999E-16</v>
      </c>
      <c r="AT731" s="4">
        <v>1.24761E-16</v>
      </c>
      <c r="AU731" s="4">
        <v>2.3704599999999999E-15</v>
      </c>
      <c r="AV731" s="4">
        <v>3.7428299999999999E-16</v>
      </c>
    </row>
    <row r="732" spans="3:48" x14ac:dyDescent="0.25">
      <c r="C732" s="7">
        <v>2.07103E-14</v>
      </c>
      <c r="D732" s="5">
        <v>2.5139300000000002E-13</v>
      </c>
      <c r="E732" s="5">
        <v>2.5376400000000001E-13</v>
      </c>
      <c r="F732" s="8">
        <v>2.61998E-13</v>
      </c>
      <c r="I732" s="5">
        <v>6.3628099999999997E-15</v>
      </c>
      <c r="J732" s="5">
        <v>3.7428299999999999E-16</v>
      </c>
      <c r="K732" s="5">
        <v>4.9904399999999999E-16</v>
      </c>
      <c r="L732" s="8">
        <v>2.4952199999999999E-16</v>
      </c>
      <c r="O732" s="5">
        <v>6.2380499999999999E-16</v>
      </c>
      <c r="P732" s="5">
        <v>2.4952199999999999E-16</v>
      </c>
      <c r="Q732" s="5">
        <v>3.7428299999999999E-16</v>
      </c>
      <c r="R732" s="8">
        <v>2.4952199999999999E-16</v>
      </c>
      <c r="U732" s="5">
        <v>3.49331E-15</v>
      </c>
      <c r="V732" s="5"/>
      <c r="W732" s="5"/>
      <c r="AA732" s="5"/>
      <c r="AB732" s="5"/>
      <c r="AC732" s="5">
        <v>2.4952199999999999E-16</v>
      </c>
      <c r="AG732" s="5"/>
      <c r="AM732" s="5"/>
      <c r="AS732" s="5">
        <v>3.7428299999999999E-16</v>
      </c>
      <c r="AT732" s="4">
        <v>1.24761E-16</v>
      </c>
      <c r="AU732" s="4">
        <v>7.9847100000000003E-15</v>
      </c>
      <c r="AV732" s="4">
        <v>3.7428299999999999E-16</v>
      </c>
    </row>
    <row r="733" spans="3:48" x14ac:dyDescent="0.25">
      <c r="C733" s="7">
        <v>2.04608E-14</v>
      </c>
      <c r="D733" s="5">
        <v>2.5126899999999998E-13</v>
      </c>
      <c r="E733" s="5">
        <v>2.5338999999999999E-13</v>
      </c>
      <c r="F733" s="8">
        <v>2.6137400000000001E-13</v>
      </c>
      <c r="I733" s="5">
        <v>6.3628099999999997E-15</v>
      </c>
      <c r="J733" s="5">
        <v>3.7428299999999999E-16</v>
      </c>
      <c r="K733" s="5">
        <v>4.9904399999999999E-16</v>
      </c>
      <c r="L733" s="8">
        <v>2.4952199999999999E-16</v>
      </c>
      <c r="O733" s="5">
        <v>6.2380499999999999E-16</v>
      </c>
      <c r="P733" s="5">
        <v>2.4952199999999999E-16</v>
      </c>
      <c r="Q733" s="5">
        <v>3.7428299999999999E-16</v>
      </c>
      <c r="R733" s="8">
        <v>2.4952199999999999E-16</v>
      </c>
      <c r="U733" s="5">
        <v>3.49331E-15</v>
      </c>
      <c r="V733" s="5"/>
      <c r="W733" s="5"/>
      <c r="AA733" s="5"/>
      <c r="AB733" s="5"/>
      <c r="AC733" s="5">
        <v>2.4952199999999999E-16</v>
      </c>
      <c r="AG733" s="5"/>
      <c r="AM733" s="5"/>
      <c r="AS733" s="5">
        <v>3.7428299999999999E-16</v>
      </c>
      <c r="AT733" s="4">
        <v>1.24761E-16</v>
      </c>
      <c r="AU733" s="4">
        <v>3.7428299999999999E-16</v>
      </c>
      <c r="AV733" s="4">
        <v>3.7428299999999999E-16</v>
      </c>
    </row>
    <row r="734" spans="3:48" x14ac:dyDescent="0.25">
      <c r="C734" s="7">
        <v>2.0335999999999999E-14</v>
      </c>
      <c r="D734" s="5">
        <v>2.51019E-13</v>
      </c>
      <c r="E734" s="5">
        <v>2.5338999999999999E-13</v>
      </c>
      <c r="F734" s="8">
        <v>2.6087499999999999E-13</v>
      </c>
      <c r="I734" s="5">
        <v>6.3628099999999997E-15</v>
      </c>
      <c r="J734" s="5">
        <v>3.7428299999999999E-16</v>
      </c>
      <c r="K734" s="5">
        <v>4.9904399999999999E-16</v>
      </c>
      <c r="L734" s="8">
        <v>2.4952199999999999E-16</v>
      </c>
      <c r="O734" s="5">
        <v>6.2380499999999999E-16</v>
      </c>
      <c r="P734" s="5">
        <v>2.4952199999999999E-16</v>
      </c>
      <c r="Q734" s="5">
        <v>3.7428299999999999E-16</v>
      </c>
      <c r="R734" s="8">
        <v>2.4952199999999999E-16</v>
      </c>
      <c r="U734" s="5">
        <v>3.49331E-15</v>
      </c>
      <c r="V734" s="5"/>
      <c r="W734" s="5"/>
      <c r="AA734" s="5"/>
      <c r="AB734" s="5"/>
      <c r="AC734" s="5">
        <v>2.4952199999999999E-16</v>
      </c>
      <c r="AG734" s="5"/>
      <c r="AM734" s="5"/>
      <c r="AS734" s="5">
        <v>3.7428299999999999E-16</v>
      </c>
      <c r="AT734" s="4">
        <v>1.24761E-16</v>
      </c>
      <c r="AU734" s="4">
        <v>3.49331E-15</v>
      </c>
      <c r="AV734" s="4">
        <v>3.7428299999999999E-16</v>
      </c>
    </row>
    <row r="735" spans="3:48" x14ac:dyDescent="0.25">
      <c r="C735" s="7">
        <v>2.0211299999999999E-14</v>
      </c>
      <c r="D735" s="5">
        <v>2.4852400000000002E-13</v>
      </c>
      <c r="E735" s="5">
        <v>2.5276600000000001E-13</v>
      </c>
      <c r="F735" s="8">
        <v>2.6025200000000002E-13</v>
      </c>
      <c r="I735" s="5">
        <v>6.3628099999999997E-15</v>
      </c>
      <c r="J735" s="5">
        <v>3.7428299999999999E-16</v>
      </c>
      <c r="K735" s="5">
        <v>4.9904399999999999E-16</v>
      </c>
      <c r="L735" s="8">
        <v>2.4952199999999999E-16</v>
      </c>
      <c r="O735" s="5">
        <v>6.2380499999999999E-16</v>
      </c>
      <c r="P735" s="5">
        <v>2.4952199999999999E-16</v>
      </c>
      <c r="Q735" s="5">
        <v>3.7428299999999999E-16</v>
      </c>
      <c r="R735" s="8">
        <v>2.4952199999999999E-16</v>
      </c>
      <c r="U735" s="5">
        <v>3.3685499999999999E-15</v>
      </c>
      <c r="V735" s="5"/>
      <c r="W735" s="5"/>
      <c r="AA735" s="5"/>
      <c r="AB735" s="5"/>
      <c r="AC735" s="5">
        <v>2.4952199999999999E-16</v>
      </c>
      <c r="AG735" s="5"/>
      <c r="AM735" s="5"/>
      <c r="AS735" s="5">
        <v>3.7428299999999999E-16</v>
      </c>
      <c r="AT735" s="4">
        <v>1.24761E-16</v>
      </c>
      <c r="AU735" s="4">
        <v>1.99618E-15</v>
      </c>
      <c r="AV735" s="4">
        <v>3.7428299999999999E-16</v>
      </c>
    </row>
    <row r="736" spans="3:48" x14ac:dyDescent="0.25">
      <c r="C736" s="7">
        <v>2.0211299999999999E-14</v>
      </c>
      <c r="D736" s="5">
        <v>2.44407E-13</v>
      </c>
      <c r="E736" s="5">
        <v>2.5139300000000002E-13</v>
      </c>
      <c r="F736" s="8">
        <v>2.6025200000000002E-13</v>
      </c>
      <c r="I736" s="5">
        <v>6.2380499999999997E-15</v>
      </c>
      <c r="J736" s="5">
        <v>3.7428299999999999E-16</v>
      </c>
      <c r="K736" s="5">
        <v>4.9904399999999999E-16</v>
      </c>
      <c r="L736" s="8">
        <v>2.4952199999999999E-16</v>
      </c>
      <c r="O736" s="5">
        <v>6.2380499999999999E-16</v>
      </c>
      <c r="P736" s="5">
        <v>2.4952199999999999E-16</v>
      </c>
      <c r="Q736" s="5">
        <v>3.7428299999999999E-16</v>
      </c>
      <c r="R736" s="8">
        <v>2.4952199999999999E-16</v>
      </c>
      <c r="U736" s="5">
        <v>3.3685499999999999E-15</v>
      </c>
      <c r="V736" s="5"/>
      <c r="W736" s="5"/>
      <c r="AA736" s="5"/>
      <c r="AB736" s="5"/>
      <c r="AC736" s="5">
        <v>2.4952199999999999E-16</v>
      </c>
      <c r="AG736" s="5"/>
      <c r="AM736" s="5"/>
      <c r="AS736" s="5">
        <v>3.7428299999999999E-16</v>
      </c>
      <c r="AT736" s="4">
        <v>1.24761E-16</v>
      </c>
      <c r="AU736" s="4">
        <v>2.61998E-15</v>
      </c>
      <c r="AV736" s="4">
        <v>3.7428299999999999E-16</v>
      </c>
    </row>
    <row r="737" spans="3:48" x14ac:dyDescent="0.25">
      <c r="C737" s="7">
        <v>2.0086499999999999E-14</v>
      </c>
      <c r="D737" s="5">
        <v>2.44407E-13</v>
      </c>
      <c r="E737" s="5">
        <v>2.5077E-13</v>
      </c>
      <c r="F737" s="8">
        <v>2.6012700000000001E-13</v>
      </c>
      <c r="I737" s="5">
        <v>6.2380499999999997E-15</v>
      </c>
      <c r="J737" s="5">
        <v>3.7428299999999999E-16</v>
      </c>
      <c r="K737" s="5">
        <v>4.9904399999999999E-16</v>
      </c>
      <c r="L737" s="8">
        <v>2.4952199999999999E-16</v>
      </c>
      <c r="O737" s="5">
        <v>6.2380499999999999E-16</v>
      </c>
      <c r="P737" s="5">
        <v>2.4952199999999999E-16</v>
      </c>
      <c r="Q737" s="5">
        <v>3.7428299999999999E-16</v>
      </c>
      <c r="R737" s="8">
        <v>2.4952199999999999E-16</v>
      </c>
      <c r="U737" s="5">
        <v>3.3685499999999999E-15</v>
      </c>
      <c r="V737" s="5"/>
      <c r="W737" s="5"/>
      <c r="AA737" s="5"/>
      <c r="AB737" s="5"/>
      <c r="AC737" s="5">
        <v>2.4952199999999999E-16</v>
      </c>
      <c r="AG737" s="5"/>
      <c r="AM737" s="5"/>
      <c r="AS737" s="5">
        <v>3.7428299999999999E-16</v>
      </c>
      <c r="AT737" s="4">
        <v>1.24761E-16</v>
      </c>
      <c r="AU737" s="4">
        <v>1.4971299999999999E-15</v>
      </c>
      <c r="AV737" s="4">
        <v>3.7428299999999999E-16</v>
      </c>
    </row>
    <row r="738" spans="3:48" x14ac:dyDescent="0.25">
      <c r="C738" s="7">
        <v>2.0086499999999999E-14</v>
      </c>
      <c r="D738" s="5">
        <v>2.4428199999999999E-13</v>
      </c>
      <c r="E738" s="5">
        <v>2.5077E-13</v>
      </c>
      <c r="F738" s="8">
        <v>2.60002E-13</v>
      </c>
      <c r="I738" s="5">
        <v>6.2380499999999997E-15</v>
      </c>
      <c r="J738" s="5">
        <v>3.7428299999999999E-16</v>
      </c>
      <c r="K738" s="5">
        <v>4.9904399999999999E-16</v>
      </c>
      <c r="L738" s="8">
        <v>2.4952199999999999E-16</v>
      </c>
      <c r="O738" s="5">
        <v>6.2380499999999999E-16</v>
      </c>
      <c r="P738" s="5">
        <v>2.4952199999999999E-16</v>
      </c>
      <c r="Q738" s="5">
        <v>3.7428299999999999E-16</v>
      </c>
      <c r="R738" s="8">
        <v>2.4952199999999999E-16</v>
      </c>
      <c r="U738" s="5">
        <v>3.3685499999999999E-15</v>
      </c>
      <c r="V738" s="5"/>
      <c r="W738" s="5"/>
      <c r="AA738" s="5"/>
      <c r="AB738" s="5"/>
      <c r="AC738" s="5">
        <v>2.4952199999999999E-16</v>
      </c>
      <c r="AG738" s="5"/>
      <c r="AM738" s="5"/>
      <c r="AS738" s="5">
        <v>2.4952199999999999E-16</v>
      </c>
      <c r="AT738" s="4">
        <v>1.24761E-16</v>
      </c>
      <c r="AU738" s="4">
        <v>1.24761E-15</v>
      </c>
      <c r="AV738" s="4">
        <v>3.7428299999999999E-16</v>
      </c>
    </row>
    <row r="739" spans="3:48" x14ac:dyDescent="0.25">
      <c r="C739" s="7">
        <v>2.0086499999999999E-14</v>
      </c>
      <c r="D739" s="5">
        <v>2.4415699999999998E-13</v>
      </c>
      <c r="E739" s="5">
        <v>2.4989599999999999E-13</v>
      </c>
      <c r="F739" s="8">
        <v>2.5887899999999998E-13</v>
      </c>
      <c r="I739" s="5">
        <v>6.2380499999999997E-15</v>
      </c>
      <c r="J739" s="5">
        <v>3.7428299999999999E-16</v>
      </c>
      <c r="K739" s="5">
        <v>4.9904399999999999E-16</v>
      </c>
      <c r="L739" s="8">
        <v>2.4952199999999999E-16</v>
      </c>
      <c r="O739" s="5">
        <v>6.2380499999999999E-16</v>
      </c>
      <c r="P739" s="5">
        <v>2.4952199999999999E-16</v>
      </c>
      <c r="Q739" s="5">
        <v>3.7428299999999999E-16</v>
      </c>
      <c r="R739" s="8">
        <v>2.4952199999999999E-16</v>
      </c>
      <c r="U739" s="5">
        <v>3.3685499999999999E-15</v>
      </c>
      <c r="V739" s="5"/>
      <c r="W739" s="5"/>
      <c r="AA739" s="5"/>
      <c r="AB739" s="5"/>
      <c r="AC739" s="5">
        <v>2.4952199999999999E-16</v>
      </c>
      <c r="AG739" s="5"/>
      <c r="AM739" s="5"/>
      <c r="AS739" s="5">
        <v>2.4952199999999999E-16</v>
      </c>
      <c r="AT739" s="4">
        <v>1.24761E-16</v>
      </c>
      <c r="AU739" s="4">
        <v>1.24761E-16</v>
      </c>
      <c r="AV739" s="4">
        <v>3.7428299999999999E-16</v>
      </c>
    </row>
    <row r="740" spans="3:48" x14ac:dyDescent="0.25">
      <c r="C740" s="7">
        <v>1.9961799999999999E-14</v>
      </c>
      <c r="D740" s="5">
        <v>2.4278500000000001E-13</v>
      </c>
      <c r="E740" s="5">
        <v>2.49772E-13</v>
      </c>
      <c r="F740" s="8">
        <v>2.5875400000000002E-13</v>
      </c>
      <c r="I740" s="5">
        <v>6.2380499999999997E-15</v>
      </c>
      <c r="J740" s="5">
        <v>3.7428299999999999E-16</v>
      </c>
      <c r="K740" s="5">
        <v>4.9904399999999999E-16</v>
      </c>
      <c r="L740" s="8">
        <v>2.4952199999999999E-16</v>
      </c>
      <c r="O740" s="5">
        <v>6.2380499999999999E-16</v>
      </c>
      <c r="P740" s="5">
        <v>2.4952199999999999E-16</v>
      </c>
      <c r="Q740" s="5">
        <v>3.7428299999999999E-16</v>
      </c>
      <c r="R740" s="8">
        <v>2.4952199999999999E-16</v>
      </c>
      <c r="U740" s="5">
        <v>3.3685499999999999E-15</v>
      </c>
      <c r="V740" s="5"/>
      <c r="W740" s="5"/>
      <c r="AA740" s="5"/>
      <c r="AB740" s="5"/>
      <c r="AC740" s="5">
        <v>2.4952199999999999E-16</v>
      </c>
      <c r="AG740" s="5"/>
      <c r="AM740" s="5"/>
      <c r="AS740" s="5">
        <v>2.4952199999999999E-16</v>
      </c>
      <c r="AT740" s="4">
        <v>1.24761E-16</v>
      </c>
      <c r="AU740" s="4">
        <v>2.4952199999999999E-16</v>
      </c>
      <c r="AV740" s="4">
        <v>3.7428299999999999E-16</v>
      </c>
    </row>
    <row r="741" spans="3:48" x14ac:dyDescent="0.25">
      <c r="C741" s="7">
        <v>1.9961799999999999E-14</v>
      </c>
      <c r="D741" s="5">
        <v>2.4278500000000001E-13</v>
      </c>
      <c r="E741" s="5">
        <v>2.4864899999999998E-13</v>
      </c>
      <c r="F741" s="8">
        <v>2.5650900000000001E-13</v>
      </c>
      <c r="I741" s="5">
        <v>6.2380499999999997E-15</v>
      </c>
      <c r="J741" s="5">
        <v>3.7428299999999999E-16</v>
      </c>
      <c r="K741" s="5">
        <v>4.9904399999999999E-16</v>
      </c>
      <c r="L741" s="8">
        <v>2.4952199999999999E-16</v>
      </c>
      <c r="O741" s="5">
        <v>6.2380499999999999E-16</v>
      </c>
      <c r="P741" s="5">
        <v>2.4952199999999999E-16</v>
      </c>
      <c r="Q741" s="5">
        <v>3.7428299999999999E-16</v>
      </c>
      <c r="R741" s="8">
        <v>2.4952199999999999E-16</v>
      </c>
      <c r="U741" s="5">
        <v>3.3685499999999999E-15</v>
      </c>
      <c r="V741" s="5"/>
      <c r="W741" s="5"/>
      <c r="AA741" s="5"/>
      <c r="AB741" s="5"/>
      <c r="AC741" s="5">
        <v>2.4952199999999999E-16</v>
      </c>
      <c r="AG741" s="5"/>
      <c r="AM741" s="5"/>
      <c r="AS741" s="5">
        <v>2.4952199999999999E-16</v>
      </c>
      <c r="AT741" s="4">
        <v>1.24761E-16</v>
      </c>
      <c r="AU741" s="4">
        <v>2.1209400000000001E-15</v>
      </c>
      <c r="AV741" s="4">
        <v>3.7428299999999999E-16</v>
      </c>
    </row>
    <row r="742" spans="3:48" x14ac:dyDescent="0.25">
      <c r="C742" s="7">
        <v>1.9961799999999999E-14</v>
      </c>
      <c r="D742" s="5">
        <v>2.4253499999999999E-13</v>
      </c>
      <c r="E742" s="5">
        <v>2.4852400000000002E-13</v>
      </c>
      <c r="F742" s="8">
        <v>2.5650900000000001E-13</v>
      </c>
      <c r="I742" s="5">
        <v>6.2380499999999997E-15</v>
      </c>
      <c r="J742" s="5">
        <v>3.7428299999999999E-16</v>
      </c>
      <c r="K742" s="5">
        <v>4.9904399999999999E-16</v>
      </c>
      <c r="L742" s="8">
        <v>2.4952199999999999E-16</v>
      </c>
      <c r="O742" s="5">
        <v>6.2380499999999999E-16</v>
      </c>
      <c r="P742" s="5">
        <v>2.4952199999999999E-16</v>
      </c>
      <c r="Q742" s="5">
        <v>3.7428299999999999E-16</v>
      </c>
      <c r="R742" s="8">
        <v>2.4952199999999999E-16</v>
      </c>
      <c r="U742" s="5">
        <v>3.3685499999999999E-15</v>
      </c>
      <c r="V742" s="5"/>
      <c r="W742" s="5"/>
      <c r="AA742" s="5"/>
      <c r="AB742" s="5"/>
      <c r="AC742" s="5">
        <v>2.4952199999999999E-16</v>
      </c>
      <c r="AG742" s="5"/>
      <c r="AM742" s="5"/>
      <c r="AS742" s="5">
        <v>2.4952199999999999E-16</v>
      </c>
      <c r="AT742" s="4">
        <v>1.24761E-16</v>
      </c>
      <c r="AU742" s="4">
        <v>2.4952199999999999E-16</v>
      </c>
      <c r="AV742" s="4">
        <v>3.7428299999999999E-16</v>
      </c>
    </row>
    <row r="743" spans="3:48" x14ac:dyDescent="0.25">
      <c r="C743" s="7">
        <v>1.9961799999999999E-14</v>
      </c>
      <c r="D743" s="5">
        <v>2.41662E-13</v>
      </c>
      <c r="E743" s="5">
        <v>2.48025E-13</v>
      </c>
      <c r="F743" s="8">
        <v>2.5625899999999999E-13</v>
      </c>
      <c r="I743" s="5">
        <v>6.2380499999999997E-15</v>
      </c>
      <c r="J743" s="5">
        <v>3.7428299999999999E-16</v>
      </c>
      <c r="K743" s="5">
        <v>4.9904399999999999E-16</v>
      </c>
      <c r="L743" s="8">
        <v>2.4952199999999999E-16</v>
      </c>
      <c r="O743" s="5">
        <v>6.2380499999999999E-16</v>
      </c>
      <c r="P743" s="5">
        <v>2.4952199999999999E-16</v>
      </c>
      <c r="Q743" s="5">
        <v>3.7428299999999999E-16</v>
      </c>
      <c r="R743" s="8">
        <v>2.4952199999999999E-16</v>
      </c>
      <c r="U743" s="5">
        <v>3.2437900000000002E-15</v>
      </c>
      <c r="V743" s="5"/>
      <c r="W743" s="5"/>
      <c r="AA743" s="5"/>
      <c r="AB743" s="5"/>
      <c r="AC743" s="5">
        <v>2.4952199999999999E-16</v>
      </c>
      <c r="AG743" s="5"/>
      <c r="AM743" s="5"/>
      <c r="AS743" s="5">
        <v>2.4952199999999999E-16</v>
      </c>
      <c r="AT743" s="4">
        <v>1.24761E-16</v>
      </c>
      <c r="AU743" s="4">
        <v>4.9904399999999999E-16</v>
      </c>
      <c r="AV743" s="4">
        <v>3.7428299999999999E-16</v>
      </c>
    </row>
    <row r="744" spans="3:48" x14ac:dyDescent="0.25">
      <c r="C744" s="7">
        <v>1.9837000000000001E-14</v>
      </c>
      <c r="D744" s="5">
        <v>2.4141299999999999E-13</v>
      </c>
      <c r="E744" s="5">
        <v>2.45405E-13</v>
      </c>
      <c r="F744" s="8">
        <v>2.5600999999999999E-13</v>
      </c>
      <c r="I744" s="5">
        <v>6.1132900000000004E-15</v>
      </c>
      <c r="J744" s="5">
        <v>2.4952199999999999E-16</v>
      </c>
      <c r="K744" s="5">
        <v>4.9904399999999999E-16</v>
      </c>
      <c r="L744" s="8">
        <v>2.4952199999999999E-16</v>
      </c>
      <c r="O744" s="5">
        <v>6.2380499999999999E-16</v>
      </c>
      <c r="P744" s="5">
        <v>2.4952199999999999E-16</v>
      </c>
      <c r="Q744" s="5">
        <v>3.7428299999999999E-16</v>
      </c>
      <c r="R744" s="8">
        <v>2.4952199999999999E-16</v>
      </c>
      <c r="U744" s="5">
        <v>3.2437900000000002E-15</v>
      </c>
      <c r="V744" s="5"/>
      <c r="W744" s="5"/>
      <c r="AA744" s="5"/>
      <c r="AB744" s="5"/>
      <c r="AC744" s="5">
        <v>2.4952199999999999E-16</v>
      </c>
      <c r="AG744" s="5"/>
      <c r="AM744" s="5"/>
      <c r="AS744" s="5">
        <v>2.4952199999999999E-16</v>
      </c>
      <c r="AT744" s="4">
        <v>1.24761E-16</v>
      </c>
      <c r="AU744" s="4">
        <v>1.84023E-13</v>
      </c>
      <c r="AV744" s="4">
        <v>3.7428299999999999E-16</v>
      </c>
    </row>
    <row r="745" spans="3:48" x14ac:dyDescent="0.25">
      <c r="C745" s="7">
        <v>1.9837000000000001E-14</v>
      </c>
      <c r="D745" s="5">
        <v>2.4103800000000001E-13</v>
      </c>
      <c r="E745" s="5">
        <v>2.4503099999999999E-13</v>
      </c>
      <c r="F745" s="8">
        <v>2.5226699999999998E-13</v>
      </c>
      <c r="I745" s="5">
        <v>6.1132900000000004E-15</v>
      </c>
      <c r="J745" s="5">
        <v>2.4952199999999999E-16</v>
      </c>
      <c r="K745" s="5">
        <v>4.9904399999999999E-16</v>
      </c>
      <c r="L745" s="8">
        <v>2.4952199999999999E-16</v>
      </c>
      <c r="O745" s="5">
        <v>6.2380499999999999E-16</v>
      </c>
      <c r="P745" s="5">
        <v>2.4952199999999999E-16</v>
      </c>
      <c r="Q745" s="5">
        <v>3.7428299999999999E-16</v>
      </c>
      <c r="R745" s="8">
        <v>2.4952199999999999E-16</v>
      </c>
      <c r="U745" s="5">
        <v>3.2437900000000002E-15</v>
      </c>
      <c r="V745" s="5"/>
      <c r="W745" s="5"/>
      <c r="AA745" s="5"/>
      <c r="AB745" s="5"/>
      <c r="AC745" s="5">
        <v>1.24761E-16</v>
      </c>
      <c r="AG745" s="5"/>
      <c r="AM745" s="5"/>
      <c r="AS745" s="5">
        <v>2.4952199999999999E-16</v>
      </c>
      <c r="AT745" s="4">
        <v>1.24761E-16</v>
      </c>
      <c r="AU745" s="4">
        <v>1.62189E-15</v>
      </c>
      <c r="AV745" s="4">
        <v>3.7428299999999999E-16</v>
      </c>
    </row>
    <row r="746" spans="3:48" x14ac:dyDescent="0.25">
      <c r="C746" s="7">
        <v>1.97122E-14</v>
      </c>
      <c r="D746" s="5">
        <v>2.4004000000000001E-13</v>
      </c>
      <c r="E746" s="5">
        <v>2.4415699999999998E-13</v>
      </c>
      <c r="F746" s="8">
        <v>2.5164299999999999E-13</v>
      </c>
      <c r="I746" s="5">
        <v>6.1132900000000004E-15</v>
      </c>
      <c r="J746" s="5">
        <v>2.4952199999999999E-16</v>
      </c>
      <c r="K746" s="5">
        <v>4.9904399999999999E-16</v>
      </c>
      <c r="L746" s="8">
        <v>2.4952199999999999E-16</v>
      </c>
      <c r="O746" s="5">
        <v>6.2380499999999999E-16</v>
      </c>
      <c r="P746" s="5">
        <v>2.4952199999999999E-16</v>
      </c>
      <c r="Q746" s="5">
        <v>3.7428299999999999E-16</v>
      </c>
      <c r="R746" s="8">
        <v>2.4952199999999999E-16</v>
      </c>
      <c r="U746" s="5">
        <v>3.2437900000000002E-15</v>
      </c>
      <c r="V746" s="5"/>
      <c r="W746" s="5"/>
      <c r="AA746" s="5"/>
      <c r="AB746" s="5"/>
      <c r="AC746" s="5">
        <v>1.24761E-16</v>
      </c>
      <c r="AG746" s="5"/>
      <c r="AM746" s="5"/>
      <c r="AS746" s="5">
        <v>2.4952199999999999E-16</v>
      </c>
      <c r="AT746" s="4">
        <v>1.24761E-16</v>
      </c>
      <c r="AU746" s="4">
        <v>3.7428299999999999E-16</v>
      </c>
      <c r="AV746" s="4">
        <v>3.7428299999999999E-16</v>
      </c>
    </row>
    <row r="747" spans="3:48" x14ac:dyDescent="0.25">
      <c r="C747" s="7">
        <v>1.97122E-14</v>
      </c>
      <c r="D747" s="5">
        <v>2.3891699999999999E-13</v>
      </c>
      <c r="E747" s="5">
        <v>2.4353400000000001E-13</v>
      </c>
      <c r="F747" s="8">
        <v>2.5164299999999999E-13</v>
      </c>
      <c r="I747" s="5">
        <v>6.1132900000000004E-15</v>
      </c>
      <c r="J747" s="5">
        <v>2.4952199999999999E-16</v>
      </c>
      <c r="K747" s="5">
        <v>4.9904399999999999E-16</v>
      </c>
      <c r="L747" s="8">
        <v>2.4952199999999999E-16</v>
      </c>
      <c r="O747" s="5">
        <v>6.2380499999999999E-16</v>
      </c>
      <c r="P747" s="5">
        <v>2.4952199999999999E-16</v>
      </c>
      <c r="Q747" s="5">
        <v>3.7428299999999999E-16</v>
      </c>
      <c r="R747" s="8">
        <v>2.4952199999999999E-16</v>
      </c>
      <c r="U747" s="5">
        <v>3.2437900000000002E-15</v>
      </c>
      <c r="V747" s="5"/>
      <c r="W747" s="5"/>
      <c r="AA747" s="5"/>
      <c r="AB747" s="5"/>
      <c r="AC747" s="5">
        <v>1.24761E-16</v>
      </c>
      <c r="AG747" s="5"/>
      <c r="AM747" s="5"/>
      <c r="AS747" s="5">
        <v>2.4952199999999999E-16</v>
      </c>
      <c r="AT747" s="4">
        <v>1.24761E-16</v>
      </c>
      <c r="AU747" s="4">
        <v>6.2380499999999997E-15</v>
      </c>
      <c r="AV747" s="4">
        <v>3.7428299999999999E-16</v>
      </c>
    </row>
    <row r="748" spans="3:48" x14ac:dyDescent="0.25">
      <c r="C748" s="7">
        <v>1.95875E-14</v>
      </c>
      <c r="D748" s="5">
        <v>2.3816900000000001E-13</v>
      </c>
      <c r="E748" s="5">
        <v>2.4303400000000001E-13</v>
      </c>
      <c r="F748" s="8">
        <v>2.5114400000000002E-13</v>
      </c>
      <c r="I748" s="5">
        <v>5.9885300000000003E-15</v>
      </c>
      <c r="J748" s="5">
        <v>2.4952199999999999E-16</v>
      </c>
      <c r="K748" s="5">
        <v>4.9904399999999999E-16</v>
      </c>
      <c r="L748" s="8">
        <v>2.4952199999999999E-16</v>
      </c>
      <c r="O748" s="5">
        <v>4.9904399999999999E-16</v>
      </c>
      <c r="P748" s="5">
        <v>2.4952199999999999E-16</v>
      </c>
      <c r="Q748" s="5">
        <v>3.7428299999999999E-16</v>
      </c>
      <c r="R748" s="4">
        <v>2.4952199999999999E-16</v>
      </c>
      <c r="U748" s="5">
        <v>3.2437900000000002E-15</v>
      </c>
      <c r="V748" s="5"/>
      <c r="W748" s="5"/>
      <c r="AA748" s="5"/>
      <c r="AB748" s="5"/>
      <c r="AC748" s="5">
        <v>1.24761E-16</v>
      </c>
      <c r="AG748" s="5"/>
      <c r="AM748" s="5"/>
      <c r="AS748" s="5">
        <v>2.4952199999999999E-16</v>
      </c>
      <c r="AT748" s="4">
        <v>1.24761E-16</v>
      </c>
      <c r="AU748" s="4">
        <v>9.9808799999999998E-16</v>
      </c>
      <c r="AV748" s="4">
        <v>3.7428299999999999E-16</v>
      </c>
    </row>
    <row r="749" spans="3:48" x14ac:dyDescent="0.25">
      <c r="C749" s="7">
        <v>1.9338E-14</v>
      </c>
      <c r="D749" s="5">
        <v>2.38044E-13</v>
      </c>
      <c r="E749" s="5">
        <v>2.4291000000000002E-13</v>
      </c>
      <c r="F749" s="8">
        <v>2.51019E-13</v>
      </c>
      <c r="I749" s="5">
        <v>5.9885300000000003E-15</v>
      </c>
      <c r="J749" s="5">
        <v>2.4952199999999999E-16</v>
      </c>
      <c r="K749" s="5">
        <v>4.9904399999999999E-16</v>
      </c>
      <c r="L749" s="8">
        <v>2.4952199999999999E-16</v>
      </c>
      <c r="O749" s="5">
        <v>4.9904399999999999E-16</v>
      </c>
      <c r="P749" s="5">
        <v>2.4952199999999999E-16</v>
      </c>
      <c r="Q749" s="5">
        <v>3.7428299999999999E-16</v>
      </c>
      <c r="R749" s="4">
        <v>2.4952199999999999E-16</v>
      </c>
      <c r="U749" s="5">
        <v>3.2437900000000002E-15</v>
      </c>
      <c r="V749" s="5"/>
      <c r="W749" s="5"/>
      <c r="AA749" s="5"/>
      <c r="AB749" s="5"/>
      <c r="AC749" s="5">
        <v>1.24761E-16</v>
      </c>
      <c r="AG749" s="5"/>
      <c r="AM749" s="5"/>
      <c r="AS749" s="5">
        <v>2.4952199999999999E-16</v>
      </c>
      <c r="AT749" s="4">
        <v>1.24761E-16</v>
      </c>
      <c r="AU749" s="4">
        <v>1.6218899999999999E-14</v>
      </c>
      <c r="AV749" s="4">
        <v>3.7428299999999999E-16</v>
      </c>
    </row>
    <row r="750" spans="3:48" x14ac:dyDescent="0.25">
      <c r="C750" s="7">
        <v>1.9338E-14</v>
      </c>
      <c r="D750" s="5">
        <v>2.38044E-13</v>
      </c>
      <c r="E750" s="5">
        <v>2.4253499999999999E-13</v>
      </c>
      <c r="F750" s="8">
        <v>2.5064499999999999E-13</v>
      </c>
      <c r="I750" s="5">
        <v>5.9885300000000003E-15</v>
      </c>
      <c r="J750" s="5">
        <v>2.4952199999999999E-16</v>
      </c>
      <c r="K750" s="5">
        <v>4.9904399999999999E-16</v>
      </c>
      <c r="L750" s="8">
        <v>2.4952199999999999E-16</v>
      </c>
      <c r="O750" s="5">
        <v>4.9904399999999999E-16</v>
      </c>
      <c r="P750" s="5">
        <v>2.4952199999999999E-16</v>
      </c>
      <c r="Q750" s="5">
        <v>3.7428299999999999E-16</v>
      </c>
      <c r="R750" s="4">
        <v>2.4952199999999999E-16</v>
      </c>
      <c r="U750" s="5">
        <v>3.2437900000000002E-15</v>
      </c>
      <c r="V750" s="5"/>
      <c r="W750" s="5"/>
      <c r="AA750" s="5"/>
      <c r="AB750" s="5"/>
      <c r="AC750" s="5">
        <v>1.24761E-16</v>
      </c>
      <c r="AG750" s="5"/>
      <c r="AM750" s="5"/>
      <c r="AS750" s="5">
        <v>2.4952199999999999E-16</v>
      </c>
      <c r="AT750" s="4">
        <v>1.24761E-16</v>
      </c>
      <c r="AU750" s="4">
        <v>1.24761E-16</v>
      </c>
      <c r="AV750" s="4">
        <v>3.7428299999999999E-16</v>
      </c>
    </row>
    <row r="751" spans="3:48" x14ac:dyDescent="0.25">
      <c r="C751" s="7">
        <v>1.9338E-14</v>
      </c>
      <c r="D751" s="5">
        <v>2.37795E-13</v>
      </c>
      <c r="E751" s="5">
        <v>2.41662E-13</v>
      </c>
      <c r="F751" s="8">
        <v>2.5064499999999999E-13</v>
      </c>
      <c r="I751" s="5">
        <v>5.8637599999999997E-15</v>
      </c>
      <c r="J751" s="5">
        <v>2.4952199999999999E-16</v>
      </c>
      <c r="K751" s="5">
        <v>4.9904399999999999E-16</v>
      </c>
      <c r="L751" s="8">
        <v>2.4952199999999999E-16</v>
      </c>
      <c r="O751" s="5">
        <v>4.9904399999999999E-16</v>
      </c>
      <c r="P751" s="5">
        <v>2.4952199999999999E-16</v>
      </c>
      <c r="Q751" s="5">
        <v>3.7428299999999999E-16</v>
      </c>
      <c r="R751" s="4">
        <v>2.4952199999999999E-16</v>
      </c>
      <c r="U751" s="5">
        <v>3.1190199999999999E-15</v>
      </c>
      <c r="V751" s="5"/>
      <c r="W751" s="5"/>
      <c r="AA751" s="5"/>
      <c r="AB751" s="5"/>
      <c r="AC751" s="5">
        <v>1.24761E-16</v>
      </c>
      <c r="AG751" s="5"/>
      <c r="AM751" s="5"/>
      <c r="AS751" s="5">
        <v>2.4952199999999999E-16</v>
      </c>
      <c r="AT751" s="4">
        <v>1.24761E-16</v>
      </c>
      <c r="AU751" s="4">
        <v>1.24761E-16</v>
      </c>
      <c r="AV751" s="4">
        <v>3.7428299999999999E-16</v>
      </c>
    </row>
    <row r="752" spans="3:48" x14ac:dyDescent="0.25">
      <c r="C752" s="7">
        <v>1.9338E-14</v>
      </c>
      <c r="D752" s="5">
        <v>2.37295E-13</v>
      </c>
      <c r="E752" s="5">
        <v>2.41662E-13</v>
      </c>
      <c r="F752" s="8">
        <v>2.4927300000000002E-13</v>
      </c>
      <c r="I752" s="5">
        <v>5.8637599999999997E-15</v>
      </c>
      <c r="J752" s="5">
        <v>2.4952199999999999E-16</v>
      </c>
      <c r="K752" s="5">
        <v>4.9904399999999999E-16</v>
      </c>
      <c r="L752" s="8">
        <v>2.4952199999999999E-16</v>
      </c>
      <c r="O752" s="5">
        <v>4.9904399999999999E-16</v>
      </c>
      <c r="P752" s="5">
        <v>2.4952199999999999E-16</v>
      </c>
      <c r="Q752" s="5">
        <v>3.7428299999999999E-16</v>
      </c>
      <c r="R752" s="4">
        <v>2.4952199999999999E-16</v>
      </c>
      <c r="U752" s="5">
        <v>3.1190199999999999E-15</v>
      </c>
      <c r="V752" s="5"/>
      <c r="W752" s="5"/>
      <c r="AA752" s="5"/>
      <c r="AB752" s="5"/>
      <c r="AC752" s="5">
        <v>1.24761E-16</v>
      </c>
      <c r="AG752" s="5"/>
      <c r="AM752" s="5"/>
      <c r="AS752" s="5">
        <v>2.4952199999999999E-16</v>
      </c>
      <c r="AT752" s="4">
        <v>1.24761E-16</v>
      </c>
      <c r="AU752" s="4">
        <v>4.9904399999999999E-16</v>
      </c>
      <c r="AV752" s="4">
        <v>3.7428299999999999E-16</v>
      </c>
    </row>
    <row r="753" spans="3:48" x14ac:dyDescent="0.25">
      <c r="C753" s="7">
        <v>1.9213199999999999E-14</v>
      </c>
      <c r="D753" s="5">
        <v>2.3542400000000001E-13</v>
      </c>
      <c r="E753" s="5">
        <v>2.4153699999999998E-13</v>
      </c>
      <c r="F753" s="8">
        <v>2.4914800000000001E-13</v>
      </c>
      <c r="I753" s="5">
        <v>5.8637599999999997E-15</v>
      </c>
      <c r="J753" s="5">
        <v>2.4952199999999999E-16</v>
      </c>
      <c r="K753" s="5">
        <v>4.9904399999999999E-16</v>
      </c>
      <c r="L753" s="8">
        <v>2.4952199999999999E-16</v>
      </c>
      <c r="O753" s="5">
        <v>4.9904399999999999E-16</v>
      </c>
      <c r="P753" s="5">
        <v>2.4952199999999999E-16</v>
      </c>
      <c r="Q753" s="5">
        <v>3.7428299999999999E-16</v>
      </c>
      <c r="R753" s="4">
        <v>2.4952199999999999E-16</v>
      </c>
      <c r="U753" s="5">
        <v>3.1190199999999999E-15</v>
      </c>
      <c r="V753" s="5"/>
      <c r="W753" s="5"/>
      <c r="AA753" s="5"/>
      <c r="AB753" s="5"/>
      <c r="AC753" s="5">
        <v>1.24761E-16</v>
      </c>
      <c r="AG753" s="5"/>
      <c r="AM753" s="5"/>
      <c r="AS753" s="5">
        <v>2.4952199999999999E-16</v>
      </c>
      <c r="AT753" s="4">
        <v>1.24761E-16</v>
      </c>
      <c r="AU753" s="4">
        <v>4.8033000000000001E-14</v>
      </c>
      <c r="AV753" s="4">
        <v>3.7428299999999999E-16</v>
      </c>
    </row>
    <row r="754" spans="3:48" x14ac:dyDescent="0.25">
      <c r="C754" s="7">
        <v>1.9088400000000001E-14</v>
      </c>
      <c r="D754" s="5">
        <v>2.3542400000000001E-13</v>
      </c>
      <c r="E754" s="5">
        <v>2.4004000000000001E-13</v>
      </c>
      <c r="F754" s="8">
        <v>2.48774E-13</v>
      </c>
      <c r="I754" s="5">
        <v>5.8637599999999997E-15</v>
      </c>
      <c r="J754" s="5">
        <v>2.4952199999999999E-16</v>
      </c>
      <c r="K754" s="5">
        <v>4.9904399999999999E-16</v>
      </c>
      <c r="L754" s="8">
        <v>2.4952199999999999E-16</v>
      </c>
      <c r="O754" s="5">
        <v>4.9904399999999999E-16</v>
      </c>
      <c r="P754" s="5">
        <v>2.4952199999999999E-16</v>
      </c>
      <c r="Q754" s="5">
        <v>3.7428299999999999E-16</v>
      </c>
      <c r="R754" s="4">
        <v>2.4952199999999999E-16</v>
      </c>
      <c r="U754" s="5">
        <v>3.1190199999999999E-15</v>
      </c>
      <c r="V754" s="5"/>
      <c r="W754" s="5"/>
      <c r="AA754" s="5"/>
      <c r="AB754" s="5"/>
      <c r="AC754" s="5">
        <v>1.24761E-16</v>
      </c>
      <c r="AG754" s="5"/>
      <c r="AM754" s="5"/>
      <c r="AS754" s="5">
        <v>2.4952199999999999E-16</v>
      </c>
      <c r="AT754" s="4">
        <v>1.24761E-16</v>
      </c>
      <c r="AU754" s="4">
        <v>8.7332699999999998E-16</v>
      </c>
      <c r="AV754" s="4">
        <v>3.7428299999999999E-16</v>
      </c>
    </row>
    <row r="755" spans="3:48" x14ac:dyDescent="0.25">
      <c r="C755" s="7">
        <v>1.9088400000000001E-14</v>
      </c>
      <c r="D755" s="5">
        <v>2.3492499999999998E-13</v>
      </c>
      <c r="E755" s="5">
        <v>2.39042E-13</v>
      </c>
      <c r="F755" s="8">
        <v>2.4815000000000001E-13</v>
      </c>
      <c r="I755" s="5">
        <v>5.8637599999999997E-15</v>
      </c>
      <c r="J755" s="5">
        <v>2.4952199999999999E-16</v>
      </c>
      <c r="K755" s="5">
        <v>4.9904399999999999E-16</v>
      </c>
      <c r="L755" s="8">
        <v>2.4952199999999999E-16</v>
      </c>
      <c r="O755" s="5">
        <v>4.9904399999999999E-16</v>
      </c>
      <c r="P755" s="5">
        <v>2.4952199999999999E-16</v>
      </c>
      <c r="Q755" s="5">
        <v>3.7428299999999999E-16</v>
      </c>
      <c r="R755" s="4">
        <v>2.4952199999999999E-16</v>
      </c>
      <c r="U755" s="5">
        <v>3.1190199999999999E-15</v>
      </c>
      <c r="V755" s="5"/>
      <c r="W755" s="5"/>
      <c r="AA755" s="5"/>
      <c r="AB755" s="5"/>
      <c r="AC755" s="5">
        <v>1.24761E-16</v>
      </c>
      <c r="AG755" s="5"/>
      <c r="AM755" s="5"/>
      <c r="AS755" s="5">
        <v>2.4952199999999999E-16</v>
      </c>
      <c r="AT755" s="4">
        <v>1.24761E-16</v>
      </c>
      <c r="AU755" s="4">
        <v>2.4952199999999999E-16</v>
      </c>
      <c r="AV755" s="4">
        <v>3.7428299999999999E-16</v>
      </c>
    </row>
    <row r="756" spans="3:48" x14ac:dyDescent="0.25">
      <c r="C756" s="7">
        <v>1.9088400000000001E-14</v>
      </c>
      <c r="D756" s="5">
        <v>2.3430099999999999E-13</v>
      </c>
      <c r="E756" s="5">
        <v>2.3891699999999999E-13</v>
      </c>
      <c r="F756" s="8">
        <v>2.4765099999999998E-13</v>
      </c>
      <c r="I756" s="5">
        <v>5.8637599999999997E-15</v>
      </c>
      <c r="J756" s="5">
        <v>2.4952199999999999E-16</v>
      </c>
      <c r="K756" s="5">
        <v>4.9904399999999999E-16</v>
      </c>
      <c r="L756" s="8">
        <v>2.4952199999999999E-16</v>
      </c>
      <c r="O756" s="5">
        <v>4.9904399999999999E-16</v>
      </c>
      <c r="P756" s="5">
        <v>2.4952199999999999E-16</v>
      </c>
      <c r="Q756" s="5">
        <v>3.7428299999999999E-16</v>
      </c>
      <c r="R756" s="4">
        <v>2.4952199999999999E-16</v>
      </c>
      <c r="U756" s="5">
        <v>3.1190199999999999E-15</v>
      </c>
      <c r="V756" s="5"/>
      <c r="W756" s="5"/>
      <c r="AA756" s="5"/>
      <c r="AB756" s="5"/>
      <c r="AC756" s="5">
        <v>1.24761E-16</v>
      </c>
      <c r="AG756" s="5"/>
      <c r="AM756" s="5"/>
      <c r="AS756" s="5">
        <v>2.4952199999999999E-16</v>
      </c>
      <c r="AT756" s="4">
        <v>1.24761E-16</v>
      </c>
      <c r="AU756" s="4">
        <v>6.2380499999999999E-16</v>
      </c>
      <c r="AV756" s="4">
        <v>3.7428299999999999E-16</v>
      </c>
    </row>
    <row r="757" spans="3:48" x14ac:dyDescent="0.25">
      <c r="C757" s="7">
        <v>1.9088400000000001E-14</v>
      </c>
      <c r="D757" s="5">
        <v>2.3417599999999998E-13</v>
      </c>
      <c r="E757" s="5">
        <v>2.3854299999999998E-13</v>
      </c>
      <c r="F757" s="8">
        <v>2.4690199999999998E-13</v>
      </c>
      <c r="I757" s="5">
        <v>5.8637599999999997E-15</v>
      </c>
      <c r="J757" s="5">
        <v>2.4952199999999999E-16</v>
      </c>
      <c r="K757" s="5">
        <v>4.9904399999999999E-16</v>
      </c>
      <c r="L757" s="8">
        <v>2.4952199999999999E-16</v>
      </c>
      <c r="O757" s="5">
        <v>4.9904399999999999E-16</v>
      </c>
      <c r="P757" s="5">
        <v>2.4952199999999999E-16</v>
      </c>
      <c r="Q757" s="5">
        <v>3.7428299999999999E-16</v>
      </c>
      <c r="R757" s="4">
        <v>1.24761E-16</v>
      </c>
      <c r="U757" s="5">
        <v>3.1190199999999999E-15</v>
      </c>
      <c r="V757" s="5"/>
      <c r="W757" s="5"/>
      <c r="AA757" s="5"/>
      <c r="AB757" s="5"/>
      <c r="AC757" s="5">
        <v>1.24761E-16</v>
      </c>
      <c r="AG757" s="5"/>
      <c r="AM757" s="5"/>
      <c r="AS757" s="5">
        <v>2.4952199999999999E-16</v>
      </c>
      <c r="AT757" s="4">
        <v>1.24761E-16</v>
      </c>
      <c r="AU757" s="4">
        <v>6.4875699999999998E-15</v>
      </c>
      <c r="AV757" s="4">
        <v>3.7428299999999999E-16</v>
      </c>
    </row>
    <row r="758" spans="3:48" x14ac:dyDescent="0.25">
      <c r="C758" s="7">
        <v>1.8963699999999999E-14</v>
      </c>
      <c r="D758" s="5">
        <v>2.3392699999999998E-13</v>
      </c>
      <c r="E758" s="5">
        <v>2.37295E-13</v>
      </c>
      <c r="F758" s="8">
        <v>2.4690199999999998E-13</v>
      </c>
      <c r="I758" s="5">
        <v>5.7390000000000004E-15</v>
      </c>
      <c r="J758" s="5">
        <v>2.4952199999999999E-16</v>
      </c>
      <c r="K758" s="5">
        <v>4.9904399999999999E-16</v>
      </c>
      <c r="L758" s="8">
        <v>2.4952199999999999E-16</v>
      </c>
      <c r="O758" s="5">
        <v>4.9904399999999999E-16</v>
      </c>
      <c r="P758" s="5">
        <v>2.4952199999999999E-16</v>
      </c>
      <c r="Q758" s="5">
        <v>2.4952199999999999E-16</v>
      </c>
      <c r="R758" s="4">
        <v>1.24761E-16</v>
      </c>
      <c r="U758" s="5">
        <v>3.1190199999999999E-15</v>
      </c>
      <c r="V758" s="5"/>
      <c r="W758" s="5"/>
      <c r="AA758" s="5"/>
      <c r="AB758" s="5"/>
      <c r="AC758" s="5">
        <v>1.24761E-16</v>
      </c>
      <c r="AG758" s="5"/>
      <c r="AM758" s="5"/>
      <c r="AS758" s="5">
        <v>2.4952199999999999E-16</v>
      </c>
      <c r="AT758" s="4">
        <v>1.24761E-16</v>
      </c>
      <c r="AU758" s="4">
        <v>1.24761E-16</v>
      </c>
      <c r="AV758" s="4">
        <v>3.7428299999999999E-16</v>
      </c>
    </row>
    <row r="759" spans="3:48" x14ac:dyDescent="0.25">
      <c r="C759" s="7">
        <v>1.8963699999999999E-14</v>
      </c>
      <c r="D759" s="5">
        <v>2.3380200000000002E-13</v>
      </c>
      <c r="E759" s="5">
        <v>2.3692099999999999E-13</v>
      </c>
      <c r="F759" s="8">
        <v>2.46154E-13</v>
      </c>
      <c r="I759" s="5">
        <v>5.7390000000000004E-15</v>
      </c>
      <c r="J759" s="5">
        <v>2.4952199999999999E-16</v>
      </c>
      <c r="K759" s="5">
        <v>4.9904399999999999E-16</v>
      </c>
      <c r="L759" s="8">
        <v>2.4952199999999999E-16</v>
      </c>
      <c r="O759" s="5">
        <v>4.9904399999999999E-16</v>
      </c>
      <c r="P759" s="5">
        <v>2.4952199999999999E-16</v>
      </c>
      <c r="Q759" s="5">
        <v>2.4952199999999999E-16</v>
      </c>
      <c r="R759" s="4">
        <v>1.24761E-16</v>
      </c>
      <c r="U759" s="5">
        <v>2.9942599999999999E-15</v>
      </c>
      <c r="V759" s="5"/>
      <c r="W759" s="5"/>
      <c r="AA759" s="5"/>
      <c r="AB759" s="5"/>
      <c r="AC759" s="5">
        <v>1.24761E-16</v>
      </c>
      <c r="AG759" s="5"/>
      <c r="AM759" s="5"/>
      <c r="AS759" s="5">
        <v>2.4952199999999999E-16</v>
      </c>
      <c r="AT759" s="4">
        <v>1.24761E-16</v>
      </c>
      <c r="AU759" s="4">
        <v>2.4952199999999999E-16</v>
      </c>
      <c r="AV759" s="4">
        <v>3.7428299999999999E-16</v>
      </c>
    </row>
    <row r="760" spans="3:48" x14ac:dyDescent="0.25">
      <c r="C760" s="7">
        <v>1.8963699999999999E-14</v>
      </c>
      <c r="D760" s="5">
        <v>2.33677E-13</v>
      </c>
      <c r="E760" s="5">
        <v>2.3667199999999998E-13</v>
      </c>
      <c r="F760" s="8">
        <v>2.4590399999999998E-13</v>
      </c>
      <c r="I760" s="5">
        <v>5.7390000000000004E-15</v>
      </c>
      <c r="J760" s="5">
        <v>2.4952199999999999E-16</v>
      </c>
      <c r="K760" s="5">
        <v>4.9904399999999999E-16</v>
      </c>
      <c r="L760" s="8">
        <v>1.24761E-16</v>
      </c>
      <c r="O760" s="5">
        <v>4.9904399999999999E-16</v>
      </c>
      <c r="P760" s="5">
        <v>2.4952199999999999E-16</v>
      </c>
      <c r="Q760" s="5">
        <v>2.4952199999999999E-16</v>
      </c>
      <c r="R760" s="4">
        <v>1.24761E-16</v>
      </c>
      <c r="U760" s="5">
        <v>2.9942599999999999E-15</v>
      </c>
      <c r="V760" s="5"/>
      <c r="W760" s="5"/>
      <c r="AA760" s="5"/>
      <c r="AB760" s="5"/>
      <c r="AC760" s="5">
        <v>1.24761E-16</v>
      </c>
      <c r="AG760" s="5"/>
      <c r="AM760" s="5"/>
      <c r="AS760" s="5">
        <v>2.4952199999999999E-16</v>
      </c>
      <c r="AT760" s="4">
        <v>1.24761E-16</v>
      </c>
      <c r="AU760" s="4">
        <v>3.9923500000000003E-15</v>
      </c>
      <c r="AV760" s="4">
        <v>3.7428299999999999E-16</v>
      </c>
    </row>
    <row r="761" spans="3:48" x14ac:dyDescent="0.25">
      <c r="C761" s="7">
        <v>1.8838900000000001E-14</v>
      </c>
      <c r="D761" s="5">
        <v>2.33428E-13</v>
      </c>
      <c r="E761" s="5">
        <v>2.3617300000000001E-13</v>
      </c>
      <c r="F761" s="8">
        <v>2.44407E-13</v>
      </c>
      <c r="I761" s="5">
        <v>5.7390000000000004E-15</v>
      </c>
      <c r="J761" s="5">
        <v>2.4952199999999999E-16</v>
      </c>
      <c r="K761" s="5">
        <v>4.9904399999999999E-16</v>
      </c>
      <c r="L761" s="8">
        <v>1.24761E-16</v>
      </c>
      <c r="O761" s="5">
        <v>4.9904399999999999E-16</v>
      </c>
      <c r="P761" s="5">
        <v>2.4952199999999999E-16</v>
      </c>
      <c r="Q761" s="5">
        <v>2.4952199999999999E-16</v>
      </c>
      <c r="R761" s="4">
        <v>1.24761E-16</v>
      </c>
      <c r="U761" s="5">
        <v>2.9942599999999999E-15</v>
      </c>
      <c r="V761" s="5"/>
      <c r="W761" s="5"/>
      <c r="AA761" s="5"/>
      <c r="AB761" s="5"/>
      <c r="AC761" s="5">
        <v>1.24761E-16</v>
      </c>
      <c r="AG761" s="5"/>
      <c r="AM761" s="5"/>
      <c r="AS761" s="5">
        <v>2.4952199999999999E-16</v>
      </c>
      <c r="AT761" s="4">
        <v>1.24761E-16</v>
      </c>
      <c r="AU761" s="4">
        <v>7.4856599999999998E-16</v>
      </c>
      <c r="AV761" s="4">
        <v>3.7428299999999999E-16</v>
      </c>
    </row>
    <row r="762" spans="3:48" x14ac:dyDescent="0.25">
      <c r="C762" s="7">
        <v>1.8838900000000001E-14</v>
      </c>
      <c r="D762" s="5">
        <v>2.3243E-13</v>
      </c>
      <c r="E762" s="5">
        <v>2.36048E-13</v>
      </c>
      <c r="F762" s="8">
        <v>2.4353400000000001E-13</v>
      </c>
      <c r="I762" s="5">
        <v>5.7390000000000004E-15</v>
      </c>
      <c r="J762" s="5">
        <v>2.4952199999999999E-16</v>
      </c>
      <c r="K762" s="5">
        <v>4.9904399999999999E-16</v>
      </c>
      <c r="L762" s="8">
        <v>1.24761E-16</v>
      </c>
      <c r="O762" s="5">
        <v>4.9904399999999999E-16</v>
      </c>
      <c r="P762" s="5">
        <v>2.4952199999999999E-16</v>
      </c>
      <c r="Q762" s="5">
        <v>2.4952199999999999E-16</v>
      </c>
      <c r="R762" s="4">
        <v>1.24761E-16</v>
      </c>
      <c r="U762" s="5">
        <v>2.9942599999999999E-15</v>
      </c>
      <c r="V762" s="5"/>
      <c r="W762" s="5"/>
      <c r="AA762" s="5"/>
      <c r="AB762" s="5"/>
      <c r="AC762" s="5">
        <v>1.24761E-16</v>
      </c>
      <c r="AG762" s="5"/>
      <c r="AM762" s="5"/>
      <c r="AS762" s="5">
        <v>2.4952199999999999E-16</v>
      </c>
      <c r="AT762" s="4">
        <v>1.24761E-16</v>
      </c>
      <c r="AU762" s="4">
        <v>4.2418699999999996E-15</v>
      </c>
      <c r="AV762" s="4">
        <v>3.7428299999999999E-16</v>
      </c>
    </row>
    <row r="763" spans="3:48" x14ac:dyDescent="0.25">
      <c r="C763" s="7">
        <v>1.8838900000000001E-14</v>
      </c>
      <c r="D763" s="5">
        <v>2.3243E-13</v>
      </c>
      <c r="E763" s="5">
        <v>2.3579800000000002E-13</v>
      </c>
      <c r="F763" s="8">
        <v>2.4353400000000001E-13</v>
      </c>
      <c r="I763" s="5">
        <v>5.7390000000000004E-15</v>
      </c>
      <c r="J763" s="5">
        <v>2.4952199999999999E-16</v>
      </c>
      <c r="K763" s="5">
        <v>4.9904399999999999E-16</v>
      </c>
      <c r="L763" s="8">
        <v>1.24761E-16</v>
      </c>
      <c r="O763" s="5">
        <v>4.9904399999999999E-16</v>
      </c>
      <c r="P763" s="5">
        <v>2.4952199999999999E-16</v>
      </c>
      <c r="Q763" s="5">
        <v>2.4952199999999999E-16</v>
      </c>
      <c r="R763" s="4">
        <v>1.24761E-16</v>
      </c>
      <c r="U763" s="5">
        <v>2.9942599999999999E-15</v>
      </c>
      <c r="V763" s="5"/>
      <c r="W763" s="5"/>
      <c r="AA763" s="5"/>
      <c r="AB763" s="5"/>
      <c r="AC763" s="5">
        <v>1.24761E-16</v>
      </c>
      <c r="AG763" s="5"/>
      <c r="AM763" s="5"/>
      <c r="AS763" s="5">
        <v>2.4952199999999999E-16</v>
      </c>
      <c r="AT763" s="4">
        <v>1.24761E-16</v>
      </c>
      <c r="AU763" s="4">
        <v>4.9904399999999999E-16</v>
      </c>
      <c r="AV763" s="4">
        <v>3.7428299999999999E-16</v>
      </c>
    </row>
    <row r="764" spans="3:48" x14ac:dyDescent="0.25">
      <c r="C764" s="7">
        <v>1.8714200000000001E-14</v>
      </c>
      <c r="D764" s="5">
        <v>2.3193100000000002E-13</v>
      </c>
      <c r="E764" s="5">
        <v>2.3579800000000002E-13</v>
      </c>
      <c r="F764" s="8">
        <v>2.4278500000000001E-13</v>
      </c>
      <c r="I764" s="5">
        <v>5.7390000000000004E-15</v>
      </c>
      <c r="J764" s="5">
        <v>2.4952199999999999E-16</v>
      </c>
      <c r="K764" s="5">
        <v>4.9904399999999999E-16</v>
      </c>
      <c r="L764" s="8">
        <v>1.24761E-16</v>
      </c>
      <c r="O764" s="5">
        <v>4.9904399999999999E-16</v>
      </c>
      <c r="P764" s="5">
        <v>2.4952199999999999E-16</v>
      </c>
      <c r="Q764" s="5">
        <v>2.4952199999999999E-16</v>
      </c>
      <c r="R764" s="4">
        <v>1.24761E-16</v>
      </c>
      <c r="U764" s="5">
        <v>2.9942599999999999E-15</v>
      </c>
      <c r="V764" s="5"/>
      <c r="W764" s="5"/>
      <c r="AA764" s="5"/>
      <c r="AB764" s="5"/>
      <c r="AC764" s="5">
        <v>1.24761E-16</v>
      </c>
      <c r="AG764" s="5"/>
      <c r="AM764" s="5"/>
      <c r="AS764" s="5">
        <v>2.4952199999999999E-16</v>
      </c>
      <c r="AT764" s="4">
        <v>1.24761E-16</v>
      </c>
      <c r="AU764" s="4">
        <v>2.7447400000000001E-15</v>
      </c>
      <c r="AV764" s="4">
        <v>3.7428299999999999E-16</v>
      </c>
    </row>
    <row r="765" spans="3:48" x14ac:dyDescent="0.25">
      <c r="C765" s="7">
        <v>1.8714200000000001E-14</v>
      </c>
      <c r="D765" s="5">
        <v>2.31681E-13</v>
      </c>
      <c r="E765" s="5">
        <v>2.3567399999999998E-13</v>
      </c>
      <c r="F765" s="8">
        <v>2.4128799999999998E-13</v>
      </c>
      <c r="I765" s="5">
        <v>5.7390000000000004E-15</v>
      </c>
      <c r="J765" s="5">
        <v>2.4952199999999999E-16</v>
      </c>
      <c r="K765" s="5">
        <v>4.9904399999999999E-16</v>
      </c>
      <c r="L765" s="8">
        <v>1.24761E-16</v>
      </c>
      <c r="O765" s="5">
        <v>4.9904399999999999E-16</v>
      </c>
      <c r="P765" s="5">
        <v>2.4952199999999999E-16</v>
      </c>
      <c r="Q765" s="5">
        <v>2.4952199999999999E-16</v>
      </c>
      <c r="R765" s="4">
        <v>1.24761E-16</v>
      </c>
      <c r="U765" s="5">
        <v>2.9942599999999999E-15</v>
      </c>
      <c r="V765" s="5"/>
      <c r="W765" s="5"/>
      <c r="AA765" s="5"/>
      <c r="AB765" s="5"/>
      <c r="AC765" s="5">
        <v>1.24761E-16</v>
      </c>
      <c r="AG765" s="5"/>
      <c r="AM765" s="5"/>
      <c r="AS765" s="5">
        <v>2.4952199999999999E-16</v>
      </c>
      <c r="AT765" s="4">
        <v>1.24761E-16</v>
      </c>
      <c r="AU765" s="4">
        <v>7.4856599999999998E-16</v>
      </c>
      <c r="AV765" s="4">
        <v>3.7428299999999999E-16</v>
      </c>
    </row>
    <row r="766" spans="3:48" x14ac:dyDescent="0.25">
      <c r="C766" s="7">
        <v>1.8714200000000001E-14</v>
      </c>
      <c r="D766" s="5">
        <v>2.3130699999999999E-13</v>
      </c>
      <c r="E766" s="5">
        <v>2.3542400000000001E-13</v>
      </c>
      <c r="F766" s="8">
        <v>2.4103800000000001E-13</v>
      </c>
      <c r="I766" s="5">
        <v>5.7390000000000004E-15</v>
      </c>
      <c r="J766" s="5">
        <v>2.4952199999999999E-16</v>
      </c>
      <c r="K766" s="5">
        <v>4.9904399999999999E-16</v>
      </c>
      <c r="L766" s="8">
        <v>1.24761E-16</v>
      </c>
      <c r="O766" s="5">
        <v>4.9904399999999999E-16</v>
      </c>
      <c r="P766" s="5">
        <v>2.4952199999999999E-16</v>
      </c>
      <c r="Q766" s="5">
        <v>2.4952199999999999E-16</v>
      </c>
      <c r="R766" s="4">
        <v>1.24761E-16</v>
      </c>
      <c r="U766" s="5">
        <v>2.9942599999999999E-15</v>
      </c>
      <c r="V766" s="5"/>
      <c r="W766" s="5"/>
      <c r="AA766" s="5"/>
      <c r="AB766" s="5"/>
      <c r="AC766" s="5">
        <v>1.24761E-16</v>
      </c>
      <c r="AG766" s="5"/>
      <c r="AM766" s="5"/>
      <c r="AS766" s="5">
        <v>2.4952199999999999E-16</v>
      </c>
      <c r="AT766" s="4">
        <v>1.24761E-16</v>
      </c>
      <c r="AU766" s="4">
        <v>1.34742E-14</v>
      </c>
      <c r="AV766" s="4">
        <v>3.7428299999999999E-16</v>
      </c>
    </row>
    <row r="767" spans="3:48" x14ac:dyDescent="0.25">
      <c r="C767" s="7">
        <v>1.85894E-14</v>
      </c>
      <c r="D767" s="5">
        <v>2.30434E-13</v>
      </c>
      <c r="E767" s="5">
        <v>2.3492499999999998E-13</v>
      </c>
      <c r="F767" s="8">
        <v>2.4041499999999999E-13</v>
      </c>
      <c r="I767" s="5">
        <v>5.7390000000000004E-15</v>
      </c>
      <c r="J767" s="5">
        <v>2.4952199999999999E-16</v>
      </c>
      <c r="K767" s="5">
        <v>3.7428299999999999E-16</v>
      </c>
      <c r="L767" s="8">
        <v>1.24761E-16</v>
      </c>
      <c r="O767" s="5">
        <v>4.9904399999999999E-16</v>
      </c>
      <c r="P767" s="5">
        <v>2.4952199999999999E-16</v>
      </c>
      <c r="Q767" s="5">
        <v>2.4952199999999999E-16</v>
      </c>
      <c r="R767" s="4">
        <v>1.24761E-16</v>
      </c>
      <c r="U767" s="5">
        <v>2.9942599999999999E-15</v>
      </c>
      <c r="V767" s="5"/>
      <c r="W767" s="5"/>
      <c r="AA767" s="5"/>
      <c r="AB767" s="5"/>
      <c r="AC767" s="5">
        <v>1.24761E-16</v>
      </c>
      <c r="AG767" s="5"/>
      <c r="AM767" s="5"/>
      <c r="AS767" s="5">
        <v>2.4952199999999999E-16</v>
      </c>
      <c r="AT767" s="4">
        <v>1.24761E-16</v>
      </c>
      <c r="AU767" s="4">
        <v>3.7428300000000001E-15</v>
      </c>
      <c r="AV767" s="4">
        <v>2.4952199999999999E-16</v>
      </c>
    </row>
    <row r="768" spans="3:48" x14ac:dyDescent="0.25">
      <c r="C768" s="7">
        <v>1.83399E-14</v>
      </c>
      <c r="D768" s="5">
        <v>2.3018400000000002E-13</v>
      </c>
      <c r="E768" s="5">
        <v>2.3467599999999998E-13</v>
      </c>
      <c r="F768" s="8">
        <v>2.4041499999999999E-13</v>
      </c>
      <c r="I768" s="5">
        <v>5.7390000000000004E-15</v>
      </c>
      <c r="J768" s="5">
        <v>2.4952199999999999E-16</v>
      </c>
      <c r="K768" s="5">
        <v>3.7428299999999999E-16</v>
      </c>
      <c r="L768" s="8">
        <v>1.24761E-16</v>
      </c>
      <c r="O768" s="5">
        <v>4.9904399999999999E-16</v>
      </c>
      <c r="P768" s="5">
        <v>1.24761E-16</v>
      </c>
      <c r="Q768" s="5">
        <v>2.4952199999999999E-16</v>
      </c>
      <c r="R768" s="4">
        <v>1.24761E-16</v>
      </c>
      <c r="U768" s="5">
        <v>2.9942599999999999E-15</v>
      </c>
      <c r="V768" s="5"/>
      <c r="W768" s="5"/>
      <c r="AA768" s="5"/>
      <c r="AB768" s="5"/>
      <c r="AC768" s="5">
        <v>1.24761E-16</v>
      </c>
      <c r="AG768" s="5"/>
      <c r="AM768" s="5"/>
      <c r="AS768" s="5">
        <v>2.4952199999999999E-16</v>
      </c>
      <c r="AT768" s="4">
        <v>1.24761E-16</v>
      </c>
      <c r="AU768" s="4">
        <v>3.7428299999999999E-16</v>
      </c>
      <c r="AV768" s="4">
        <v>2.4952199999999999E-16</v>
      </c>
    </row>
    <row r="769" spans="3:48" x14ac:dyDescent="0.25">
      <c r="C769" s="7">
        <v>1.83399E-14</v>
      </c>
      <c r="D769" s="5">
        <v>2.2893700000000002E-13</v>
      </c>
      <c r="E769" s="5">
        <v>2.3455100000000002E-13</v>
      </c>
      <c r="F769" s="4">
        <v>2.4004000000000001E-13</v>
      </c>
      <c r="I769" s="5">
        <v>5.6142400000000003E-15</v>
      </c>
      <c r="J769" s="5">
        <v>2.4952199999999999E-16</v>
      </c>
      <c r="K769" s="5">
        <v>3.7428299999999999E-16</v>
      </c>
      <c r="L769" s="8">
        <v>1.24761E-16</v>
      </c>
      <c r="O769" s="5">
        <v>4.9904399999999999E-16</v>
      </c>
      <c r="P769" s="5">
        <v>1.24761E-16</v>
      </c>
      <c r="Q769" s="5">
        <v>2.4952199999999999E-16</v>
      </c>
      <c r="R769" s="4">
        <v>1.24761E-16</v>
      </c>
      <c r="U769" s="5">
        <v>2.8695000000000002E-15</v>
      </c>
      <c r="V769" s="5"/>
      <c r="W769" s="5"/>
      <c r="AA769" s="5"/>
      <c r="AB769" s="5"/>
      <c r="AC769" s="5">
        <v>1.24761E-16</v>
      </c>
      <c r="AG769" s="5"/>
      <c r="AM769" s="5"/>
      <c r="AS769" s="5">
        <v>2.4952199999999999E-16</v>
      </c>
      <c r="AT769" s="4">
        <v>1.24761E-16</v>
      </c>
      <c r="AU769" s="4">
        <v>1.24761E-16</v>
      </c>
      <c r="AV769" s="4">
        <v>2.4952199999999999E-16</v>
      </c>
    </row>
    <row r="770" spans="3:48" x14ac:dyDescent="0.25">
      <c r="C770" s="7">
        <v>1.8215099999999999E-14</v>
      </c>
      <c r="D770" s="5">
        <v>2.2868699999999999E-13</v>
      </c>
      <c r="E770" s="5">
        <v>2.3417599999999998E-13</v>
      </c>
      <c r="F770" s="4">
        <v>2.3966599999999999E-13</v>
      </c>
      <c r="I770" s="5">
        <v>5.6142400000000003E-15</v>
      </c>
      <c r="J770" s="5">
        <v>2.4952199999999999E-16</v>
      </c>
      <c r="K770" s="5">
        <v>3.7428299999999999E-16</v>
      </c>
      <c r="L770" s="4">
        <v>1.24761E-16</v>
      </c>
      <c r="O770" s="5">
        <v>4.9904399999999999E-16</v>
      </c>
      <c r="P770" s="5">
        <v>1.24761E-16</v>
      </c>
      <c r="Q770" s="5">
        <v>2.4952199999999999E-16</v>
      </c>
      <c r="R770" s="4">
        <v>1.24761E-16</v>
      </c>
      <c r="U770" s="5">
        <v>2.8695000000000002E-15</v>
      </c>
      <c r="V770" s="5"/>
      <c r="W770" s="5"/>
      <c r="AA770" s="5"/>
      <c r="AB770" s="5"/>
      <c r="AC770" s="5">
        <v>1.24761E-16</v>
      </c>
      <c r="AG770" s="5"/>
      <c r="AM770" s="5"/>
      <c r="AS770" s="5">
        <v>2.4952199999999999E-16</v>
      </c>
      <c r="AT770" s="4">
        <v>1.24761E-16</v>
      </c>
      <c r="AU770" s="4">
        <v>1.24761E-15</v>
      </c>
      <c r="AV770" s="4">
        <v>2.4952199999999999E-16</v>
      </c>
    </row>
    <row r="771" spans="3:48" x14ac:dyDescent="0.25">
      <c r="C771" s="7">
        <v>1.8215099999999999E-14</v>
      </c>
      <c r="D771" s="5">
        <v>2.2831299999999998E-13</v>
      </c>
      <c r="E771" s="5">
        <v>2.3380200000000002E-13</v>
      </c>
      <c r="F771" s="4">
        <v>2.39042E-13</v>
      </c>
      <c r="I771" s="5">
        <v>5.6142400000000003E-15</v>
      </c>
      <c r="J771" s="5">
        <v>2.4952199999999999E-16</v>
      </c>
      <c r="K771" s="5">
        <v>3.7428299999999999E-16</v>
      </c>
      <c r="L771" s="4">
        <v>1.24761E-16</v>
      </c>
      <c r="O771" s="5">
        <v>4.9904399999999999E-16</v>
      </c>
      <c r="P771" s="5">
        <v>1.24761E-16</v>
      </c>
      <c r="Q771" s="5">
        <v>2.4952199999999999E-16</v>
      </c>
      <c r="R771" s="4">
        <v>1.24761E-16</v>
      </c>
      <c r="U771" s="5">
        <v>2.8695000000000002E-15</v>
      </c>
      <c r="V771" s="5"/>
      <c r="W771" s="5"/>
      <c r="AA771" s="5"/>
      <c r="AB771" s="5"/>
      <c r="AC771" s="5">
        <v>1.24761E-16</v>
      </c>
      <c r="AG771" s="5"/>
      <c r="AM771" s="5"/>
      <c r="AS771" s="5">
        <v>2.4952199999999999E-16</v>
      </c>
      <c r="AT771" s="4">
        <v>1.24761E-16</v>
      </c>
      <c r="AU771" s="4">
        <v>5.8637700000000002E-15</v>
      </c>
      <c r="AV771" s="4">
        <v>2.4952199999999999E-16</v>
      </c>
    </row>
    <row r="772" spans="3:48" x14ac:dyDescent="0.25">
      <c r="C772" s="7">
        <v>1.8090399999999999E-14</v>
      </c>
      <c r="D772" s="5">
        <v>2.27814E-13</v>
      </c>
      <c r="E772" s="5">
        <v>2.33428E-13</v>
      </c>
      <c r="F772" s="4">
        <v>2.38793E-13</v>
      </c>
      <c r="I772" s="5">
        <v>5.6142400000000003E-15</v>
      </c>
      <c r="J772" s="5">
        <v>2.4952199999999999E-16</v>
      </c>
      <c r="K772" s="5">
        <v>3.7428299999999999E-16</v>
      </c>
      <c r="L772" s="4">
        <v>1.24761E-16</v>
      </c>
      <c r="O772" s="5">
        <v>4.9904399999999999E-16</v>
      </c>
      <c r="P772" s="5">
        <v>1.24761E-16</v>
      </c>
      <c r="Q772" s="5">
        <v>2.4952199999999999E-16</v>
      </c>
      <c r="R772" s="4">
        <v>1.24761E-16</v>
      </c>
      <c r="U772" s="5">
        <v>2.8695000000000002E-15</v>
      </c>
      <c r="V772" s="5"/>
      <c r="W772" s="5"/>
      <c r="AA772" s="5"/>
      <c r="AB772" s="5"/>
      <c r="AC772" s="5">
        <v>1.24761E-16</v>
      </c>
      <c r="AG772" s="5"/>
      <c r="AM772" s="5"/>
      <c r="AS772" s="5">
        <v>2.4952199999999999E-16</v>
      </c>
      <c r="AT772" s="4">
        <v>1.24761E-16</v>
      </c>
      <c r="AU772" s="4">
        <v>4.9904399999999999E-16</v>
      </c>
      <c r="AV772" s="4">
        <v>2.4952199999999999E-16</v>
      </c>
    </row>
    <row r="773" spans="3:48" x14ac:dyDescent="0.25">
      <c r="C773" s="7">
        <v>1.8090399999999999E-14</v>
      </c>
      <c r="D773" s="5">
        <v>2.2768899999999999E-13</v>
      </c>
      <c r="E773" s="5">
        <v>2.33428E-13</v>
      </c>
      <c r="F773" s="4">
        <v>2.3841800000000001E-13</v>
      </c>
      <c r="I773" s="5">
        <v>5.6142400000000003E-15</v>
      </c>
      <c r="J773" s="5">
        <v>2.4952199999999999E-16</v>
      </c>
      <c r="K773" s="5">
        <v>3.7428299999999999E-16</v>
      </c>
      <c r="L773" s="4">
        <v>1.24761E-16</v>
      </c>
      <c r="O773" s="5">
        <v>4.9904399999999999E-16</v>
      </c>
      <c r="P773" s="5">
        <v>1.24761E-16</v>
      </c>
      <c r="Q773" s="5">
        <v>2.4952199999999999E-16</v>
      </c>
      <c r="R773" s="4">
        <v>1.24761E-16</v>
      </c>
      <c r="U773" s="5">
        <v>2.8695000000000002E-15</v>
      </c>
      <c r="V773" s="5"/>
      <c r="W773" s="5"/>
      <c r="AA773" s="5"/>
      <c r="AB773" s="5"/>
      <c r="AC773" s="5">
        <v>1.24761E-16</v>
      </c>
      <c r="AG773" s="5"/>
      <c r="AM773" s="5"/>
      <c r="AS773" s="5">
        <v>2.4952199999999999E-16</v>
      </c>
      <c r="AT773" s="4">
        <v>1.24761E-16</v>
      </c>
      <c r="AU773" s="4">
        <v>2.61998E-15</v>
      </c>
      <c r="AV773" s="4">
        <v>2.4952199999999999E-16</v>
      </c>
    </row>
    <row r="774" spans="3:48" x14ac:dyDescent="0.25">
      <c r="C774" s="7">
        <v>1.7965600000000001E-14</v>
      </c>
      <c r="D774" s="5">
        <v>2.2756399999999998E-13</v>
      </c>
      <c r="E774" s="5">
        <v>2.32679E-13</v>
      </c>
      <c r="F774" s="4">
        <v>2.3829400000000002E-13</v>
      </c>
      <c r="I774" s="5">
        <v>5.6142400000000003E-15</v>
      </c>
      <c r="J774" s="5">
        <v>2.4952199999999999E-16</v>
      </c>
      <c r="K774" s="5">
        <v>3.7428299999999999E-16</v>
      </c>
      <c r="L774" s="4">
        <v>1.24761E-16</v>
      </c>
      <c r="O774" s="5">
        <v>4.9904399999999999E-16</v>
      </c>
      <c r="P774" s="5">
        <v>1.24761E-16</v>
      </c>
      <c r="Q774" s="5">
        <v>2.4952199999999999E-16</v>
      </c>
      <c r="R774" s="4">
        <v>1.24761E-16</v>
      </c>
      <c r="U774" s="5">
        <v>2.8695000000000002E-15</v>
      </c>
      <c r="V774" s="5"/>
      <c r="AA774" s="5"/>
      <c r="AB774" s="5"/>
      <c r="AC774" s="5">
        <v>1.24761E-16</v>
      </c>
      <c r="AG774" s="5"/>
      <c r="AM774" s="5"/>
      <c r="AS774" s="5">
        <v>2.4952199999999999E-16</v>
      </c>
      <c r="AT774" s="4">
        <v>1.24761E-16</v>
      </c>
      <c r="AU774" s="4">
        <v>2.4952199999999999E-16</v>
      </c>
      <c r="AV774" s="4">
        <v>2.4952199999999999E-16</v>
      </c>
    </row>
    <row r="775" spans="3:48" x14ac:dyDescent="0.25">
      <c r="C775" s="7">
        <v>1.7965600000000001E-14</v>
      </c>
      <c r="D775" s="5">
        <v>2.26816E-13</v>
      </c>
      <c r="E775" s="5">
        <v>2.3255500000000001E-13</v>
      </c>
      <c r="F775" s="4">
        <v>2.3654700000000002E-13</v>
      </c>
      <c r="I775" s="5">
        <v>5.4894800000000002E-15</v>
      </c>
      <c r="J775" s="5">
        <v>2.4952199999999999E-16</v>
      </c>
      <c r="K775" s="5">
        <v>3.7428299999999999E-16</v>
      </c>
      <c r="L775" s="4">
        <v>1.24761E-16</v>
      </c>
      <c r="O775" s="5">
        <v>4.9904399999999999E-16</v>
      </c>
      <c r="P775" s="5">
        <v>1.24761E-16</v>
      </c>
      <c r="Q775" s="5">
        <v>2.4952199999999999E-16</v>
      </c>
      <c r="R775" s="4">
        <v>1.24761E-16</v>
      </c>
      <c r="U775" s="5">
        <v>2.8695000000000002E-15</v>
      </c>
      <c r="V775" s="5"/>
      <c r="AA775" s="5"/>
      <c r="AB775" s="5"/>
      <c r="AC775" s="5">
        <v>1.24761E-16</v>
      </c>
      <c r="AG775" s="5"/>
      <c r="AM775" s="5"/>
      <c r="AS775" s="5">
        <v>2.4952199999999999E-16</v>
      </c>
      <c r="AT775" s="4">
        <v>1.24761E-16</v>
      </c>
      <c r="AU775" s="4">
        <v>2.61998E-15</v>
      </c>
      <c r="AV775" s="4">
        <v>2.4952199999999999E-16</v>
      </c>
    </row>
    <row r="776" spans="3:48" x14ac:dyDescent="0.25">
      <c r="C776" s="7">
        <v>1.7965600000000001E-14</v>
      </c>
      <c r="D776" s="5">
        <v>2.26317E-13</v>
      </c>
      <c r="E776" s="5">
        <v>2.3217999999999998E-13</v>
      </c>
      <c r="F776" s="4">
        <v>2.36297E-13</v>
      </c>
      <c r="I776" s="5">
        <v>5.4894800000000002E-15</v>
      </c>
      <c r="J776" s="5">
        <v>2.4952199999999999E-16</v>
      </c>
      <c r="K776" s="5">
        <v>3.7428299999999999E-16</v>
      </c>
      <c r="L776" s="4">
        <v>1.24761E-16</v>
      </c>
      <c r="O776" s="5">
        <v>4.9904399999999999E-16</v>
      </c>
      <c r="P776" s="5">
        <v>1.24761E-16</v>
      </c>
      <c r="Q776" s="5">
        <v>2.4952199999999999E-16</v>
      </c>
      <c r="R776" s="4">
        <v>1.24761E-16</v>
      </c>
      <c r="U776" s="5">
        <v>2.8695000000000002E-15</v>
      </c>
      <c r="V776" s="5"/>
      <c r="AA776" s="5"/>
      <c r="AB776" s="5"/>
      <c r="AC776" s="5">
        <v>1.24761E-16</v>
      </c>
      <c r="AG776" s="5"/>
      <c r="AM776" s="5"/>
      <c r="AS776" s="5">
        <v>2.4952199999999999E-16</v>
      </c>
      <c r="AT776" s="4">
        <v>1.24761E-16</v>
      </c>
      <c r="AU776" s="4">
        <v>2.4952199999999999E-16</v>
      </c>
      <c r="AV776" s="4">
        <v>2.4952199999999999E-16</v>
      </c>
    </row>
    <row r="777" spans="3:48" x14ac:dyDescent="0.25">
      <c r="C777" s="7">
        <v>1.7965600000000001E-14</v>
      </c>
      <c r="D777" s="5">
        <v>2.25318E-13</v>
      </c>
      <c r="E777" s="5">
        <v>2.3118200000000002E-13</v>
      </c>
      <c r="F777" s="4">
        <v>2.3617300000000001E-13</v>
      </c>
      <c r="I777" s="5">
        <v>5.4894800000000002E-15</v>
      </c>
      <c r="J777" s="5">
        <v>2.4952199999999999E-16</v>
      </c>
      <c r="K777" s="5">
        <v>3.7428299999999999E-16</v>
      </c>
      <c r="L777" s="4">
        <v>1.24761E-16</v>
      </c>
      <c r="O777" s="5">
        <v>4.9904399999999999E-16</v>
      </c>
      <c r="P777" s="5">
        <v>1.24761E-16</v>
      </c>
      <c r="Q777" s="5">
        <v>2.4952199999999999E-16</v>
      </c>
      <c r="R777" s="4">
        <v>1.24761E-16</v>
      </c>
      <c r="U777" s="5">
        <v>2.7447400000000001E-15</v>
      </c>
      <c r="V777" s="5"/>
      <c r="AA777" s="5"/>
      <c r="AB777" s="5"/>
      <c r="AC777" s="4">
        <v>1.24761E-16</v>
      </c>
      <c r="AG777" s="5"/>
      <c r="AM777" s="5"/>
      <c r="AS777" s="5">
        <v>2.4952199999999999E-16</v>
      </c>
      <c r="AT777" s="4">
        <v>1.24761E-16</v>
      </c>
      <c r="AU777" s="4">
        <v>1.24761E-16</v>
      </c>
      <c r="AV777" s="4">
        <v>2.4952199999999999E-16</v>
      </c>
    </row>
    <row r="778" spans="3:48" x14ac:dyDescent="0.25">
      <c r="C778" s="7">
        <v>1.7840800000000001E-14</v>
      </c>
      <c r="D778" s="5">
        <v>2.2432E-13</v>
      </c>
      <c r="E778" s="5">
        <v>2.30683E-13</v>
      </c>
      <c r="F778" s="4">
        <v>2.35299E-13</v>
      </c>
      <c r="I778" s="5">
        <v>5.4894800000000002E-15</v>
      </c>
      <c r="J778" s="5">
        <v>2.4952199999999999E-16</v>
      </c>
      <c r="K778" s="5">
        <v>3.7428299999999999E-16</v>
      </c>
      <c r="L778" s="4">
        <v>1.24761E-16</v>
      </c>
      <c r="O778" s="5">
        <v>3.7428299999999999E-16</v>
      </c>
      <c r="P778" s="5">
        <v>1.24761E-16</v>
      </c>
      <c r="Q778" s="5">
        <v>2.4952199999999999E-16</v>
      </c>
      <c r="R778" s="4">
        <v>1.24761E-16</v>
      </c>
      <c r="U778" s="5">
        <v>2.7447400000000001E-15</v>
      </c>
      <c r="V778" s="5"/>
      <c r="AA778" s="5"/>
      <c r="AB778" s="5"/>
      <c r="AC778" s="4">
        <v>1.24761E-16</v>
      </c>
      <c r="AG778" s="5"/>
      <c r="AM778" s="5"/>
      <c r="AS778" s="5">
        <v>2.4952199999999999E-16</v>
      </c>
      <c r="AT778" s="4">
        <v>1.24761E-16</v>
      </c>
      <c r="AU778" s="4">
        <v>2.3704599999999999E-15</v>
      </c>
      <c r="AV778" s="4">
        <v>2.4952199999999999E-16</v>
      </c>
    </row>
    <row r="779" spans="3:48" x14ac:dyDescent="0.25">
      <c r="C779" s="7">
        <v>1.7716100000000001E-14</v>
      </c>
      <c r="D779" s="5">
        <v>2.2319700000000001E-13</v>
      </c>
      <c r="E779" s="5">
        <v>2.30434E-13</v>
      </c>
      <c r="F779" s="4">
        <v>2.3517500000000001E-13</v>
      </c>
      <c r="I779" s="5">
        <v>5.4894800000000002E-15</v>
      </c>
      <c r="J779" s="5">
        <v>2.4952199999999999E-16</v>
      </c>
      <c r="K779" s="5">
        <v>3.7428299999999999E-16</v>
      </c>
      <c r="L779" s="4">
        <v>1.24761E-16</v>
      </c>
      <c r="O779" s="5">
        <v>3.7428299999999999E-16</v>
      </c>
      <c r="P779" s="5">
        <v>1.24761E-16</v>
      </c>
      <c r="Q779" s="5">
        <v>2.4952199999999999E-16</v>
      </c>
      <c r="R779" s="4">
        <v>1.24761E-16</v>
      </c>
      <c r="U779" s="5">
        <v>2.7447400000000001E-15</v>
      </c>
      <c r="V779" s="5"/>
      <c r="AA779" s="5"/>
      <c r="AB779" s="5"/>
      <c r="AC779" s="4">
        <v>1.24761E-16</v>
      </c>
      <c r="AG779" s="5"/>
      <c r="AM779" s="5"/>
      <c r="AS779" s="5">
        <v>2.4952199999999999E-16</v>
      </c>
      <c r="AT779" s="4">
        <v>1.24761E-16</v>
      </c>
      <c r="AU779" s="4">
        <v>4.2418699999999996E-15</v>
      </c>
      <c r="AV779" s="4">
        <v>2.4952199999999999E-16</v>
      </c>
    </row>
    <row r="780" spans="3:48" x14ac:dyDescent="0.25">
      <c r="C780" s="7">
        <v>1.7716100000000001E-14</v>
      </c>
      <c r="D780" s="5">
        <v>2.2307299999999999E-13</v>
      </c>
      <c r="E780" s="5">
        <v>2.29685E-13</v>
      </c>
      <c r="F780" s="4">
        <v>2.33677E-13</v>
      </c>
      <c r="I780" s="5">
        <v>5.4894800000000002E-15</v>
      </c>
      <c r="J780" s="5">
        <v>2.4952199999999999E-16</v>
      </c>
      <c r="K780" s="5">
        <v>3.7428299999999999E-16</v>
      </c>
      <c r="L780" s="4">
        <v>1.24761E-16</v>
      </c>
      <c r="O780" s="5">
        <v>3.7428299999999999E-16</v>
      </c>
      <c r="P780" s="5">
        <v>1.24761E-16</v>
      </c>
      <c r="Q780" s="5">
        <v>2.4952199999999999E-16</v>
      </c>
      <c r="R780" s="4">
        <v>1.24761E-16</v>
      </c>
      <c r="U780" s="5">
        <v>2.7447400000000001E-15</v>
      </c>
      <c r="V780" s="5"/>
      <c r="AA780" s="5"/>
      <c r="AB780" s="5"/>
      <c r="AC780" s="4">
        <v>1.24761E-16</v>
      </c>
      <c r="AG780" s="5"/>
      <c r="AM780" s="5"/>
      <c r="AS780" s="5">
        <v>2.4952199999999999E-16</v>
      </c>
      <c r="AT780" s="4">
        <v>1.24761E-16</v>
      </c>
      <c r="AU780" s="4">
        <v>1.24761E-16</v>
      </c>
      <c r="AV780" s="4">
        <v>2.4952199999999999E-16</v>
      </c>
    </row>
    <row r="781" spans="3:48" x14ac:dyDescent="0.25">
      <c r="C781" s="7">
        <v>1.75913E-14</v>
      </c>
      <c r="D781" s="5">
        <v>2.2294800000000001E-13</v>
      </c>
      <c r="E781" s="5">
        <v>2.2818800000000002E-13</v>
      </c>
      <c r="F781" s="4">
        <v>2.3317799999999998E-13</v>
      </c>
      <c r="I781" s="5">
        <v>5.3647200000000001E-15</v>
      </c>
      <c r="J781" s="5">
        <v>2.4952199999999999E-16</v>
      </c>
      <c r="K781" s="5">
        <v>3.7428299999999999E-16</v>
      </c>
      <c r="L781" s="4">
        <v>1.24761E-16</v>
      </c>
      <c r="O781" s="5">
        <v>3.7428299999999999E-16</v>
      </c>
      <c r="P781" s="5">
        <v>1.24761E-16</v>
      </c>
      <c r="Q781" s="5">
        <v>2.4952199999999999E-16</v>
      </c>
      <c r="R781" s="4">
        <v>1.24761E-16</v>
      </c>
      <c r="U781" s="5">
        <v>2.7447400000000001E-15</v>
      </c>
      <c r="V781" s="5"/>
      <c r="AA781" s="5"/>
      <c r="AB781" s="5"/>
      <c r="AC781" s="4">
        <v>1.24761E-16</v>
      </c>
      <c r="AG781" s="5"/>
      <c r="AM781" s="5"/>
      <c r="AS781" s="5">
        <v>2.4952199999999999E-16</v>
      </c>
      <c r="AT781" s="4">
        <v>1.24761E-16</v>
      </c>
      <c r="AU781" s="4">
        <v>6.2380499999999999E-16</v>
      </c>
      <c r="AV781" s="4">
        <v>2.4952199999999999E-16</v>
      </c>
    </row>
    <row r="782" spans="3:48" x14ac:dyDescent="0.25">
      <c r="C782" s="7">
        <v>1.75913E-14</v>
      </c>
      <c r="D782" s="5">
        <v>2.22449E-13</v>
      </c>
      <c r="E782" s="5">
        <v>2.2818800000000002E-13</v>
      </c>
      <c r="F782" s="4">
        <v>2.3280400000000001E-13</v>
      </c>
      <c r="I782" s="5">
        <v>5.3647200000000001E-15</v>
      </c>
      <c r="J782" s="5">
        <v>2.4952199999999999E-16</v>
      </c>
      <c r="K782" s="5">
        <v>3.7428299999999999E-16</v>
      </c>
      <c r="L782" s="4">
        <v>1.24761E-16</v>
      </c>
      <c r="O782" s="5">
        <v>3.7428299999999999E-16</v>
      </c>
      <c r="P782" s="5">
        <v>1.24761E-16</v>
      </c>
      <c r="Q782" s="5">
        <v>2.4952199999999999E-16</v>
      </c>
      <c r="R782" s="4">
        <v>1.24761E-16</v>
      </c>
      <c r="U782" s="5">
        <v>2.7447400000000001E-15</v>
      </c>
      <c r="V782" s="5"/>
      <c r="AA782" s="5"/>
      <c r="AB782" s="5"/>
      <c r="AC782" s="4">
        <v>1.24761E-16</v>
      </c>
      <c r="AG782" s="5"/>
      <c r="AM782" s="5"/>
      <c r="AS782" s="5">
        <v>2.4952199999999999E-16</v>
      </c>
      <c r="AT782" s="4">
        <v>1.24761E-16</v>
      </c>
      <c r="AU782" s="4">
        <v>1.5969400000000001E-14</v>
      </c>
      <c r="AV782" s="4">
        <v>2.4952199999999999E-16</v>
      </c>
    </row>
    <row r="783" spans="3:48" x14ac:dyDescent="0.25">
      <c r="C783" s="7">
        <v>1.75913E-14</v>
      </c>
      <c r="D783" s="5">
        <v>2.22449E-13</v>
      </c>
      <c r="E783" s="5">
        <v>2.27814E-13</v>
      </c>
      <c r="F783" s="4">
        <v>2.3243E-13</v>
      </c>
      <c r="I783" s="5">
        <v>5.3647200000000001E-15</v>
      </c>
      <c r="J783" s="5">
        <v>2.4952199999999999E-16</v>
      </c>
      <c r="K783" s="5">
        <v>3.7428299999999999E-16</v>
      </c>
      <c r="L783" s="4">
        <v>1.24761E-16</v>
      </c>
      <c r="O783" s="5">
        <v>3.7428299999999999E-16</v>
      </c>
      <c r="P783" s="5">
        <v>1.24761E-16</v>
      </c>
      <c r="Q783" s="5">
        <v>2.4952199999999999E-16</v>
      </c>
      <c r="R783" s="4">
        <v>1.24761E-16</v>
      </c>
      <c r="U783" s="5">
        <v>2.7447400000000001E-15</v>
      </c>
      <c r="V783" s="5"/>
      <c r="AA783" s="5"/>
      <c r="AB783" s="5"/>
      <c r="AC783" s="4">
        <v>1.24761E-16</v>
      </c>
      <c r="AG783" s="5"/>
      <c r="AM783" s="5"/>
      <c r="AS783" s="5">
        <v>2.4952199999999999E-16</v>
      </c>
      <c r="AU783" s="4">
        <v>2.4952199999999999E-16</v>
      </c>
      <c r="AV783" s="4">
        <v>2.4952199999999999E-16</v>
      </c>
    </row>
    <row r="784" spans="3:48" x14ac:dyDescent="0.25">
      <c r="C784" s="7">
        <v>1.7466499999999999E-14</v>
      </c>
      <c r="D784" s="5">
        <v>2.2219900000000001E-13</v>
      </c>
      <c r="E784" s="5">
        <v>2.27814E-13</v>
      </c>
      <c r="F784" s="4">
        <v>2.3155599999999999E-13</v>
      </c>
      <c r="I784" s="5">
        <v>5.2399600000000001E-15</v>
      </c>
      <c r="J784" s="5">
        <v>2.4952199999999999E-16</v>
      </c>
      <c r="K784" s="5">
        <v>3.7428299999999999E-16</v>
      </c>
      <c r="L784" s="4">
        <v>1.24761E-16</v>
      </c>
      <c r="O784" s="5">
        <v>3.7428299999999999E-16</v>
      </c>
      <c r="P784" s="5">
        <v>1.24761E-16</v>
      </c>
      <c r="Q784" s="5">
        <v>2.4952199999999999E-16</v>
      </c>
      <c r="R784" s="4">
        <v>1.24761E-16</v>
      </c>
      <c r="U784" s="5">
        <v>2.7447400000000001E-15</v>
      </c>
      <c r="V784" s="5"/>
      <c r="AA784" s="5"/>
      <c r="AB784" s="5"/>
      <c r="AC784" s="4">
        <v>1.24761E-16</v>
      </c>
      <c r="AG784" s="5"/>
      <c r="AM784" s="5"/>
      <c r="AS784" s="5">
        <v>2.4952199999999999E-16</v>
      </c>
      <c r="AU784" s="4">
        <v>3.7428299999999999E-16</v>
      </c>
      <c r="AV784" s="4">
        <v>2.4952199999999999E-16</v>
      </c>
    </row>
    <row r="785" spans="3:48" x14ac:dyDescent="0.25">
      <c r="C785" s="7">
        <v>1.7466499999999999E-14</v>
      </c>
      <c r="D785" s="5">
        <v>2.2157599999999999E-13</v>
      </c>
      <c r="E785" s="5">
        <v>2.2693999999999999E-13</v>
      </c>
      <c r="F785" s="4">
        <v>2.3118200000000002E-13</v>
      </c>
      <c r="I785" s="5">
        <v>5.2399600000000001E-15</v>
      </c>
      <c r="J785" s="5">
        <v>2.4952199999999999E-16</v>
      </c>
      <c r="K785" s="5">
        <v>3.7428299999999999E-16</v>
      </c>
      <c r="L785" s="4">
        <v>1.24761E-16</v>
      </c>
      <c r="O785" s="5">
        <v>3.7428299999999999E-16</v>
      </c>
      <c r="P785" s="5">
        <v>1.24761E-16</v>
      </c>
      <c r="Q785" s="5">
        <v>2.4952199999999999E-16</v>
      </c>
      <c r="R785" s="4">
        <v>1.24761E-16</v>
      </c>
      <c r="U785" s="5">
        <v>2.61998E-15</v>
      </c>
      <c r="V785" s="5"/>
      <c r="AA785" s="5"/>
      <c r="AB785" s="5"/>
      <c r="AC785" s="4">
        <v>1.24761E-16</v>
      </c>
      <c r="AG785" s="5"/>
      <c r="AM785" s="5"/>
      <c r="AS785" s="5">
        <v>2.4952199999999999E-16</v>
      </c>
      <c r="AU785" s="4">
        <v>2.4952199999999999E-16</v>
      </c>
      <c r="AV785" s="4">
        <v>2.4952199999999999E-16</v>
      </c>
    </row>
    <row r="786" spans="3:48" x14ac:dyDescent="0.25">
      <c r="C786" s="7">
        <v>1.7341799999999999E-14</v>
      </c>
      <c r="D786" s="5">
        <v>2.2132599999999999E-13</v>
      </c>
      <c r="E786" s="5">
        <v>2.26566E-13</v>
      </c>
      <c r="F786" s="4">
        <v>2.30683E-13</v>
      </c>
      <c r="I786" s="5">
        <v>5.2399600000000001E-15</v>
      </c>
      <c r="J786" s="5">
        <v>2.4952199999999999E-16</v>
      </c>
      <c r="K786" s="5">
        <v>3.7428299999999999E-16</v>
      </c>
      <c r="L786" s="4">
        <v>1.24761E-16</v>
      </c>
      <c r="O786" s="5">
        <v>3.7428299999999999E-16</v>
      </c>
      <c r="P786" s="5">
        <v>1.24761E-16</v>
      </c>
      <c r="Q786" s="5">
        <v>2.4952199999999999E-16</v>
      </c>
      <c r="R786" s="4">
        <v>1.24761E-16</v>
      </c>
      <c r="U786" s="5">
        <v>2.61998E-15</v>
      </c>
      <c r="V786" s="5"/>
      <c r="AA786" s="5"/>
      <c r="AB786" s="5"/>
      <c r="AC786" s="4">
        <v>1.24761E-16</v>
      </c>
      <c r="AG786" s="5"/>
      <c r="AM786" s="5"/>
      <c r="AS786" s="5">
        <v>2.4952199999999999E-16</v>
      </c>
      <c r="AU786" s="4">
        <v>4.9904399999999999E-16</v>
      </c>
      <c r="AV786" s="4">
        <v>2.4952199999999999E-16</v>
      </c>
    </row>
    <row r="787" spans="3:48" x14ac:dyDescent="0.25">
      <c r="C787" s="7">
        <v>1.7216999999999999E-14</v>
      </c>
      <c r="D787" s="5">
        <v>2.2107699999999999E-13</v>
      </c>
      <c r="E787" s="5">
        <v>2.2619200000000001E-13</v>
      </c>
      <c r="F787" s="4">
        <v>2.30434E-13</v>
      </c>
      <c r="I787" s="5">
        <v>5.2399600000000001E-15</v>
      </c>
      <c r="J787" s="5">
        <v>2.4952199999999999E-16</v>
      </c>
      <c r="K787" s="5">
        <v>3.7428299999999999E-16</v>
      </c>
      <c r="L787" s="4">
        <v>1.24761E-16</v>
      </c>
      <c r="O787" s="5">
        <v>3.7428299999999999E-16</v>
      </c>
      <c r="P787" s="5">
        <v>1.24761E-16</v>
      </c>
      <c r="Q787" s="5">
        <v>2.4952199999999999E-16</v>
      </c>
      <c r="R787" s="4">
        <v>1.24761E-16</v>
      </c>
      <c r="U787" s="5">
        <v>2.61998E-15</v>
      </c>
      <c r="V787" s="5"/>
      <c r="AA787" s="5"/>
      <c r="AB787" s="5"/>
      <c r="AC787" s="4">
        <v>1.24761E-16</v>
      </c>
      <c r="AG787" s="5"/>
      <c r="AM787" s="5"/>
      <c r="AS787" s="5">
        <v>2.4952199999999999E-16</v>
      </c>
      <c r="AU787" s="4">
        <v>1.24761E-16</v>
      </c>
      <c r="AV787" s="4">
        <v>2.4952199999999999E-16</v>
      </c>
    </row>
    <row r="788" spans="3:48" x14ac:dyDescent="0.25">
      <c r="C788" s="7">
        <v>1.7092299999999999E-14</v>
      </c>
      <c r="D788" s="5">
        <v>2.2082699999999999E-13</v>
      </c>
      <c r="E788" s="5">
        <v>2.2569300000000001E-13</v>
      </c>
      <c r="F788" s="4">
        <v>2.2981000000000001E-13</v>
      </c>
      <c r="I788" s="5">
        <v>5.1152E-15</v>
      </c>
      <c r="J788" s="5">
        <v>2.4952199999999999E-16</v>
      </c>
      <c r="K788" s="5">
        <v>3.7428299999999999E-16</v>
      </c>
      <c r="L788" s="4">
        <v>1.24761E-16</v>
      </c>
      <c r="O788" s="5">
        <v>3.7428299999999999E-16</v>
      </c>
      <c r="P788" s="5">
        <v>1.24761E-16</v>
      </c>
      <c r="Q788" s="5">
        <v>2.4952199999999999E-16</v>
      </c>
      <c r="R788" s="4">
        <v>1.24761E-16</v>
      </c>
      <c r="U788" s="5">
        <v>2.61998E-15</v>
      </c>
      <c r="V788" s="5"/>
      <c r="AA788" s="5"/>
      <c r="AB788" s="5"/>
      <c r="AC788" s="4">
        <v>1.24761E-16</v>
      </c>
      <c r="AG788" s="5"/>
      <c r="AM788" s="5"/>
      <c r="AS788" s="5">
        <v>2.4952199999999999E-16</v>
      </c>
      <c r="AU788" s="4">
        <v>2.7447400000000001E-15</v>
      </c>
      <c r="AV788" s="4">
        <v>2.4952199999999999E-16</v>
      </c>
    </row>
    <row r="789" spans="3:48" x14ac:dyDescent="0.25">
      <c r="C789" s="7">
        <v>1.7092299999999999E-14</v>
      </c>
      <c r="D789" s="5">
        <v>2.2057800000000001E-13</v>
      </c>
      <c r="E789" s="5">
        <v>2.2569300000000001E-13</v>
      </c>
      <c r="F789" s="4">
        <v>2.2918600000000002E-13</v>
      </c>
      <c r="I789" s="5">
        <v>5.1152E-15</v>
      </c>
      <c r="J789" s="5">
        <v>2.4952199999999999E-16</v>
      </c>
      <c r="K789" s="5">
        <v>3.7428299999999999E-16</v>
      </c>
      <c r="L789" s="4">
        <v>1.24761E-16</v>
      </c>
      <c r="O789" s="5">
        <v>3.7428299999999999E-16</v>
      </c>
      <c r="P789" s="5">
        <v>1.24761E-16</v>
      </c>
      <c r="Q789" s="5">
        <v>2.4952199999999999E-16</v>
      </c>
      <c r="R789" s="4">
        <v>1.24761E-16</v>
      </c>
      <c r="U789" s="5">
        <v>2.61998E-15</v>
      </c>
      <c r="V789" s="5"/>
      <c r="AA789" s="5"/>
      <c r="AB789" s="5"/>
      <c r="AC789" s="4">
        <v>1.24761E-16</v>
      </c>
      <c r="AG789" s="5"/>
      <c r="AM789" s="5"/>
      <c r="AS789" s="5">
        <v>2.4952199999999999E-16</v>
      </c>
      <c r="AU789" s="4">
        <v>1.2850400000000001E-14</v>
      </c>
      <c r="AV789" s="4">
        <v>2.4952199999999999E-16</v>
      </c>
    </row>
    <row r="790" spans="3:48" x14ac:dyDescent="0.25">
      <c r="C790" s="7">
        <v>1.6967500000000001E-14</v>
      </c>
      <c r="D790" s="5">
        <v>2.1982900000000001E-13</v>
      </c>
      <c r="E790" s="5">
        <v>2.2569300000000001E-13</v>
      </c>
      <c r="F790" s="4">
        <v>2.2918600000000002E-13</v>
      </c>
      <c r="I790" s="5">
        <v>5.1152E-15</v>
      </c>
      <c r="J790" s="5">
        <v>2.4952199999999999E-16</v>
      </c>
      <c r="K790" s="5">
        <v>3.7428299999999999E-16</v>
      </c>
      <c r="L790" s="4">
        <v>1.24761E-16</v>
      </c>
      <c r="O790" s="5">
        <v>3.7428299999999999E-16</v>
      </c>
      <c r="P790" s="5">
        <v>1.24761E-16</v>
      </c>
      <c r="Q790" s="5">
        <v>2.4952199999999999E-16</v>
      </c>
      <c r="R790" s="4">
        <v>1.24761E-16</v>
      </c>
      <c r="U790" s="5">
        <v>2.61998E-15</v>
      </c>
      <c r="V790" s="5"/>
      <c r="AA790" s="5"/>
      <c r="AB790" s="5"/>
      <c r="AC790" s="4">
        <v>1.24761E-16</v>
      </c>
      <c r="AG790" s="5"/>
      <c r="AM790" s="5"/>
      <c r="AS790" s="5">
        <v>2.4952199999999999E-16</v>
      </c>
      <c r="AU790" s="4">
        <v>7.4856599999999998E-16</v>
      </c>
      <c r="AV790" s="4">
        <v>2.4952199999999999E-16</v>
      </c>
    </row>
    <row r="791" spans="3:48" x14ac:dyDescent="0.25">
      <c r="C791" s="7">
        <v>1.6967500000000001E-14</v>
      </c>
      <c r="D791" s="5">
        <v>2.19704E-13</v>
      </c>
      <c r="E791" s="5">
        <v>2.2419600000000001E-13</v>
      </c>
      <c r="F791" s="4">
        <v>2.2856199999999998E-13</v>
      </c>
      <c r="I791" s="5">
        <v>5.1152E-15</v>
      </c>
      <c r="J791" s="5">
        <v>2.4952199999999999E-16</v>
      </c>
      <c r="K791" s="5">
        <v>3.7428299999999999E-16</v>
      </c>
      <c r="L791" s="4">
        <v>1.24761E-16</v>
      </c>
      <c r="O791" s="5">
        <v>3.7428299999999999E-16</v>
      </c>
      <c r="P791" s="5">
        <v>1.24761E-16</v>
      </c>
      <c r="Q791" s="5">
        <v>2.4952199999999999E-16</v>
      </c>
      <c r="R791" s="4">
        <v>1.24761E-16</v>
      </c>
      <c r="U791" s="5">
        <v>2.61998E-15</v>
      </c>
      <c r="V791" s="5"/>
      <c r="AA791" s="5"/>
      <c r="AB791" s="5"/>
      <c r="AC791" s="4">
        <v>1.24761E-16</v>
      </c>
      <c r="AG791" s="5"/>
      <c r="AM791" s="5"/>
      <c r="AS791" s="5">
        <v>2.4952199999999999E-16</v>
      </c>
      <c r="AU791" s="4">
        <v>5.7390100000000001E-15</v>
      </c>
      <c r="AV791" s="4">
        <v>2.4952199999999999E-16</v>
      </c>
    </row>
    <row r="792" spans="3:48" x14ac:dyDescent="0.25">
      <c r="C792" s="7">
        <v>1.6842700000000001E-14</v>
      </c>
      <c r="D792" s="5">
        <v>2.1957899999999999E-13</v>
      </c>
      <c r="E792" s="5">
        <v>2.24071E-13</v>
      </c>
      <c r="F792" s="4">
        <v>2.2818800000000002E-13</v>
      </c>
      <c r="I792" s="5">
        <v>4.9904399999999999E-15</v>
      </c>
      <c r="J792" s="5">
        <v>2.4952199999999999E-16</v>
      </c>
      <c r="K792" s="5">
        <v>3.7428299999999999E-16</v>
      </c>
      <c r="L792" s="4">
        <v>1.24761E-16</v>
      </c>
      <c r="O792" s="5">
        <v>3.7428299999999999E-16</v>
      </c>
      <c r="P792" s="5">
        <v>1.24761E-16</v>
      </c>
      <c r="Q792" s="5">
        <v>2.4952199999999999E-16</v>
      </c>
      <c r="R792" s="4">
        <v>1.24761E-16</v>
      </c>
      <c r="U792" s="5">
        <v>2.61998E-15</v>
      </c>
      <c r="V792" s="5"/>
      <c r="AA792" s="5"/>
      <c r="AB792" s="5"/>
      <c r="AC792" s="4">
        <v>1.24761E-16</v>
      </c>
      <c r="AG792" s="5"/>
      <c r="AM792" s="5"/>
      <c r="AS792" s="5">
        <v>2.4952199999999999E-16</v>
      </c>
      <c r="AU792" s="4">
        <v>4.2418699999999996E-15</v>
      </c>
      <c r="AV792" s="4">
        <v>2.4952199999999999E-16</v>
      </c>
    </row>
    <row r="793" spans="3:48" x14ac:dyDescent="0.25">
      <c r="C793" s="7">
        <v>1.6842700000000001E-14</v>
      </c>
      <c r="D793" s="5">
        <v>2.19205E-13</v>
      </c>
      <c r="E793" s="5">
        <v>2.2344700000000001E-13</v>
      </c>
      <c r="F793" s="4">
        <v>2.27315E-13</v>
      </c>
      <c r="I793" s="5">
        <v>4.9904399999999999E-15</v>
      </c>
      <c r="J793" s="5">
        <v>2.4952199999999999E-16</v>
      </c>
      <c r="K793" s="5">
        <v>3.7428299999999999E-16</v>
      </c>
      <c r="L793" s="4">
        <v>1.24761E-16</v>
      </c>
      <c r="O793" s="5">
        <v>3.7428299999999999E-16</v>
      </c>
      <c r="P793" s="5">
        <v>1.24761E-16</v>
      </c>
      <c r="Q793" s="5">
        <v>2.4952199999999999E-16</v>
      </c>
      <c r="R793" s="4">
        <v>1.24761E-16</v>
      </c>
      <c r="U793" s="5">
        <v>2.61998E-15</v>
      </c>
      <c r="V793" s="5"/>
      <c r="AA793" s="5"/>
      <c r="AB793" s="5"/>
      <c r="AC793" s="4">
        <v>1.24761E-16</v>
      </c>
      <c r="AG793" s="5"/>
      <c r="AM793" s="5"/>
      <c r="AS793" s="5">
        <v>2.4952199999999999E-16</v>
      </c>
      <c r="AU793" s="4">
        <v>3.2437900000000002E-15</v>
      </c>
      <c r="AV793" s="4">
        <v>2.4952199999999999E-16</v>
      </c>
    </row>
    <row r="794" spans="3:48" x14ac:dyDescent="0.25">
      <c r="C794" s="7">
        <v>1.6718000000000001E-14</v>
      </c>
      <c r="D794" s="5">
        <v>2.1858100000000001E-13</v>
      </c>
      <c r="E794" s="5">
        <v>2.2294800000000001E-13</v>
      </c>
      <c r="F794" s="4">
        <v>2.26067E-13</v>
      </c>
      <c r="I794" s="5">
        <v>4.9904399999999999E-15</v>
      </c>
      <c r="J794" s="5">
        <v>2.4952199999999999E-16</v>
      </c>
      <c r="K794" s="5">
        <v>3.7428299999999999E-16</v>
      </c>
      <c r="L794" s="4">
        <v>1.24761E-16</v>
      </c>
      <c r="O794" s="5">
        <v>3.7428299999999999E-16</v>
      </c>
      <c r="P794" s="5">
        <v>1.24761E-16</v>
      </c>
      <c r="Q794" s="5">
        <v>2.4952199999999999E-16</v>
      </c>
      <c r="R794" s="4">
        <v>1.24761E-16</v>
      </c>
      <c r="U794" s="5">
        <v>2.61998E-15</v>
      </c>
      <c r="V794" s="5"/>
      <c r="AA794" s="5"/>
      <c r="AB794" s="5"/>
      <c r="AC794" s="4">
        <v>1.24761E-16</v>
      </c>
      <c r="AG794" s="5"/>
      <c r="AM794" s="5"/>
      <c r="AS794" s="5">
        <v>2.4952199999999999E-16</v>
      </c>
      <c r="AU794" s="4">
        <v>4.9904399999999999E-16</v>
      </c>
      <c r="AV794" s="4">
        <v>2.4952199999999999E-16</v>
      </c>
    </row>
    <row r="795" spans="3:48" x14ac:dyDescent="0.25">
      <c r="C795" s="7">
        <v>1.65932E-14</v>
      </c>
      <c r="D795" s="5">
        <v>2.1733400000000001E-13</v>
      </c>
      <c r="E795" s="5">
        <v>2.2232399999999999E-13</v>
      </c>
      <c r="F795" s="4">
        <v>2.2594199999999999E-13</v>
      </c>
      <c r="I795" s="5">
        <v>4.9904399999999999E-15</v>
      </c>
      <c r="J795" s="5">
        <v>2.4952199999999999E-16</v>
      </c>
      <c r="K795" s="5">
        <v>3.7428299999999999E-16</v>
      </c>
      <c r="L795" s="4">
        <v>1.24761E-16</v>
      </c>
      <c r="O795" s="5">
        <v>3.7428299999999999E-16</v>
      </c>
      <c r="P795" s="5">
        <v>1.24761E-16</v>
      </c>
      <c r="Q795" s="5">
        <v>2.4952199999999999E-16</v>
      </c>
      <c r="R795" s="4">
        <v>1.24761E-16</v>
      </c>
      <c r="U795" s="5">
        <v>2.61998E-15</v>
      </c>
      <c r="V795" s="5"/>
      <c r="AA795" s="5"/>
      <c r="AB795" s="5"/>
      <c r="AC795" s="4">
        <v>1.24761E-16</v>
      </c>
      <c r="AG795" s="5"/>
      <c r="AM795" s="5"/>
      <c r="AS795" s="5">
        <v>2.4952199999999999E-16</v>
      </c>
      <c r="AU795" s="4">
        <v>1.99618E-15</v>
      </c>
      <c r="AV795" s="4">
        <v>2.4952199999999999E-16</v>
      </c>
    </row>
    <row r="796" spans="3:48" x14ac:dyDescent="0.25">
      <c r="C796" s="7">
        <v>1.65932E-14</v>
      </c>
      <c r="D796" s="5">
        <v>2.1733400000000001E-13</v>
      </c>
      <c r="E796" s="5">
        <v>2.2219900000000001E-13</v>
      </c>
      <c r="F796" s="4">
        <v>2.25817E-13</v>
      </c>
      <c r="I796" s="5">
        <v>4.9904399999999999E-15</v>
      </c>
      <c r="J796" s="5">
        <v>2.4952199999999999E-16</v>
      </c>
      <c r="K796" s="5">
        <v>3.7428299999999999E-16</v>
      </c>
      <c r="L796" s="4">
        <v>1.24761E-16</v>
      </c>
      <c r="O796" s="5">
        <v>3.7428299999999999E-16</v>
      </c>
      <c r="P796" s="5">
        <v>1.24761E-16</v>
      </c>
      <c r="Q796" s="5">
        <v>2.4952199999999999E-16</v>
      </c>
      <c r="R796" s="4">
        <v>1.24761E-16</v>
      </c>
      <c r="U796" s="5">
        <v>2.61998E-15</v>
      </c>
      <c r="V796" s="5"/>
      <c r="AA796" s="5"/>
      <c r="AB796" s="5"/>
      <c r="AC796" s="4">
        <v>1.24761E-16</v>
      </c>
      <c r="AG796" s="5"/>
      <c r="AM796" s="5"/>
      <c r="AS796" s="5">
        <v>2.4952199999999999E-16</v>
      </c>
      <c r="AU796" s="4">
        <v>6.8618599999999998E-15</v>
      </c>
      <c r="AV796" s="4">
        <v>2.4952199999999999E-16</v>
      </c>
    </row>
    <row r="797" spans="3:48" x14ac:dyDescent="0.25">
      <c r="C797" s="7">
        <v>1.6343699999999999E-14</v>
      </c>
      <c r="D797" s="5">
        <v>2.1720899999999999E-13</v>
      </c>
      <c r="E797" s="5">
        <v>2.2182499999999999E-13</v>
      </c>
      <c r="F797" s="4">
        <v>2.2569300000000001E-13</v>
      </c>
      <c r="I797" s="5">
        <v>4.9904399999999999E-15</v>
      </c>
      <c r="J797" s="5">
        <v>1.24761E-16</v>
      </c>
      <c r="K797" s="5">
        <v>3.7428299999999999E-16</v>
      </c>
      <c r="L797" s="4">
        <v>1.24761E-16</v>
      </c>
      <c r="O797" s="5">
        <v>3.7428299999999999E-16</v>
      </c>
      <c r="P797" s="5">
        <v>1.24761E-16</v>
      </c>
      <c r="Q797" s="5">
        <v>2.4952199999999999E-16</v>
      </c>
      <c r="R797" s="4">
        <v>1.24761E-16</v>
      </c>
      <c r="U797" s="5">
        <v>2.4952199999999999E-15</v>
      </c>
      <c r="V797" s="5"/>
      <c r="AA797" s="5"/>
      <c r="AB797" s="5"/>
      <c r="AC797" s="4">
        <v>1.24761E-16</v>
      </c>
      <c r="AG797" s="5"/>
      <c r="AM797" s="5"/>
      <c r="AS797" s="5">
        <v>2.4952199999999999E-16</v>
      </c>
      <c r="AU797" s="4">
        <v>1.8714199999999999E-15</v>
      </c>
      <c r="AV797" s="4">
        <v>2.4952199999999999E-16</v>
      </c>
    </row>
    <row r="798" spans="3:48" x14ac:dyDescent="0.25">
      <c r="C798" s="7">
        <v>1.6218899999999999E-14</v>
      </c>
      <c r="D798" s="5">
        <v>2.1708400000000001E-13</v>
      </c>
      <c r="E798" s="5">
        <v>2.2182499999999999E-13</v>
      </c>
      <c r="F798" s="4">
        <v>2.2519400000000001E-13</v>
      </c>
      <c r="I798" s="5">
        <v>4.9904399999999999E-15</v>
      </c>
      <c r="J798" s="5">
        <v>1.24761E-16</v>
      </c>
      <c r="K798" s="5">
        <v>3.7428299999999999E-16</v>
      </c>
      <c r="L798" s="4">
        <v>1.24761E-16</v>
      </c>
      <c r="O798" s="5">
        <v>3.7428299999999999E-16</v>
      </c>
      <c r="P798" s="5">
        <v>1.24761E-16</v>
      </c>
      <c r="Q798" s="5">
        <v>2.4952199999999999E-16</v>
      </c>
      <c r="R798" s="4">
        <v>1.24761E-16</v>
      </c>
      <c r="U798" s="5">
        <v>2.4952199999999999E-15</v>
      </c>
      <c r="V798" s="5"/>
      <c r="AA798" s="5"/>
      <c r="AB798" s="5"/>
      <c r="AC798" s="4">
        <v>1.24761E-16</v>
      </c>
      <c r="AG798" s="5"/>
      <c r="AM798" s="5"/>
      <c r="AS798" s="5">
        <v>2.4952199999999999E-16</v>
      </c>
      <c r="AU798" s="4">
        <v>1.1228500000000001E-15</v>
      </c>
      <c r="AV798" s="4">
        <v>2.4952199999999999E-16</v>
      </c>
    </row>
    <row r="799" spans="3:48" x14ac:dyDescent="0.25">
      <c r="C799" s="7">
        <v>1.6218899999999999E-14</v>
      </c>
      <c r="D799" s="5">
        <v>2.1670999999999999E-13</v>
      </c>
      <c r="E799" s="5">
        <v>2.20702E-13</v>
      </c>
      <c r="F799" s="4">
        <v>2.2494400000000001E-13</v>
      </c>
      <c r="I799" s="5">
        <v>4.9904399999999999E-15</v>
      </c>
      <c r="J799" s="5">
        <v>1.24761E-16</v>
      </c>
      <c r="K799" s="5">
        <v>3.7428299999999999E-16</v>
      </c>
      <c r="L799" s="4">
        <v>1.24761E-16</v>
      </c>
      <c r="O799" s="5">
        <v>3.7428299999999999E-16</v>
      </c>
      <c r="P799" s="5">
        <v>1.24761E-16</v>
      </c>
      <c r="Q799" s="5">
        <v>2.4952199999999999E-16</v>
      </c>
      <c r="R799" s="4">
        <v>1.24761E-16</v>
      </c>
      <c r="U799" s="5">
        <v>2.4952199999999999E-15</v>
      </c>
      <c r="V799" s="5"/>
      <c r="AA799" s="5"/>
      <c r="AB799" s="5"/>
      <c r="AC799" s="4">
        <v>1.24761E-16</v>
      </c>
      <c r="AG799" s="5"/>
      <c r="AM799" s="5"/>
      <c r="AS799" s="5">
        <v>2.4952199999999999E-16</v>
      </c>
      <c r="AU799" s="4">
        <v>3.61807E-15</v>
      </c>
      <c r="AV799" s="4">
        <v>2.4952199999999999E-16</v>
      </c>
    </row>
    <row r="800" spans="3:48" x14ac:dyDescent="0.25">
      <c r="C800" s="7">
        <v>1.6094199999999999E-14</v>
      </c>
      <c r="D800" s="5">
        <v>2.1670999999999999E-13</v>
      </c>
      <c r="E800" s="5">
        <v>2.1982900000000001E-13</v>
      </c>
      <c r="F800" s="4">
        <v>2.2457E-13</v>
      </c>
      <c r="I800" s="5">
        <v>4.9904399999999999E-15</v>
      </c>
      <c r="J800" s="5">
        <v>1.24761E-16</v>
      </c>
      <c r="K800" s="5">
        <v>3.7428299999999999E-16</v>
      </c>
      <c r="L800" s="4">
        <v>1.24761E-16</v>
      </c>
      <c r="O800" s="5">
        <v>3.7428299999999999E-16</v>
      </c>
      <c r="P800" s="5">
        <v>1.24761E-16</v>
      </c>
      <c r="Q800" s="5">
        <v>2.4952199999999999E-16</v>
      </c>
      <c r="R800" s="4">
        <v>1.24761E-16</v>
      </c>
      <c r="U800" s="5">
        <v>2.4952199999999999E-15</v>
      </c>
      <c r="V800" s="5"/>
      <c r="AA800" s="5"/>
      <c r="AB800" s="5"/>
      <c r="AC800" s="4">
        <v>1.24761E-16</v>
      </c>
      <c r="AG800" s="5"/>
      <c r="AM800" s="5"/>
      <c r="AS800" s="5">
        <v>2.4952199999999999E-16</v>
      </c>
      <c r="AU800" s="4">
        <v>7.4856599999999998E-16</v>
      </c>
      <c r="AV800" s="4">
        <v>2.4952199999999999E-16</v>
      </c>
    </row>
    <row r="801" spans="3:48" x14ac:dyDescent="0.25">
      <c r="C801" s="7">
        <v>1.6094199999999999E-14</v>
      </c>
      <c r="D801" s="5">
        <v>2.13341E-13</v>
      </c>
      <c r="E801" s="5">
        <v>2.19455E-13</v>
      </c>
      <c r="F801" s="4">
        <v>2.2457E-13</v>
      </c>
      <c r="I801" s="5">
        <v>4.9904399999999999E-15</v>
      </c>
      <c r="J801" s="5">
        <v>1.24761E-16</v>
      </c>
      <c r="K801" s="5">
        <v>3.7428299999999999E-16</v>
      </c>
      <c r="L801" s="4">
        <v>1.24761E-16</v>
      </c>
      <c r="O801" s="5">
        <v>3.7428299999999999E-16</v>
      </c>
      <c r="P801" s="5">
        <v>1.24761E-16</v>
      </c>
      <c r="Q801" s="5">
        <v>2.4952199999999999E-16</v>
      </c>
      <c r="R801" s="4">
        <v>1.24761E-16</v>
      </c>
      <c r="U801" s="5">
        <v>2.4952199999999999E-15</v>
      </c>
      <c r="V801" s="5"/>
      <c r="AA801" s="5"/>
      <c r="AB801" s="5"/>
      <c r="AC801" s="4">
        <v>1.24761E-16</v>
      </c>
      <c r="AG801" s="5"/>
      <c r="AM801" s="5"/>
      <c r="AS801" s="5">
        <v>2.4952199999999999E-16</v>
      </c>
      <c r="AU801" s="4">
        <v>1.24761E-16</v>
      </c>
      <c r="AV801" s="4">
        <v>2.4952199999999999E-16</v>
      </c>
    </row>
    <row r="802" spans="3:48" x14ac:dyDescent="0.25">
      <c r="C802" s="7">
        <v>1.6094199999999999E-14</v>
      </c>
      <c r="D802" s="5">
        <v>2.1321700000000001E-13</v>
      </c>
      <c r="E802" s="5">
        <v>2.18706E-13</v>
      </c>
      <c r="F802" s="4">
        <v>2.2444500000000001E-13</v>
      </c>
      <c r="I802" s="5">
        <v>4.9904399999999999E-15</v>
      </c>
      <c r="J802" s="5">
        <v>1.24761E-16</v>
      </c>
      <c r="K802" s="5">
        <v>3.7428299999999999E-16</v>
      </c>
      <c r="L802" s="4">
        <v>1.24761E-16</v>
      </c>
      <c r="O802" s="5">
        <v>3.7428299999999999E-16</v>
      </c>
      <c r="P802" s="5">
        <v>1.24761E-16</v>
      </c>
      <c r="Q802" s="5">
        <v>2.4952199999999999E-16</v>
      </c>
      <c r="R802" s="4">
        <v>1.24761E-16</v>
      </c>
      <c r="U802" s="5">
        <v>2.4952199999999999E-15</v>
      </c>
      <c r="V802" s="5"/>
      <c r="AA802" s="5"/>
      <c r="AB802" s="5"/>
      <c r="AC802" s="4">
        <v>1.24761E-16</v>
      </c>
      <c r="AG802" s="5"/>
      <c r="AM802" s="5"/>
      <c r="AS802" s="5">
        <v>2.4952199999999999E-16</v>
      </c>
      <c r="AU802" s="4">
        <v>7.11138E-15</v>
      </c>
      <c r="AV802" s="4">
        <v>2.4952199999999999E-16</v>
      </c>
    </row>
    <row r="803" spans="3:48" x14ac:dyDescent="0.25">
      <c r="C803" s="7">
        <v>1.5969400000000001E-14</v>
      </c>
      <c r="D803" s="5">
        <v>2.1271800000000001E-13</v>
      </c>
      <c r="E803" s="5">
        <v>2.18207E-13</v>
      </c>
      <c r="F803" s="4">
        <v>2.2369700000000001E-13</v>
      </c>
      <c r="I803" s="5">
        <v>4.9904399999999999E-15</v>
      </c>
      <c r="J803" s="5">
        <v>1.24761E-16</v>
      </c>
      <c r="K803" s="5">
        <v>3.7428299999999999E-16</v>
      </c>
      <c r="L803" s="4">
        <v>1.24761E-16</v>
      </c>
      <c r="O803" s="5">
        <v>3.7428299999999999E-16</v>
      </c>
      <c r="P803" s="5">
        <v>1.24761E-16</v>
      </c>
      <c r="Q803" s="5">
        <v>2.4952199999999999E-16</v>
      </c>
      <c r="R803" s="4">
        <v>1.24761E-16</v>
      </c>
      <c r="U803" s="5">
        <v>2.4952199999999999E-15</v>
      </c>
      <c r="V803" s="5"/>
      <c r="AA803" s="5"/>
      <c r="AB803" s="5"/>
      <c r="AC803" s="4">
        <v>1.24761E-16</v>
      </c>
      <c r="AG803" s="5"/>
      <c r="AM803" s="5"/>
      <c r="AS803" s="5">
        <v>2.4952199999999999E-16</v>
      </c>
      <c r="AU803" s="4">
        <v>2.53265E-14</v>
      </c>
      <c r="AV803" s="4">
        <v>2.4952199999999999E-16</v>
      </c>
    </row>
    <row r="804" spans="3:48" x14ac:dyDescent="0.25">
      <c r="C804" s="7">
        <v>1.5969400000000001E-14</v>
      </c>
      <c r="D804" s="5">
        <v>2.11844E-13</v>
      </c>
      <c r="E804" s="5">
        <v>2.1783300000000001E-13</v>
      </c>
      <c r="F804" s="4">
        <v>2.2195E-13</v>
      </c>
      <c r="I804" s="5">
        <v>4.9904399999999999E-15</v>
      </c>
      <c r="J804" s="5">
        <v>1.24761E-16</v>
      </c>
      <c r="K804" s="5">
        <v>3.7428299999999999E-16</v>
      </c>
      <c r="L804" s="4">
        <v>1.24761E-16</v>
      </c>
      <c r="O804" s="5">
        <v>3.7428299999999999E-16</v>
      </c>
      <c r="P804" s="5">
        <v>1.24761E-16</v>
      </c>
      <c r="Q804" s="5">
        <v>2.4952199999999999E-16</v>
      </c>
      <c r="R804" s="4">
        <v>1.24761E-16</v>
      </c>
      <c r="U804" s="5">
        <v>2.4952199999999999E-15</v>
      </c>
      <c r="V804" s="5"/>
      <c r="AA804" s="5"/>
      <c r="AB804" s="5"/>
      <c r="AC804" s="4">
        <v>1.24761E-16</v>
      </c>
      <c r="AG804" s="5"/>
      <c r="AM804" s="5"/>
      <c r="AS804" s="5">
        <v>2.4952199999999999E-16</v>
      </c>
      <c r="AU804" s="4">
        <v>2.6199799999999999E-14</v>
      </c>
      <c r="AV804" s="4">
        <v>2.4952199999999999E-16</v>
      </c>
    </row>
    <row r="805" spans="3:48" x14ac:dyDescent="0.25">
      <c r="C805" s="7">
        <v>1.5844700000000001E-14</v>
      </c>
      <c r="D805" s="5">
        <v>2.1171900000000001E-13</v>
      </c>
      <c r="E805" s="5">
        <v>2.16835E-13</v>
      </c>
      <c r="F805" s="4">
        <v>2.2182499999999999E-13</v>
      </c>
      <c r="I805" s="5">
        <v>4.9904399999999999E-15</v>
      </c>
      <c r="J805" s="5">
        <v>1.24761E-16</v>
      </c>
      <c r="K805" s="5">
        <v>3.7428299999999999E-16</v>
      </c>
      <c r="L805" s="4">
        <v>1.24761E-16</v>
      </c>
      <c r="O805" s="5">
        <v>3.7428299999999999E-16</v>
      </c>
      <c r="P805" s="5">
        <v>1.24761E-16</v>
      </c>
      <c r="Q805" s="5">
        <v>2.4952199999999999E-16</v>
      </c>
      <c r="R805" s="4">
        <v>1.24761E-16</v>
      </c>
      <c r="U805" s="5">
        <v>2.4952199999999999E-15</v>
      </c>
      <c r="V805" s="5"/>
      <c r="AA805" s="5"/>
      <c r="AB805" s="5"/>
      <c r="AC805" s="4">
        <v>1.24761E-16</v>
      </c>
      <c r="AG805" s="5"/>
      <c r="AM805" s="5"/>
      <c r="AS805" s="5">
        <v>2.4952199999999999E-16</v>
      </c>
      <c r="AU805" s="4">
        <v>2.2457000000000002E-15</v>
      </c>
      <c r="AV805" s="4">
        <v>2.4952199999999999E-16</v>
      </c>
    </row>
    <row r="806" spans="3:48" x14ac:dyDescent="0.25">
      <c r="C806" s="7">
        <v>1.57199E-14</v>
      </c>
      <c r="D806" s="5">
        <v>2.1084599999999999E-13</v>
      </c>
      <c r="E806" s="5">
        <v>2.1621099999999999E-13</v>
      </c>
      <c r="F806" s="4">
        <v>2.21201E-13</v>
      </c>
      <c r="I806" s="5">
        <v>4.8656799999999998E-15</v>
      </c>
      <c r="J806" s="5">
        <v>1.24761E-16</v>
      </c>
      <c r="K806" s="5">
        <v>3.7428299999999999E-16</v>
      </c>
      <c r="L806" s="4">
        <v>1.24761E-16</v>
      </c>
      <c r="O806" s="5">
        <v>3.7428299999999999E-16</v>
      </c>
      <c r="P806" s="5">
        <v>1.24761E-16</v>
      </c>
      <c r="Q806" s="5">
        <v>2.4952199999999999E-16</v>
      </c>
      <c r="R806" s="4">
        <v>1.24761E-16</v>
      </c>
      <c r="U806" s="5">
        <v>2.4952199999999999E-15</v>
      </c>
      <c r="V806" s="5"/>
      <c r="AA806" s="5"/>
      <c r="AB806" s="5"/>
      <c r="AC806" s="4">
        <v>1.24761E-16</v>
      </c>
      <c r="AG806" s="5"/>
      <c r="AM806" s="5"/>
      <c r="AS806" s="5">
        <v>2.4952199999999999E-16</v>
      </c>
      <c r="AU806" s="4">
        <v>6.6123299999999999E-15</v>
      </c>
      <c r="AV806" s="4">
        <v>2.4952199999999999E-16</v>
      </c>
    </row>
    <row r="807" spans="3:48" x14ac:dyDescent="0.25">
      <c r="C807" s="7">
        <v>1.57199E-14</v>
      </c>
      <c r="D807" s="5">
        <v>2.0959899999999999E-13</v>
      </c>
      <c r="E807" s="5">
        <v>2.15837E-13</v>
      </c>
      <c r="F807" s="4">
        <v>2.2007799999999999E-13</v>
      </c>
      <c r="I807" s="5">
        <v>4.8656799999999998E-15</v>
      </c>
      <c r="J807" s="5">
        <v>1.24761E-16</v>
      </c>
      <c r="K807" s="5">
        <v>2.4952199999999999E-16</v>
      </c>
      <c r="L807" s="4">
        <v>1.24761E-16</v>
      </c>
      <c r="O807" s="5">
        <v>3.7428299999999999E-16</v>
      </c>
      <c r="P807" s="5">
        <v>1.24761E-16</v>
      </c>
      <c r="Q807" s="5">
        <v>2.4952199999999999E-16</v>
      </c>
      <c r="R807" s="4">
        <v>1.24761E-16</v>
      </c>
      <c r="U807" s="5">
        <v>2.4952199999999999E-15</v>
      </c>
      <c r="V807" s="5"/>
      <c r="AA807" s="5"/>
      <c r="AB807" s="5"/>
      <c r="AC807" s="4">
        <v>1.24761E-16</v>
      </c>
      <c r="AG807" s="5"/>
      <c r="AM807" s="5"/>
      <c r="AS807" s="5">
        <v>2.4952199999999999E-16</v>
      </c>
      <c r="AU807" s="4">
        <v>2.4952199999999999E-16</v>
      </c>
      <c r="AV807" s="4">
        <v>2.4952199999999999E-16</v>
      </c>
    </row>
    <row r="808" spans="3:48" x14ac:dyDescent="0.25">
      <c r="C808" s="7">
        <v>1.57199E-14</v>
      </c>
      <c r="D808" s="5">
        <v>2.09474E-13</v>
      </c>
      <c r="E808" s="5">
        <v>2.14589E-13</v>
      </c>
      <c r="F808" s="4">
        <v>2.1933000000000001E-13</v>
      </c>
      <c r="I808" s="5">
        <v>4.8656799999999998E-15</v>
      </c>
      <c r="J808" s="5">
        <v>1.24761E-16</v>
      </c>
      <c r="K808" s="5">
        <v>2.4952199999999999E-16</v>
      </c>
      <c r="L808" s="4">
        <v>1.24761E-16</v>
      </c>
      <c r="O808" s="5">
        <v>3.7428299999999999E-16</v>
      </c>
      <c r="P808" s="5">
        <v>1.24761E-16</v>
      </c>
      <c r="Q808" s="5">
        <v>2.4952199999999999E-16</v>
      </c>
      <c r="R808" s="4">
        <v>1.24761E-16</v>
      </c>
      <c r="U808" s="5">
        <v>2.4952199999999999E-15</v>
      </c>
      <c r="V808" s="5"/>
      <c r="AA808" s="5"/>
      <c r="AB808" s="5"/>
      <c r="AC808" s="4">
        <v>1.24761E-16</v>
      </c>
      <c r="AG808" s="5"/>
      <c r="AM808" s="5"/>
      <c r="AS808" s="5">
        <v>2.4952199999999999E-16</v>
      </c>
      <c r="AU808" s="4">
        <v>1.24761E-16</v>
      </c>
      <c r="AV808" s="4">
        <v>2.4952199999999999E-16</v>
      </c>
    </row>
    <row r="809" spans="3:48" x14ac:dyDescent="0.25">
      <c r="C809" s="7">
        <v>1.55951E-14</v>
      </c>
      <c r="D809" s="5">
        <v>2.08975E-13</v>
      </c>
      <c r="E809" s="5">
        <v>2.1446399999999999E-13</v>
      </c>
      <c r="F809" s="4">
        <v>2.1933000000000001E-13</v>
      </c>
      <c r="I809" s="5">
        <v>4.8656799999999998E-15</v>
      </c>
      <c r="J809" s="5">
        <v>1.24761E-16</v>
      </c>
      <c r="K809" s="5">
        <v>2.4952199999999999E-16</v>
      </c>
      <c r="L809" s="4">
        <v>1.24761E-16</v>
      </c>
      <c r="O809" s="5">
        <v>3.7428299999999999E-16</v>
      </c>
      <c r="P809" s="5">
        <v>1.24761E-16</v>
      </c>
      <c r="Q809" s="5">
        <v>2.4952199999999999E-16</v>
      </c>
      <c r="R809" s="4">
        <v>1.24761E-16</v>
      </c>
      <c r="U809" s="5">
        <v>2.4952199999999999E-15</v>
      </c>
      <c r="V809" s="5"/>
      <c r="AA809" s="5"/>
      <c r="AB809" s="5"/>
      <c r="AC809" s="4">
        <v>1.24761E-16</v>
      </c>
      <c r="AG809" s="5"/>
      <c r="AM809" s="5"/>
      <c r="AS809" s="5">
        <v>2.4952199999999999E-16</v>
      </c>
      <c r="AU809" s="4">
        <v>7.4856600000000002E-15</v>
      </c>
      <c r="AV809" s="4">
        <v>2.4952199999999999E-16</v>
      </c>
    </row>
    <row r="810" spans="3:48" x14ac:dyDescent="0.25">
      <c r="C810" s="7">
        <v>1.55951E-14</v>
      </c>
      <c r="D810" s="5">
        <v>2.08476E-13</v>
      </c>
      <c r="E810" s="5">
        <v>2.1396499999999999E-13</v>
      </c>
      <c r="F810" s="4">
        <v>2.1783300000000001E-13</v>
      </c>
      <c r="I810" s="5">
        <v>4.8656799999999998E-15</v>
      </c>
      <c r="J810" s="5">
        <v>1.24761E-16</v>
      </c>
      <c r="K810" s="5">
        <v>2.4952199999999999E-16</v>
      </c>
      <c r="L810" s="4">
        <v>1.24761E-16</v>
      </c>
      <c r="O810" s="5">
        <v>3.7428299999999999E-16</v>
      </c>
      <c r="P810" s="5">
        <v>1.24761E-16</v>
      </c>
      <c r="Q810" s="5">
        <v>2.4952199999999999E-16</v>
      </c>
      <c r="R810" s="4">
        <v>1.24761E-16</v>
      </c>
      <c r="U810" s="5">
        <v>2.4952199999999999E-15</v>
      </c>
      <c r="V810" s="5"/>
      <c r="AA810" s="5"/>
      <c r="AB810" s="5"/>
      <c r="AC810" s="4">
        <v>1.24761E-16</v>
      </c>
      <c r="AG810" s="5"/>
      <c r="AM810" s="5"/>
      <c r="AS810" s="5">
        <v>2.4952199999999999E-16</v>
      </c>
      <c r="AU810" s="4">
        <v>8.7332699999999992E-15</v>
      </c>
      <c r="AV810" s="4">
        <v>2.4952199999999999E-16</v>
      </c>
    </row>
    <row r="811" spans="3:48" x14ac:dyDescent="0.25">
      <c r="C811" s="7">
        <v>1.55951E-14</v>
      </c>
      <c r="D811" s="5">
        <v>2.0835100000000001E-13</v>
      </c>
      <c r="E811" s="5">
        <v>2.1321700000000001E-13</v>
      </c>
      <c r="F811" s="4">
        <v>2.1695899999999999E-13</v>
      </c>
      <c r="I811" s="5">
        <v>4.8656799999999998E-15</v>
      </c>
      <c r="J811" s="5">
        <v>1.24761E-16</v>
      </c>
      <c r="K811" s="5">
        <v>2.4952199999999999E-16</v>
      </c>
      <c r="L811" s="4">
        <v>1.24761E-16</v>
      </c>
      <c r="O811" s="5">
        <v>3.7428299999999999E-16</v>
      </c>
      <c r="P811" s="5">
        <v>1.24761E-16</v>
      </c>
      <c r="Q811" s="5">
        <v>2.4952199999999999E-16</v>
      </c>
      <c r="R811" s="4">
        <v>1.24761E-16</v>
      </c>
      <c r="U811" s="5">
        <v>2.4952199999999999E-15</v>
      </c>
      <c r="V811" s="5"/>
      <c r="AA811" s="5"/>
      <c r="AB811" s="5"/>
      <c r="AC811" s="4">
        <v>1.24761E-16</v>
      </c>
      <c r="AG811" s="5"/>
      <c r="AM811" s="5"/>
      <c r="AS811" s="5">
        <v>2.4952199999999999E-16</v>
      </c>
      <c r="AU811" s="4">
        <v>1.24761E-16</v>
      </c>
      <c r="AV811" s="4">
        <v>2.4952199999999999E-16</v>
      </c>
    </row>
    <row r="812" spans="3:48" x14ac:dyDescent="0.25">
      <c r="C812" s="7">
        <v>1.54704E-14</v>
      </c>
      <c r="D812" s="5">
        <v>2.07977E-13</v>
      </c>
      <c r="E812" s="5">
        <v>2.12842E-13</v>
      </c>
      <c r="F812" s="4">
        <v>2.1695899999999999E-13</v>
      </c>
      <c r="I812" s="5">
        <v>4.8656799999999998E-15</v>
      </c>
      <c r="J812" s="5">
        <v>1.24761E-16</v>
      </c>
      <c r="K812" s="5">
        <v>2.4952199999999999E-16</v>
      </c>
      <c r="L812" s="4">
        <v>1.24761E-16</v>
      </c>
      <c r="O812" s="5">
        <v>3.7428299999999999E-16</v>
      </c>
      <c r="P812" s="5">
        <v>1.24761E-16</v>
      </c>
      <c r="Q812" s="5">
        <v>2.4952199999999999E-16</v>
      </c>
      <c r="R812" s="4">
        <v>1.24761E-16</v>
      </c>
      <c r="U812" s="5">
        <v>2.3704599999999999E-15</v>
      </c>
      <c r="V812" s="5"/>
      <c r="AA812" s="5"/>
      <c r="AB812" s="5"/>
      <c r="AC812" s="4">
        <v>1.24761E-16</v>
      </c>
      <c r="AG812" s="5"/>
      <c r="AM812" s="5"/>
      <c r="AS812" s="5">
        <v>2.4952199999999999E-16</v>
      </c>
      <c r="AU812" s="4">
        <v>1.62189E-15</v>
      </c>
      <c r="AV812" s="4">
        <v>2.4952199999999999E-16</v>
      </c>
    </row>
    <row r="813" spans="3:48" x14ac:dyDescent="0.25">
      <c r="C813" s="7">
        <v>1.5345599999999999E-14</v>
      </c>
      <c r="D813" s="5">
        <v>2.07478E-13</v>
      </c>
      <c r="E813" s="5">
        <v>2.1271800000000001E-13</v>
      </c>
      <c r="F813" s="4">
        <v>2.16835E-13</v>
      </c>
      <c r="I813" s="5">
        <v>4.8656799999999998E-15</v>
      </c>
      <c r="J813" s="5">
        <v>1.24761E-16</v>
      </c>
      <c r="K813" s="5">
        <v>2.4952199999999999E-16</v>
      </c>
      <c r="L813" s="4">
        <v>1.24761E-16</v>
      </c>
      <c r="O813" s="5">
        <v>3.7428299999999999E-16</v>
      </c>
      <c r="P813" s="5">
        <v>1.24761E-16</v>
      </c>
      <c r="Q813" s="5">
        <v>2.4952199999999999E-16</v>
      </c>
      <c r="R813" s="4">
        <v>1.24761E-16</v>
      </c>
      <c r="U813" s="5">
        <v>2.3704599999999999E-15</v>
      </c>
      <c r="V813" s="5"/>
      <c r="AA813" s="5"/>
      <c r="AB813" s="5"/>
      <c r="AC813" s="4">
        <v>1.24761E-16</v>
      </c>
      <c r="AG813" s="5"/>
      <c r="AM813" s="5"/>
      <c r="AS813" s="5">
        <v>2.4952199999999999E-16</v>
      </c>
      <c r="AU813" s="4">
        <v>6.7370999999999998E-15</v>
      </c>
      <c r="AV813" s="4">
        <v>2.4952199999999999E-16</v>
      </c>
    </row>
    <row r="814" spans="3:48" x14ac:dyDescent="0.25">
      <c r="C814" s="7">
        <v>1.5096099999999999E-14</v>
      </c>
      <c r="D814" s="5">
        <v>2.0710300000000001E-13</v>
      </c>
      <c r="E814" s="5">
        <v>2.12593E-13</v>
      </c>
      <c r="F814" s="4">
        <v>2.16835E-13</v>
      </c>
      <c r="I814" s="5">
        <v>4.8656799999999998E-15</v>
      </c>
      <c r="J814" s="5">
        <v>1.24761E-16</v>
      </c>
      <c r="K814" s="5">
        <v>2.4952199999999999E-16</v>
      </c>
      <c r="L814" s="4">
        <v>1.24761E-16</v>
      </c>
      <c r="O814" s="5">
        <v>3.7428299999999999E-16</v>
      </c>
      <c r="P814" s="5">
        <v>1.24761E-16</v>
      </c>
      <c r="Q814" s="5">
        <v>2.4952199999999999E-16</v>
      </c>
      <c r="R814" s="4">
        <v>1.24761E-16</v>
      </c>
      <c r="U814" s="5">
        <v>2.3704599999999999E-15</v>
      </c>
      <c r="V814" s="5"/>
      <c r="AA814" s="5"/>
      <c r="AB814" s="5"/>
      <c r="AC814" s="4">
        <v>1.24761E-16</v>
      </c>
      <c r="AG814" s="5"/>
      <c r="AM814" s="5"/>
      <c r="AS814" s="5">
        <v>2.4952199999999999E-16</v>
      </c>
      <c r="AU814" s="4">
        <v>6.2380499999999999E-16</v>
      </c>
      <c r="AV814" s="4">
        <v>2.4952199999999999E-16</v>
      </c>
    </row>
    <row r="815" spans="3:48" x14ac:dyDescent="0.25">
      <c r="C815" s="7">
        <v>1.5096099999999999E-14</v>
      </c>
      <c r="D815" s="5">
        <v>2.0635500000000001E-13</v>
      </c>
      <c r="E815" s="5">
        <v>2.1159499999999999E-13</v>
      </c>
      <c r="F815" s="4">
        <v>2.16336E-13</v>
      </c>
      <c r="I815" s="5">
        <v>4.8656799999999998E-15</v>
      </c>
      <c r="J815" s="5">
        <v>1.24761E-16</v>
      </c>
      <c r="K815" s="5">
        <v>2.4952199999999999E-16</v>
      </c>
      <c r="L815" s="4">
        <v>1.24761E-16</v>
      </c>
      <c r="O815" s="5">
        <v>3.7428299999999999E-16</v>
      </c>
      <c r="P815" s="5">
        <v>1.24761E-16</v>
      </c>
      <c r="Q815" s="5">
        <v>2.4952199999999999E-16</v>
      </c>
      <c r="R815" s="4">
        <v>1.24761E-16</v>
      </c>
      <c r="U815" s="5">
        <v>2.3704599999999999E-15</v>
      </c>
      <c r="V815" s="5"/>
      <c r="AA815" s="5"/>
      <c r="AB815" s="5"/>
      <c r="AC815" s="4">
        <v>1.24761E-16</v>
      </c>
      <c r="AG815" s="5"/>
      <c r="AM815" s="5"/>
      <c r="AS815" s="5">
        <v>2.4952199999999999E-16</v>
      </c>
      <c r="AU815" s="4">
        <v>9.9808799999999998E-16</v>
      </c>
      <c r="AV815" s="4">
        <v>2.4952199999999999E-16</v>
      </c>
    </row>
    <row r="816" spans="3:48" x14ac:dyDescent="0.25">
      <c r="C816" s="7">
        <v>1.4971300000000001E-14</v>
      </c>
      <c r="D816" s="5">
        <v>2.04109E-13</v>
      </c>
      <c r="E816" s="5">
        <v>2.1147000000000001E-13</v>
      </c>
      <c r="F816" s="4">
        <v>2.1409E-13</v>
      </c>
      <c r="I816" s="5">
        <v>4.7409199999999997E-15</v>
      </c>
      <c r="J816" s="5">
        <v>1.24761E-16</v>
      </c>
      <c r="K816" s="5">
        <v>2.4952199999999999E-16</v>
      </c>
      <c r="L816" s="4">
        <v>1.24761E-16</v>
      </c>
      <c r="O816" s="5">
        <v>3.7428299999999999E-16</v>
      </c>
      <c r="P816" s="5">
        <v>1.24761E-16</v>
      </c>
      <c r="Q816" s="5">
        <v>2.4952199999999999E-16</v>
      </c>
      <c r="R816" s="4">
        <v>1.24761E-16</v>
      </c>
      <c r="U816" s="5">
        <v>2.3704599999999999E-15</v>
      </c>
      <c r="V816" s="5"/>
      <c r="AA816" s="5"/>
      <c r="AB816" s="5"/>
      <c r="AC816" s="4">
        <v>1.24761E-16</v>
      </c>
      <c r="AG816" s="5"/>
      <c r="AM816" s="5"/>
      <c r="AS816" s="5">
        <v>2.4952199999999999E-16</v>
      </c>
      <c r="AU816" s="4">
        <v>1.34742E-14</v>
      </c>
      <c r="AV816" s="4">
        <v>2.4952199999999999E-16</v>
      </c>
    </row>
    <row r="817" spans="3:48" x14ac:dyDescent="0.25">
      <c r="C817" s="7">
        <v>1.4971300000000001E-14</v>
      </c>
      <c r="D817" s="5">
        <v>2.0373499999999999E-13</v>
      </c>
      <c r="E817" s="5">
        <v>2.1059699999999999E-13</v>
      </c>
      <c r="F817" s="4">
        <v>2.1371600000000001E-13</v>
      </c>
      <c r="I817" s="5">
        <v>4.7409199999999997E-15</v>
      </c>
      <c r="J817" s="5">
        <v>1.24761E-16</v>
      </c>
      <c r="K817" s="5">
        <v>2.4952199999999999E-16</v>
      </c>
      <c r="L817" s="4">
        <v>1.24761E-16</v>
      </c>
      <c r="O817" s="5">
        <v>3.7428299999999999E-16</v>
      </c>
      <c r="P817" s="5">
        <v>1.24761E-16</v>
      </c>
      <c r="Q817" s="5">
        <v>2.4952199999999999E-16</v>
      </c>
      <c r="R817" s="4">
        <v>1.24761E-16</v>
      </c>
      <c r="U817" s="5">
        <v>2.3704599999999999E-15</v>
      </c>
      <c r="V817" s="5"/>
      <c r="AA817" s="5"/>
      <c r="AB817" s="5"/>
      <c r="AC817" s="4">
        <v>1.24761E-16</v>
      </c>
      <c r="AG817" s="5"/>
      <c r="AM817" s="5"/>
      <c r="AS817" s="5">
        <v>2.4952199999999999E-16</v>
      </c>
      <c r="AU817" s="4">
        <v>1.99618E-15</v>
      </c>
      <c r="AV817" s="4">
        <v>2.4952199999999999E-16</v>
      </c>
    </row>
    <row r="818" spans="3:48" x14ac:dyDescent="0.25">
      <c r="C818" s="7">
        <v>1.4846600000000001E-14</v>
      </c>
      <c r="D818" s="5">
        <v>2.0348499999999999E-13</v>
      </c>
      <c r="E818" s="5">
        <v>2.09474E-13</v>
      </c>
      <c r="F818" s="4">
        <v>2.13341E-13</v>
      </c>
      <c r="I818" s="5">
        <v>4.7409199999999997E-15</v>
      </c>
      <c r="J818" s="5">
        <v>1.24761E-16</v>
      </c>
      <c r="K818" s="5">
        <v>2.4952199999999999E-16</v>
      </c>
      <c r="L818" s="4">
        <v>1.24761E-16</v>
      </c>
      <c r="O818" s="5">
        <v>3.7428299999999999E-16</v>
      </c>
      <c r="P818" s="5">
        <v>1.24761E-16</v>
      </c>
      <c r="Q818" s="5">
        <v>2.4952199999999999E-16</v>
      </c>
      <c r="R818" s="4">
        <v>1.24761E-16</v>
      </c>
      <c r="U818" s="5">
        <v>2.3704599999999999E-15</v>
      </c>
      <c r="V818" s="5"/>
      <c r="AA818" s="5"/>
      <c r="AB818" s="5"/>
      <c r="AC818" s="4">
        <v>1.24761E-16</v>
      </c>
      <c r="AG818" s="5"/>
      <c r="AM818" s="5"/>
      <c r="AS818" s="5">
        <v>2.4952199999999999E-16</v>
      </c>
      <c r="AU818" s="4">
        <v>3.7428299999999999E-16</v>
      </c>
      <c r="AV818" s="4">
        <v>2.4952199999999999E-16</v>
      </c>
    </row>
    <row r="819" spans="3:48" x14ac:dyDescent="0.25">
      <c r="C819" s="7">
        <v>1.4846600000000001E-14</v>
      </c>
      <c r="D819" s="5">
        <v>2.0348499999999999E-13</v>
      </c>
      <c r="E819" s="5">
        <v>2.08226E-13</v>
      </c>
      <c r="F819" s="4">
        <v>2.1246800000000001E-13</v>
      </c>
      <c r="I819" s="5">
        <v>4.7409199999999997E-15</v>
      </c>
      <c r="J819" s="5">
        <v>1.24761E-16</v>
      </c>
      <c r="K819" s="5">
        <v>2.4952199999999999E-16</v>
      </c>
      <c r="L819" s="4">
        <v>1.24761E-16</v>
      </c>
      <c r="O819" s="5">
        <v>2.4952199999999999E-16</v>
      </c>
      <c r="P819" s="5"/>
      <c r="Q819" s="5">
        <v>2.4952199999999999E-16</v>
      </c>
      <c r="R819" s="4">
        <v>1.24761E-16</v>
      </c>
      <c r="U819" s="5">
        <v>2.3704599999999999E-15</v>
      </c>
      <c r="V819" s="5"/>
      <c r="AA819" s="5"/>
      <c r="AB819" s="5"/>
      <c r="AC819" s="4">
        <v>1.24761E-16</v>
      </c>
      <c r="AG819" s="5"/>
      <c r="AM819" s="5"/>
      <c r="AS819" s="5">
        <v>2.4952199999999999E-16</v>
      </c>
      <c r="AU819" s="4">
        <v>3.31864E-14</v>
      </c>
      <c r="AV819" s="4">
        <v>2.4952199999999999E-16</v>
      </c>
    </row>
    <row r="820" spans="3:48" x14ac:dyDescent="0.25">
      <c r="C820" s="7">
        <v>1.47218E-14</v>
      </c>
      <c r="D820" s="5">
        <v>2.0198800000000001E-13</v>
      </c>
      <c r="E820" s="5">
        <v>2.0635500000000001E-13</v>
      </c>
      <c r="F820" s="4">
        <v>2.1221900000000001E-13</v>
      </c>
      <c r="I820" s="5">
        <v>4.7409199999999997E-15</v>
      </c>
      <c r="J820" s="5">
        <v>1.24761E-16</v>
      </c>
      <c r="K820" s="5">
        <v>2.4952199999999999E-16</v>
      </c>
      <c r="L820" s="4">
        <v>1.24761E-16</v>
      </c>
      <c r="O820" s="5">
        <v>2.4952199999999999E-16</v>
      </c>
      <c r="P820" s="5"/>
      <c r="Q820" s="5">
        <v>2.4952199999999999E-16</v>
      </c>
      <c r="R820" s="4">
        <v>1.24761E-16</v>
      </c>
      <c r="U820" s="5">
        <v>2.3704599999999999E-15</v>
      </c>
      <c r="V820" s="5"/>
      <c r="AA820" s="5"/>
      <c r="AB820" s="5"/>
      <c r="AC820" s="4">
        <v>1.24761E-16</v>
      </c>
      <c r="AG820" s="5"/>
      <c r="AM820" s="5"/>
      <c r="AS820" s="5">
        <v>2.4952199999999999E-16</v>
      </c>
      <c r="AU820" s="4">
        <v>3.7428299999999999E-16</v>
      </c>
      <c r="AV820" s="4">
        <v>2.4952199999999999E-16</v>
      </c>
    </row>
    <row r="821" spans="3:48" x14ac:dyDescent="0.25">
      <c r="C821" s="7">
        <v>1.47218E-14</v>
      </c>
      <c r="D821" s="5">
        <v>2.0148900000000001E-13</v>
      </c>
      <c r="E821" s="5">
        <v>2.0598E-13</v>
      </c>
      <c r="F821" s="4">
        <v>2.11844E-13</v>
      </c>
      <c r="I821" s="5">
        <v>4.7409199999999997E-15</v>
      </c>
      <c r="J821" s="5">
        <v>1.24761E-16</v>
      </c>
      <c r="K821" s="5">
        <v>2.4952199999999999E-16</v>
      </c>
      <c r="L821" s="4">
        <v>1.24761E-16</v>
      </c>
      <c r="O821" s="5">
        <v>2.4952199999999999E-16</v>
      </c>
      <c r="P821" s="5"/>
      <c r="Q821" s="5">
        <v>1.24761E-16</v>
      </c>
      <c r="R821" s="4">
        <v>1.24761E-16</v>
      </c>
      <c r="U821" s="5">
        <v>2.3704599999999999E-15</v>
      </c>
      <c r="V821" s="5"/>
      <c r="AA821" s="5"/>
      <c r="AB821" s="5"/>
      <c r="AC821" s="4">
        <v>1.24761E-16</v>
      </c>
      <c r="AG821" s="5"/>
      <c r="AM821" s="5"/>
      <c r="AS821" s="5">
        <v>2.4952199999999999E-16</v>
      </c>
      <c r="AU821" s="4">
        <v>1.24761E-16</v>
      </c>
      <c r="AV821" s="4">
        <v>2.4952199999999999E-16</v>
      </c>
    </row>
    <row r="822" spans="3:48" x14ac:dyDescent="0.25">
      <c r="C822" s="7">
        <v>1.47218E-14</v>
      </c>
      <c r="D822" s="5">
        <v>2.0124000000000001E-13</v>
      </c>
      <c r="E822" s="5">
        <v>2.0510700000000001E-13</v>
      </c>
      <c r="F822" s="4">
        <v>2.0984799999999999E-13</v>
      </c>
      <c r="I822" s="5">
        <v>4.7409199999999997E-15</v>
      </c>
      <c r="J822" s="5">
        <v>1.24761E-16</v>
      </c>
      <c r="K822" s="5">
        <v>2.4952199999999999E-16</v>
      </c>
      <c r="L822" s="4">
        <v>1.24761E-16</v>
      </c>
      <c r="O822" s="5">
        <v>2.4952199999999999E-16</v>
      </c>
      <c r="P822" s="5"/>
      <c r="Q822" s="5">
        <v>1.24761E-16</v>
      </c>
      <c r="R822" s="4">
        <v>1.24761E-16</v>
      </c>
      <c r="U822" s="5">
        <v>2.3704599999999999E-15</v>
      </c>
      <c r="V822" s="5"/>
      <c r="AA822" s="5"/>
      <c r="AB822" s="5"/>
      <c r="AC822" s="4">
        <v>1.24761E-16</v>
      </c>
      <c r="AG822" s="5"/>
      <c r="AM822" s="5"/>
      <c r="AS822" s="5">
        <v>2.4952199999999999E-16</v>
      </c>
      <c r="AU822" s="4">
        <v>5.1152E-15</v>
      </c>
      <c r="AV822" s="4">
        <v>2.4952199999999999E-16</v>
      </c>
    </row>
    <row r="823" spans="3:48" x14ac:dyDescent="0.25">
      <c r="C823" s="7">
        <v>1.4597E-14</v>
      </c>
      <c r="D823" s="5">
        <v>2.0074100000000001E-13</v>
      </c>
      <c r="E823" s="5">
        <v>2.0498199999999999E-13</v>
      </c>
      <c r="F823" s="4">
        <v>2.0909899999999999E-13</v>
      </c>
      <c r="I823" s="5">
        <v>4.6161599999999997E-15</v>
      </c>
      <c r="J823" s="5">
        <v>1.24761E-16</v>
      </c>
      <c r="K823" s="5">
        <v>2.4952199999999999E-16</v>
      </c>
      <c r="L823" s="4">
        <v>1.24761E-16</v>
      </c>
      <c r="O823" s="5">
        <v>2.4952199999999999E-16</v>
      </c>
      <c r="P823" s="5"/>
      <c r="Q823" s="5">
        <v>1.24761E-16</v>
      </c>
      <c r="R823" s="4">
        <v>1.24761E-16</v>
      </c>
      <c r="U823" s="5">
        <v>2.3704599999999999E-15</v>
      </c>
      <c r="V823" s="5"/>
      <c r="AA823" s="5"/>
      <c r="AB823" s="5"/>
      <c r="AC823" s="4">
        <v>1.24761E-16</v>
      </c>
      <c r="AG823" s="5"/>
      <c r="AM823" s="5"/>
      <c r="AS823" s="5">
        <v>2.4952199999999999E-16</v>
      </c>
      <c r="AU823" s="4">
        <v>2.8695000000000002E-15</v>
      </c>
      <c r="AV823" s="4">
        <v>2.4952199999999999E-16</v>
      </c>
    </row>
    <row r="824" spans="3:48" x14ac:dyDescent="0.25">
      <c r="C824" s="7">
        <v>1.4597E-14</v>
      </c>
      <c r="D824" s="5">
        <v>2.00616E-13</v>
      </c>
      <c r="E824" s="5">
        <v>2.04858E-13</v>
      </c>
      <c r="F824" s="4">
        <v>2.08725E-13</v>
      </c>
      <c r="I824" s="5">
        <v>4.6161599999999997E-15</v>
      </c>
      <c r="J824" s="5">
        <v>1.24761E-16</v>
      </c>
      <c r="K824" s="5">
        <v>2.4952199999999999E-16</v>
      </c>
      <c r="L824" s="4">
        <v>1.24761E-16</v>
      </c>
      <c r="O824" s="5">
        <v>2.4952199999999999E-16</v>
      </c>
      <c r="P824" s="5"/>
      <c r="Q824" s="5">
        <v>1.24761E-16</v>
      </c>
      <c r="U824" s="5">
        <v>2.2457000000000002E-15</v>
      </c>
      <c r="V824" s="5"/>
      <c r="AA824" s="5"/>
      <c r="AB824" s="5"/>
      <c r="AC824" s="4">
        <v>1.24761E-16</v>
      </c>
      <c r="AG824" s="5"/>
      <c r="AM824" s="5"/>
      <c r="AS824" s="5">
        <v>2.4952199999999999E-16</v>
      </c>
      <c r="AU824" s="4">
        <v>9.9808799999999998E-16</v>
      </c>
      <c r="AV824" s="4">
        <v>2.4952199999999999E-16</v>
      </c>
    </row>
    <row r="825" spans="3:48" x14ac:dyDescent="0.25">
      <c r="C825" s="7">
        <v>1.44723E-14</v>
      </c>
      <c r="D825" s="5">
        <v>2.0049100000000001E-13</v>
      </c>
      <c r="E825" s="5">
        <v>2.0336E-13</v>
      </c>
      <c r="F825" s="4">
        <v>2.07727E-13</v>
      </c>
      <c r="I825" s="5">
        <v>4.6161599999999997E-15</v>
      </c>
      <c r="J825" s="5">
        <v>1.24761E-16</v>
      </c>
      <c r="K825" s="5">
        <v>2.4952199999999999E-16</v>
      </c>
      <c r="L825" s="4">
        <v>1.24761E-16</v>
      </c>
      <c r="O825" s="5">
        <v>2.4952199999999999E-16</v>
      </c>
      <c r="P825" s="5"/>
      <c r="Q825" s="5">
        <v>1.24761E-16</v>
      </c>
      <c r="U825" s="5">
        <v>2.2457000000000002E-15</v>
      </c>
      <c r="V825" s="5"/>
      <c r="AA825" s="5"/>
      <c r="AB825" s="5"/>
      <c r="AC825" s="4">
        <v>1.24761E-16</v>
      </c>
      <c r="AG825" s="5"/>
      <c r="AM825" s="5"/>
      <c r="AS825" s="5">
        <v>2.4952199999999999E-16</v>
      </c>
      <c r="AU825" s="4">
        <v>1.24761E-16</v>
      </c>
      <c r="AV825" s="4">
        <v>2.4952199999999999E-16</v>
      </c>
    </row>
    <row r="826" spans="3:48" x14ac:dyDescent="0.25">
      <c r="C826" s="7">
        <v>1.4347499999999999E-14</v>
      </c>
      <c r="D826" s="5">
        <v>2.00366E-13</v>
      </c>
      <c r="E826" s="5">
        <v>2.01364E-13</v>
      </c>
      <c r="F826" s="4">
        <v>2.06729E-13</v>
      </c>
      <c r="I826" s="5">
        <v>4.6161599999999997E-15</v>
      </c>
      <c r="J826" s="5">
        <v>1.24761E-16</v>
      </c>
      <c r="K826" s="5">
        <v>2.4952199999999999E-16</v>
      </c>
      <c r="O826" s="5">
        <v>2.4952199999999999E-16</v>
      </c>
      <c r="P826" s="5"/>
      <c r="Q826" s="5">
        <v>1.24761E-16</v>
      </c>
      <c r="U826" s="5">
        <v>2.2457000000000002E-15</v>
      </c>
      <c r="V826" s="5"/>
      <c r="AA826" s="5"/>
      <c r="AB826" s="5"/>
      <c r="AC826" s="4">
        <v>1.24761E-16</v>
      </c>
      <c r="AG826" s="5"/>
      <c r="AM826" s="5"/>
      <c r="AS826" s="5">
        <v>2.4952199999999999E-16</v>
      </c>
      <c r="AU826" s="4">
        <v>6.2380499999999999E-16</v>
      </c>
      <c r="AV826" s="4">
        <v>2.4952199999999999E-16</v>
      </c>
    </row>
    <row r="827" spans="3:48" x14ac:dyDescent="0.25">
      <c r="C827" s="7">
        <v>1.4347499999999999E-14</v>
      </c>
      <c r="D827" s="5">
        <v>1.9936799999999999E-13</v>
      </c>
      <c r="E827" s="5">
        <v>2.0099000000000001E-13</v>
      </c>
      <c r="F827" s="4">
        <v>2.0660400000000001E-13</v>
      </c>
      <c r="I827" s="5">
        <v>4.6161599999999997E-15</v>
      </c>
      <c r="J827" s="5">
        <v>1.24761E-16</v>
      </c>
      <c r="K827" s="5">
        <v>2.4952199999999999E-16</v>
      </c>
      <c r="O827" s="5">
        <v>2.4952199999999999E-16</v>
      </c>
      <c r="P827" s="5"/>
      <c r="Q827" s="5">
        <v>1.24761E-16</v>
      </c>
      <c r="U827" s="5">
        <v>2.2457000000000002E-15</v>
      </c>
      <c r="V827" s="5"/>
      <c r="AA827" s="5"/>
      <c r="AB827" s="5"/>
      <c r="AC827" s="4">
        <v>1.24761E-16</v>
      </c>
      <c r="AG827" s="5"/>
      <c r="AM827" s="5"/>
      <c r="AS827" s="5">
        <v>2.4952199999999999E-16</v>
      </c>
      <c r="AU827" s="4">
        <v>8.9827899999999994E-15</v>
      </c>
      <c r="AV827" s="4">
        <v>2.4952199999999999E-16</v>
      </c>
    </row>
    <row r="828" spans="3:48" x14ac:dyDescent="0.25">
      <c r="C828" s="7">
        <v>1.4347499999999999E-14</v>
      </c>
      <c r="D828" s="5">
        <v>1.9924300000000001E-13</v>
      </c>
      <c r="E828" s="5">
        <v>2.0024100000000001E-13</v>
      </c>
      <c r="F828" s="4">
        <v>2.0660400000000001E-13</v>
      </c>
      <c r="I828" s="5">
        <v>4.6161599999999997E-15</v>
      </c>
      <c r="J828" s="5">
        <v>1.24761E-16</v>
      </c>
      <c r="K828" s="5">
        <v>2.4952199999999999E-16</v>
      </c>
      <c r="O828" s="5">
        <v>2.4952199999999999E-16</v>
      </c>
      <c r="P828" s="5"/>
      <c r="Q828" s="5">
        <v>1.24761E-16</v>
      </c>
      <c r="U828" s="5">
        <v>2.2457000000000002E-15</v>
      </c>
      <c r="V828" s="5"/>
      <c r="AA828" s="5"/>
      <c r="AB828" s="5"/>
      <c r="AC828" s="4">
        <v>1.24761E-16</v>
      </c>
      <c r="AG828" s="5"/>
      <c r="AM828" s="5"/>
      <c r="AS828" s="5">
        <v>2.4952199999999999E-16</v>
      </c>
      <c r="AU828" s="4">
        <v>8.7332699999999998E-16</v>
      </c>
      <c r="AV828" s="4">
        <v>2.4952199999999999E-16</v>
      </c>
    </row>
    <row r="829" spans="3:48" x14ac:dyDescent="0.25">
      <c r="C829" s="7">
        <v>1.4347499999999999E-14</v>
      </c>
      <c r="D829" s="5">
        <v>1.9899400000000001E-13</v>
      </c>
      <c r="E829" s="5">
        <v>2.0011699999999999E-13</v>
      </c>
      <c r="F829" s="4">
        <v>2.0598E-13</v>
      </c>
      <c r="I829" s="5">
        <v>4.6161599999999997E-15</v>
      </c>
      <c r="J829" s="5">
        <v>1.24761E-16</v>
      </c>
      <c r="K829" s="5">
        <v>2.4952199999999999E-16</v>
      </c>
      <c r="O829" s="5">
        <v>2.4952199999999999E-16</v>
      </c>
      <c r="P829" s="5"/>
      <c r="Q829" s="5">
        <v>1.24761E-16</v>
      </c>
      <c r="U829" s="5">
        <v>2.2457000000000002E-15</v>
      </c>
      <c r="V829" s="5"/>
      <c r="AA829" s="5"/>
      <c r="AB829" s="5"/>
      <c r="AC829" s="4">
        <v>1.24761E-16</v>
      </c>
      <c r="AG829" s="5"/>
      <c r="AM829" s="5"/>
      <c r="AS829" s="5">
        <v>2.4952199999999999E-16</v>
      </c>
      <c r="AU829" s="4">
        <v>2.4952199999999999E-16</v>
      </c>
      <c r="AV829" s="4">
        <v>2.4952199999999999E-16</v>
      </c>
    </row>
    <row r="830" spans="3:48" x14ac:dyDescent="0.25">
      <c r="C830" s="7">
        <v>1.4098E-14</v>
      </c>
      <c r="D830" s="5">
        <v>1.9787099999999999E-13</v>
      </c>
      <c r="E830" s="5">
        <v>1.9961799999999999E-13</v>
      </c>
      <c r="F830" s="4">
        <v>2.0598E-13</v>
      </c>
      <c r="I830" s="5">
        <v>4.6161599999999997E-15</v>
      </c>
      <c r="J830" s="5">
        <v>1.24761E-16</v>
      </c>
      <c r="K830" s="5">
        <v>2.4952199999999999E-16</v>
      </c>
      <c r="O830" s="5">
        <v>2.4952199999999999E-16</v>
      </c>
      <c r="P830" s="5"/>
      <c r="Q830" s="5">
        <v>1.24761E-16</v>
      </c>
      <c r="U830" s="5">
        <v>2.2457000000000002E-15</v>
      </c>
      <c r="V830" s="5"/>
      <c r="AA830" s="5"/>
      <c r="AB830" s="5"/>
      <c r="AC830" s="4">
        <v>1.24761E-16</v>
      </c>
      <c r="AG830" s="5"/>
      <c r="AM830" s="5"/>
      <c r="AS830" s="5">
        <v>2.4952199999999999E-16</v>
      </c>
      <c r="AU830" s="4">
        <v>3.7428299999999999E-16</v>
      </c>
      <c r="AV830" s="4">
        <v>2.4952199999999999E-16</v>
      </c>
    </row>
    <row r="831" spans="3:48" x14ac:dyDescent="0.25">
      <c r="C831" s="7">
        <v>1.4098E-14</v>
      </c>
      <c r="D831" s="5">
        <v>1.97746E-13</v>
      </c>
      <c r="E831" s="5">
        <v>1.9936799999999999E-13</v>
      </c>
      <c r="F831" s="4">
        <v>2.0535700000000001E-13</v>
      </c>
      <c r="I831" s="5">
        <v>4.6161599999999997E-15</v>
      </c>
      <c r="J831" s="5">
        <v>1.24761E-16</v>
      </c>
      <c r="K831" s="5">
        <v>2.4952199999999999E-16</v>
      </c>
      <c r="O831" s="5">
        <v>2.4952199999999999E-16</v>
      </c>
      <c r="P831" s="5"/>
      <c r="Q831" s="5">
        <v>1.24761E-16</v>
      </c>
      <c r="U831" s="5">
        <v>2.2457000000000002E-15</v>
      </c>
      <c r="V831" s="5"/>
      <c r="AA831" s="5"/>
      <c r="AB831" s="5"/>
      <c r="AC831" s="4">
        <v>1.24761E-16</v>
      </c>
      <c r="AG831" s="5"/>
      <c r="AM831" s="5"/>
      <c r="AS831" s="5">
        <v>2.4952199999999999E-16</v>
      </c>
      <c r="AU831" s="4">
        <v>1.24761E-15</v>
      </c>
      <c r="AV831" s="4">
        <v>2.4952199999999999E-16</v>
      </c>
    </row>
    <row r="832" spans="3:48" x14ac:dyDescent="0.25">
      <c r="C832" s="7">
        <v>1.4098E-14</v>
      </c>
      <c r="D832" s="5">
        <v>1.9762099999999999E-13</v>
      </c>
      <c r="E832" s="5">
        <v>1.9836999999999999E-13</v>
      </c>
      <c r="F832" s="4">
        <v>2.0535700000000001E-13</v>
      </c>
      <c r="I832" s="5">
        <v>4.6161599999999997E-15</v>
      </c>
      <c r="J832" s="5">
        <v>1.24761E-16</v>
      </c>
      <c r="K832" s="5">
        <v>2.4952199999999999E-16</v>
      </c>
      <c r="O832" s="5">
        <v>2.4952199999999999E-16</v>
      </c>
      <c r="P832" s="5"/>
      <c r="Q832" s="5">
        <v>1.24761E-16</v>
      </c>
      <c r="U832" s="5">
        <v>2.2457000000000002E-15</v>
      </c>
      <c r="V832" s="5"/>
      <c r="AA832" s="5"/>
      <c r="AB832" s="5"/>
      <c r="AC832" s="4">
        <v>1.24761E-16</v>
      </c>
      <c r="AG832" s="5"/>
      <c r="AM832" s="5"/>
      <c r="AS832" s="5">
        <v>2.4952199999999999E-16</v>
      </c>
      <c r="AU832" s="4">
        <v>1.24761E-16</v>
      </c>
      <c r="AV832" s="4">
        <v>2.4952199999999999E-16</v>
      </c>
    </row>
    <row r="833" spans="3:48" x14ac:dyDescent="0.25">
      <c r="C833" s="7">
        <v>1.3973200000000001E-14</v>
      </c>
      <c r="D833" s="5">
        <v>1.9712199999999999E-13</v>
      </c>
      <c r="E833" s="5">
        <v>1.97996E-13</v>
      </c>
      <c r="F833" s="4">
        <v>2.04359E-13</v>
      </c>
      <c r="I833" s="5">
        <v>4.4913899999999998E-15</v>
      </c>
      <c r="J833" s="5">
        <v>1.24761E-16</v>
      </c>
      <c r="K833" s="5">
        <v>2.4952199999999999E-16</v>
      </c>
      <c r="O833" s="5">
        <v>2.4952199999999999E-16</v>
      </c>
      <c r="P833" s="5"/>
      <c r="Q833" s="5">
        <v>1.24761E-16</v>
      </c>
      <c r="U833" s="5">
        <v>2.2457000000000002E-15</v>
      </c>
      <c r="V833" s="5"/>
      <c r="AA833" s="5"/>
      <c r="AB833" s="5"/>
      <c r="AC833" s="4">
        <v>1.24761E-16</v>
      </c>
      <c r="AG833" s="5"/>
      <c r="AM833" s="5"/>
      <c r="AS833" s="5">
        <v>2.4952199999999999E-16</v>
      </c>
      <c r="AU833" s="4">
        <v>7.4856599999999998E-16</v>
      </c>
      <c r="AV833" s="4">
        <v>2.4952199999999999E-16</v>
      </c>
    </row>
    <row r="834" spans="3:48" x14ac:dyDescent="0.25">
      <c r="C834" s="7">
        <v>1.3973200000000001E-14</v>
      </c>
      <c r="D834" s="5">
        <v>1.9375399999999999E-13</v>
      </c>
      <c r="E834" s="5">
        <v>1.97996E-13</v>
      </c>
      <c r="F834" s="4">
        <v>2.0386E-13</v>
      </c>
      <c r="I834" s="5">
        <v>4.4913899999999998E-15</v>
      </c>
      <c r="J834" s="5">
        <v>1.24761E-16</v>
      </c>
      <c r="K834" s="5">
        <v>2.4952199999999999E-16</v>
      </c>
      <c r="O834" s="5">
        <v>2.4952199999999999E-16</v>
      </c>
      <c r="P834" s="5"/>
      <c r="Q834" s="5">
        <v>1.24761E-16</v>
      </c>
      <c r="U834" s="5">
        <v>2.2457000000000002E-15</v>
      </c>
      <c r="V834" s="5"/>
      <c r="AA834" s="5"/>
      <c r="AB834" s="5"/>
      <c r="AC834" s="4">
        <v>1.24761E-16</v>
      </c>
      <c r="AG834" s="5"/>
      <c r="AM834" s="5"/>
      <c r="AS834" s="5">
        <v>2.4952199999999999E-16</v>
      </c>
      <c r="AU834" s="4">
        <v>2.4952199999999999E-16</v>
      </c>
      <c r="AV834" s="4">
        <v>2.4952199999999999E-16</v>
      </c>
    </row>
    <row r="835" spans="3:48" x14ac:dyDescent="0.25">
      <c r="C835" s="7">
        <v>1.3848499999999999E-14</v>
      </c>
      <c r="D835" s="5">
        <v>1.9362900000000001E-13</v>
      </c>
      <c r="E835" s="5">
        <v>1.9762099999999999E-13</v>
      </c>
      <c r="F835" s="4">
        <v>2.0336E-13</v>
      </c>
      <c r="I835" s="5">
        <v>4.4913899999999998E-15</v>
      </c>
      <c r="J835" s="5">
        <v>1.24761E-16</v>
      </c>
      <c r="K835" s="5">
        <v>2.4952199999999999E-16</v>
      </c>
      <c r="O835" s="5">
        <v>2.4952199999999999E-16</v>
      </c>
      <c r="P835" s="5"/>
      <c r="Q835" s="5">
        <v>1.24761E-16</v>
      </c>
      <c r="U835" s="5">
        <v>2.1209400000000001E-15</v>
      </c>
      <c r="V835" s="5"/>
      <c r="AA835" s="5"/>
      <c r="AB835" s="5"/>
      <c r="AC835" s="4">
        <v>1.24761E-16</v>
      </c>
      <c r="AG835" s="5"/>
      <c r="AM835" s="5"/>
      <c r="AS835" s="5">
        <v>2.4952199999999999E-16</v>
      </c>
      <c r="AU835" s="4">
        <v>1.62189E-15</v>
      </c>
      <c r="AV835" s="4">
        <v>2.4952199999999999E-16</v>
      </c>
    </row>
    <row r="836" spans="3:48" x14ac:dyDescent="0.25">
      <c r="C836" s="7">
        <v>1.3848499999999999E-14</v>
      </c>
      <c r="D836" s="5">
        <v>1.9338000000000001E-13</v>
      </c>
      <c r="E836" s="5">
        <v>1.96998E-13</v>
      </c>
      <c r="F836" s="4">
        <v>2.0298599999999999E-13</v>
      </c>
      <c r="I836" s="5">
        <v>4.4913899999999998E-15</v>
      </c>
      <c r="J836" s="5">
        <v>1.24761E-16</v>
      </c>
      <c r="K836" s="5">
        <v>2.4952199999999999E-16</v>
      </c>
      <c r="O836" s="5">
        <v>2.4952199999999999E-16</v>
      </c>
      <c r="P836" s="5"/>
      <c r="Q836" s="5">
        <v>1.24761E-16</v>
      </c>
      <c r="U836" s="5">
        <v>2.1209400000000001E-15</v>
      </c>
      <c r="V836" s="5"/>
      <c r="AA836" s="5"/>
      <c r="AB836" s="5"/>
      <c r="AC836" s="4">
        <v>1.24761E-16</v>
      </c>
      <c r="AG836" s="5"/>
      <c r="AM836" s="5"/>
      <c r="AS836" s="5">
        <v>2.4952199999999999E-16</v>
      </c>
      <c r="AU836" s="4">
        <v>2.2457000000000002E-15</v>
      </c>
      <c r="AV836" s="4">
        <v>2.4952199999999999E-16</v>
      </c>
    </row>
    <row r="837" spans="3:48" x14ac:dyDescent="0.25">
      <c r="C837" s="7">
        <v>1.37237E-14</v>
      </c>
      <c r="D837" s="5">
        <v>1.92881E-13</v>
      </c>
      <c r="E837" s="5">
        <v>1.96748E-13</v>
      </c>
      <c r="F837" s="4">
        <v>2.02861E-13</v>
      </c>
      <c r="I837" s="5">
        <v>4.4913899999999998E-15</v>
      </c>
      <c r="J837" s="5">
        <v>1.24761E-16</v>
      </c>
      <c r="K837" s="5">
        <v>2.4952199999999999E-16</v>
      </c>
      <c r="O837" s="5">
        <v>2.4952199999999999E-16</v>
      </c>
      <c r="P837" s="5"/>
      <c r="Q837" s="5">
        <v>1.24761E-16</v>
      </c>
      <c r="U837" s="5">
        <v>2.1209400000000001E-15</v>
      </c>
      <c r="V837" s="5"/>
      <c r="AA837" s="5"/>
      <c r="AB837" s="5"/>
      <c r="AC837" s="4">
        <v>1.24761E-16</v>
      </c>
      <c r="AG837" s="5"/>
      <c r="AM837" s="5"/>
      <c r="AS837" s="5">
        <v>1.24761E-16</v>
      </c>
      <c r="AU837" s="4">
        <v>2.8695000000000002E-15</v>
      </c>
      <c r="AV837" s="4">
        <v>2.4952199999999999E-16</v>
      </c>
    </row>
    <row r="838" spans="3:48" x14ac:dyDescent="0.25">
      <c r="C838" s="7">
        <v>1.37237E-14</v>
      </c>
      <c r="D838" s="5">
        <v>1.9225699999999999E-13</v>
      </c>
      <c r="E838" s="5">
        <v>1.9662299999999999E-13</v>
      </c>
      <c r="F838" s="4">
        <v>2.02861E-13</v>
      </c>
      <c r="I838" s="5">
        <v>4.4913899999999998E-15</v>
      </c>
      <c r="J838" s="5">
        <v>1.24761E-16</v>
      </c>
      <c r="K838" s="5">
        <v>2.4952199999999999E-16</v>
      </c>
      <c r="O838" s="5">
        <v>2.4952199999999999E-16</v>
      </c>
      <c r="P838" s="5"/>
      <c r="Q838" s="5">
        <v>1.24761E-16</v>
      </c>
      <c r="U838" s="5">
        <v>2.1209400000000001E-15</v>
      </c>
      <c r="V838" s="5"/>
      <c r="AA838" s="5"/>
      <c r="AB838" s="5"/>
      <c r="AC838" s="4">
        <v>1.24761E-16</v>
      </c>
      <c r="AG838" s="5"/>
      <c r="AM838" s="5"/>
      <c r="AS838" s="5">
        <v>1.24761E-16</v>
      </c>
      <c r="AU838" s="4">
        <v>4.4914000000000004E-15</v>
      </c>
      <c r="AV838" s="4">
        <v>2.4952199999999999E-16</v>
      </c>
    </row>
    <row r="839" spans="3:48" x14ac:dyDescent="0.25">
      <c r="C839" s="7">
        <v>1.37237E-14</v>
      </c>
      <c r="D839" s="5">
        <v>1.91882E-13</v>
      </c>
      <c r="E839" s="5">
        <v>1.95251E-13</v>
      </c>
      <c r="F839" s="4">
        <v>2.0248699999999999E-13</v>
      </c>
      <c r="I839" s="5">
        <v>4.4913899999999998E-15</v>
      </c>
      <c r="J839" s="5">
        <v>1.24761E-16</v>
      </c>
      <c r="K839" s="5">
        <v>2.4952199999999999E-16</v>
      </c>
      <c r="O839" s="5">
        <v>2.4952199999999999E-16</v>
      </c>
      <c r="P839" s="5"/>
      <c r="Q839" s="5">
        <v>1.24761E-16</v>
      </c>
      <c r="U839" s="5">
        <v>2.1209400000000001E-15</v>
      </c>
      <c r="V839" s="5"/>
      <c r="AA839" s="5"/>
      <c r="AB839" s="5"/>
      <c r="AC839" s="4">
        <v>1.24761E-16</v>
      </c>
      <c r="AG839" s="5"/>
      <c r="AM839" s="5"/>
      <c r="AS839" s="5">
        <v>1.24761E-16</v>
      </c>
      <c r="AU839" s="4">
        <v>1.24761E-16</v>
      </c>
      <c r="AV839" s="4">
        <v>2.4952199999999999E-16</v>
      </c>
    </row>
    <row r="840" spans="3:48" x14ac:dyDescent="0.25">
      <c r="C840" s="7">
        <v>1.3599E-14</v>
      </c>
      <c r="D840" s="5">
        <v>1.9175799999999999E-13</v>
      </c>
      <c r="E840" s="5">
        <v>1.94752E-13</v>
      </c>
      <c r="F840" s="4">
        <v>2.0148900000000001E-13</v>
      </c>
      <c r="I840" s="5">
        <v>4.4913899999999998E-15</v>
      </c>
      <c r="J840" s="5">
        <v>1.24761E-16</v>
      </c>
      <c r="K840" s="5">
        <v>2.4952199999999999E-16</v>
      </c>
      <c r="O840" s="5">
        <v>2.4952199999999999E-16</v>
      </c>
      <c r="P840" s="5"/>
      <c r="Q840" s="5">
        <v>1.24761E-16</v>
      </c>
      <c r="U840" s="5">
        <v>2.1209400000000001E-15</v>
      </c>
      <c r="V840" s="5"/>
      <c r="AA840" s="5"/>
      <c r="AB840" s="5"/>
      <c r="AC840" s="4">
        <v>1.24761E-16</v>
      </c>
      <c r="AG840" s="5"/>
      <c r="AM840" s="5"/>
      <c r="AS840" s="5">
        <v>1.24761E-16</v>
      </c>
      <c r="AU840" s="4">
        <v>5.3647200000000001E-15</v>
      </c>
      <c r="AV840" s="4">
        <v>2.4952199999999999E-16</v>
      </c>
    </row>
    <row r="841" spans="3:48" x14ac:dyDescent="0.25">
      <c r="C841" s="7">
        <v>1.3599E-14</v>
      </c>
      <c r="D841" s="5">
        <v>1.9175799999999999E-13</v>
      </c>
      <c r="E841" s="5">
        <v>1.9412800000000001E-13</v>
      </c>
      <c r="F841" s="4">
        <v>2.01364E-13</v>
      </c>
      <c r="I841" s="5">
        <v>4.4913899999999998E-15</v>
      </c>
      <c r="J841" s="5">
        <v>1.24761E-16</v>
      </c>
      <c r="K841" s="5">
        <v>2.4952199999999999E-16</v>
      </c>
      <c r="O841" s="5">
        <v>2.4952199999999999E-16</v>
      </c>
      <c r="P841" s="5"/>
      <c r="Q841" s="5">
        <v>1.24761E-16</v>
      </c>
      <c r="U841" s="5">
        <v>2.1209400000000001E-15</v>
      </c>
      <c r="V841" s="5"/>
      <c r="AA841" s="5"/>
      <c r="AG841" s="5"/>
      <c r="AM841" s="5"/>
      <c r="AS841" s="5">
        <v>1.24761E-16</v>
      </c>
      <c r="AU841" s="4">
        <v>2.4952199999999999E-16</v>
      </c>
      <c r="AV841" s="4">
        <v>2.4952199999999999E-16</v>
      </c>
    </row>
    <row r="842" spans="3:48" x14ac:dyDescent="0.25">
      <c r="C842" s="7">
        <v>1.3599E-14</v>
      </c>
      <c r="D842" s="5">
        <v>1.91633E-13</v>
      </c>
      <c r="E842" s="5">
        <v>1.9387900000000001E-13</v>
      </c>
      <c r="F842" s="4">
        <v>2.00616E-13</v>
      </c>
      <c r="I842" s="5">
        <v>4.3666299999999997E-15</v>
      </c>
      <c r="J842" s="5">
        <v>1.24761E-16</v>
      </c>
      <c r="K842" s="5">
        <v>2.4952199999999999E-16</v>
      </c>
      <c r="O842" s="5">
        <v>2.4952199999999999E-16</v>
      </c>
      <c r="P842" s="5"/>
      <c r="Q842" s="5">
        <v>1.24761E-16</v>
      </c>
      <c r="U842" s="5">
        <v>2.1209400000000001E-15</v>
      </c>
      <c r="V842" s="5"/>
      <c r="AA842" s="5"/>
      <c r="AG842" s="5"/>
      <c r="AM842" s="5"/>
      <c r="AS842" s="5">
        <v>1.24761E-16</v>
      </c>
      <c r="AU842" s="4">
        <v>3.61807E-15</v>
      </c>
      <c r="AV842" s="4">
        <v>2.4952199999999999E-16</v>
      </c>
    </row>
    <row r="843" spans="3:48" x14ac:dyDescent="0.25">
      <c r="C843" s="7">
        <v>1.3599E-14</v>
      </c>
      <c r="D843" s="5">
        <v>1.9125899999999999E-13</v>
      </c>
      <c r="E843" s="5">
        <v>1.92881E-13</v>
      </c>
      <c r="F843" s="4">
        <v>2.00366E-13</v>
      </c>
      <c r="I843" s="5">
        <v>4.3666299999999997E-15</v>
      </c>
      <c r="J843" s="5">
        <v>1.24761E-16</v>
      </c>
      <c r="K843" s="5">
        <v>2.4952199999999999E-16</v>
      </c>
      <c r="O843" s="5">
        <v>2.4952199999999999E-16</v>
      </c>
      <c r="P843" s="5"/>
      <c r="Q843" s="5">
        <v>1.24761E-16</v>
      </c>
      <c r="U843" s="5">
        <v>2.1209400000000001E-15</v>
      </c>
      <c r="V843" s="5"/>
      <c r="AA843" s="5"/>
      <c r="AG843" s="5"/>
      <c r="AM843" s="5"/>
      <c r="AS843" s="5">
        <v>1.24761E-16</v>
      </c>
      <c r="AU843" s="4">
        <v>1.24761E-16</v>
      </c>
      <c r="AV843" s="4">
        <v>2.4952199999999999E-16</v>
      </c>
    </row>
    <row r="844" spans="3:48" x14ac:dyDescent="0.25">
      <c r="C844" s="7">
        <v>1.34742E-14</v>
      </c>
      <c r="D844" s="5">
        <v>1.9076000000000001E-13</v>
      </c>
      <c r="E844" s="5">
        <v>1.92631E-13</v>
      </c>
      <c r="F844" s="4">
        <v>1.97497E-13</v>
      </c>
      <c r="I844" s="5">
        <v>4.3666299999999997E-15</v>
      </c>
      <c r="J844" s="5">
        <v>1.24761E-16</v>
      </c>
      <c r="K844" s="5">
        <v>2.4952199999999999E-16</v>
      </c>
      <c r="O844" s="5">
        <v>2.4952199999999999E-16</v>
      </c>
      <c r="P844" s="5"/>
      <c r="Q844" s="5">
        <v>1.24761E-16</v>
      </c>
      <c r="U844" s="5">
        <v>2.1209400000000001E-15</v>
      </c>
      <c r="V844" s="5"/>
      <c r="AA844" s="5"/>
      <c r="AG844" s="5"/>
      <c r="AM844" s="5"/>
      <c r="AS844" s="4">
        <v>1.24761E-16</v>
      </c>
      <c r="AU844" s="4">
        <v>1.2975100000000001E-14</v>
      </c>
      <c r="AV844" s="4">
        <v>2.4952199999999999E-16</v>
      </c>
    </row>
    <row r="845" spans="3:48" x14ac:dyDescent="0.25">
      <c r="C845" s="7">
        <v>1.33494E-14</v>
      </c>
      <c r="D845" s="5">
        <v>1.89886E-13</v>
      </c>
      <c r="E845" s="5">
        <v>1.9200699999999999E-13</v>
      </c>
      <c r="F845" s="4">
        <v>1.97247E-13</v>
      </c>
      <c r="I845" s="5">
        <v>4.3666299999999997E-15</v>
      </c>
      <c r="J845" s="5">
        <v>1.24761E-16</v>
      </c>
      <c r="K845" s="5">
        <v>2.4952199999999999E-16</v>
      </c>
      <c r="O845" s="5">
        <v>2.4952199999999999E-16</v>
      </c>
      <c r="P845" s="5"/>
      <c r="Q845" s="5">
        <v>1.24761E-16</v>
      </c>
      <c r="U845" s="5">
        <v>2.1209400000000001E-15</v>
      </c>
      <c r="V845" s="5"/>
      <c r="AA845" s="5"/>
      <c r="AG845" s="5"/>
      <c r="AM845" s="5"/>
      <c r="AS845" s="4">
        <v>1.24761E-16</v>
      </c>
      <c r="AU845" s="4">
        <v>8.7332699999999998E-16</v>
      </c>
      <c r="AV845" s="4">
        <v>2.4952199999999999E-16</v>
      </c>
    </row>
    <row r="846" spans="3:48" x14ac:dyDescent="0.25">
      <c r="C846" s="7">
        <v>1.33494E-14</v>
      </c>
      <c r="D846" s="5">
        <v>1.8813999999999999E-13</v>
      </c>
      <c r="E846" s="5">
        <v>1.90385E-13</v>
      </c>
      <c r="F846" s="4">
        <v>1.9637400000000001E-13</v>
      </c>
      <c r="I846" s="5">
        <v>4.3666299999999997E-15</v>
      </c>
      <c r="J846" s="5">
        <v>1.24761E-16</v>
      </c>
      <c r="K846" s="5">
        <v>2.4952199999999999E-16</v>
      </c>
      <c r="O846" s="5">
        <v>2.4952199999999999E-16</v>
      </c>
      <c r="P846" s="5"/>
      <c r="Q846" s="5">
        <v>1.24761E-16</v>
      </c>
      <c r="U846" s="5">
        <v>1.99618E-15</v>
      </c>
      <c r="V846" s="5"/>
      <c r="AA846" s="5"/>
      <c r="AG846" s="5"/>
      <c r="AM846" s="5"/>
      <c r="AS846" s="4">
        <v>1.24761E-16</v>
      </c>
      <c r="AU846" s="4">
        <v>4.9904399999999999E-16</v>
      </c>
      <c r="AV846" s="4">
        <v>2.4952199999999999E-16</v>
      </c>
    </row>
    <row r="847" spans="3:48" x14ac:dyDescent="0.25">
      <c r="C847" s="7">
        <v>1.33494E-14</v>
      </c>
      <c r="D847" s="5">
        <v>1.8813999999999999E-13</v>
      </c>
      <c r="E847" s="5">
        <v>1.9001100000000001E-13</v>
      </c>
      <c r="F847" s="4">
        <v>1.9487700000000001E-13</v>
      </c>
      <c r="I847" s="5">
        <v>4.3666299999999997E-15</v>
      </c>
      <c r="J847" s="5">
        <v>1.24761E-16</v>
      </c>
      <c r="K847" s="5">
        <v>2.4952199999999999E-16</v>
      </c>
      <c r="O847" s="5">
        <v>2.4952199999999999E-16</v>
      </c>
      <c r="P847" s="5"/>
      <c r="Q847" s="5">
        <v>1.24761E-16</v>
      </c>
      <c r="U847" s="5">
        <v>1.99618E-15</v>
      </c>
      <c r="V847" s="5"/>
      <c r="AA847" s="5"/>
      <c r="AG847" s="5"/>
      <c r="AM847" s="5"/>
      <c r="AS847" s="4">
        <v>1.24761E-16</v>
      </c>
      <c r="AU847" s="4">
        <v>8.7332699999999998E-16</v>
      </c>
      <c r="AV847" s="4">
        <v>2.4952199999999999E-16</v>
      </c>
    </row>
    <row r="848" spans="3:48" x14ac:dyDescent="0.25">
      <c r="C848" s="7">
        <v>1.33494E-14</v>
      </c>
      <c r="D848" s="5">
        <v>1.8801500000000001E-13</v>
      </c>
      <c r="E848" s="5">
        <v>1.8876300000000001E-13</v>
      </c>
      <c r="F848" s="4">
        <v>1.94752E-13</v>
      </c>
      <c r="I848" s="5">
        <v>4.2418699999999996E-15</v>
      </c>
      <c r="J848" s="5">
        <v>1.24761E-16</v>
      </c>
      <c r="K848" s="5">
        <v>2.4952199999999999E-16</v>
      </c>
      <c r="O848" s="5">
        <v>2.4952199999999999E-16</v>
      </c>
      <c r="P848" s="5"/>
      <c r="Q848" s="5">
        <v>1.24761E-16</v>
      </c>
      <c r="U848" s="5">
        <v>1.99618E-15</v>
      </c>
      <c r="V848" s="5"/>
      <c r="AA848" s="5"/>
      <c r="AG848" s="5"/>
      <c r="AM848" s="5"/>
      <c r="AS848" s="4">
        <v>1.24761E-16</v>
      </c>
      <c r="AU848" s="4">
        <v>1.62189E-15</v>
      </c>
      <c r="AV848" s="4">
        <v>2.4952199999999999E-16</v>
      </c>
    </row>
    <row r="849" spans="3:48" x14ac:dyDescent="0.25">
      <c r="C849" s="7">
        <v>1.3224700000000001E-14</v>
      </c>
      <c r="D849" s="5">
        <v>1.8664299999999999E-13</v>
      </c>
      <c r="E849" s="5">
        <v>1.8764099999999999E-13</v>
      </c>
      <c r="F849" s="4">
        <v>1.9338000000000001E-13</v>
      </c>
      <c r="I849" s="5">
        <v>4.2418699999999996E-15</v>
      </c>
      <c r="J849" s="5">
        <v>1.24761E-16</v>
      </c>
      <c r="K849" s="5">
        <v>2.4952199999999999E-16</v>
      </c>
      <c r="O849" s="5">
        <v>2.4952199999999999E-16</v>
      </c>
      <c r="P849" s="5"/>
      <c r="Q849" s="5">
        <v>1.24761E-16</v>
      </c>
      <c r="U849" s="5">
        <v>1.99618E-15</v>
      </c>
      <c r="V849" s="5"/>
      <c r="AA849" s="5"/>
      <c r="AG849" s="5"/>
      <c r="AM849" s="5"/>
      <c r="AS849" s="4">
        <v>1.24761E-16</v>
      </c>
      <c r="AU849" s="4">
        <v>1.24761E-16</v>
      </c>
      <c r="AV849" s="4">
        <v>2.4952199999999999E-16</v>
      </c>
    </row>
    <row r="850" spans="3:48" x14ac:dyDescent="0.25">
      <c r="C850" s="7">
        <v>1.3224700000000001E-14</v>
      </c>
      <c r="D850" s="5">
        <v>1.8564399999999999E-13</v>
      </c>
      <c r="E850" s="5">
        <v>1.86268E-13</v>
      </c>
      <c r="F850" s="4">
        <v>1.91882E-13</v>
      </c>
      <c r="I850" s="5">
        <v>4.2418699999999996E-15</v>
      </c>
      <c r="J850" s="5">
        <v>1.24761E-16</v>
      </c>
      <c r="K850" s="5">
        <v>2.4952199999999999E-16</v>
      </c>
      <c r="O850" s="5">
        <v>2.4952199999999999E-16</v>
      </c>
      <c r="P850" s="5"/>
      <c r="Q850" s="5">
        <v>1.24761E-16</v>
      </c>
      <c r="U850" s="5">
        <v>1.99618E-15</v>
      </c>
      <c r="V850" s="5"/>
      <c r="AA850" s="5"/>
      <c r="AG850" s="5"/>
      <c r="AM850" s="5"/>
      <c r="AS850" s="4">
        <v>1.24761E-16</v>
      </c>
      <c r="AU850" s="4">
        <v>1.0105600000000001E-14</v>
      </c>
      <c r="AV850" s="4">
        <v>2.4952199999999999E-16</v>
      </c>
    </row>
    <row r="851" spans="3:48" x14ac:dyDescent="0.25">
      <c r="C851" s="7">
        <v>1.30999E-14</v>
      </c>
      <c r="D851" s="5">
        <v>1.84771E-13</v>
      </c>
      <c r="E851" s="5">
        <v>1.8614299999999999E-13</v>
      </c>
      <c r="F851" s="4">
        <v>1.9175799999999999E-13</v>
      </c>
      <c r="I851" s="5">
        <v>4.2418699999999996E-15</v>
      </c>
      <c r="J851" s="5">
        <v>1.24761E-16</v>
      </c>
      <c r="K851" s="5">
        <v>2.4952199999999999E-16</v>
      </c>
      <c r="O851" s="5">
        <v>2.4952199999999999E-16</v>
      </c>
      <c r="P851" s="5"/>
      <c r="Q851" s="5">
        <v>1.24761E-16</v>
      </c>
      <c r="U851" s="5">
        <v>1.99618E-15</v>
      </c>
      <c r="V851" s="5"/>
      <c r="AA851" s="5"/>
      <c r="AG851" s="5"/>
      <c r="AM851" s="5"/>
      <c r="AS851" s="4">
        <v>1.24761E-16</v>
      </c>
      <c r="AU851" s="4">
        <v>1.4222799999999999E-14</v>
      </c>
      <c r="AV851" s="4">
        <v>2.4952199999999999E-16</v>
      </c>
    </row>
    <row r="852" spans="3:48" x14ac:dyDescent="0.25">
      <c r="C852" s="7">
        <v>1.30999E-14</v>
      </c>
      <c r="D852" s="5">
        <v>1.84522E-13</v>
      </c>
      <c r="E852" s="5">
        <v>1.8614299999999999E-13</v>
      </c>
      <c r="F852" s="4">
        <v>1.9150799999999999E-13</v>
      </c>
      <c r="I852" s="5">
        <v>4.2418699999999996E-15</v>
      </c>
      <c r="J852" s="5">
        <v>1.24761E-16</v>
      </c>
      <c r="K852" s="4">
        <v>2.4952199999999999E-16</v>
      </c>
      <c r="O852" s="5">
        <v>2.4952199999999999E-16</v>
      </c>
      <c r="P852" s="5"/>
      <c r="Q852" s="5">
        <v>1.24761E-16</v>
      </c>
      <c r="U852" s="5">
        <v>1.99618E-15</v>
      </c>
      <c r="V852" s="5"/>
      <c r="AA852" s="5"/>
      <c r="AG852" s="5"/>
      <c r="AM852" s="5"/>
      <c r="AS852" s="4">
        <v>1.24761E-16</v>
      </c>
      <c r="AU852" s="4">
        <v>1.5844700000000001E-14</v>
      </c>
      <c r="AV852" s="4">
        <v>2.4952199999999999E-16</v>
      </c>
    </row>
    <row r="853" spans="3:48" x14ac:dyDescent="0.25">
      <c r="C853" s="7">
        <v>1.30999E-14</v>
      </c>
      <c r="D853" s="5">
        <v>1.84023E-13</v>
      </c>
      <c r="E853" s="5">
        <v>1.86019E-13</v>
      </c>
      <c r="F853" s="4">
        <v>1.9125899999999999E-13</v>
      </c>
      <c r="I853" s="5">
        <v>4.2418699999999996E-15</v>
      </c>
      <c r="J853" s="5">
        <v>1.24761E-16</v>
      </c>
      <c r="K853" s="4">
        <v>2.4952199999999999E-16</v>
      </c>
      <c r="O853" s="5">
        <v>2.4952199999999999E-16</v>
      </c>
      <c r="P853" s="5"/>
      <c r="Q853" s="5">
        <v>1.24761E-16</v>
      </c>
      <c r="U853" s="5">
        <v>1.99618E-15</v>
      </c>
      <c r="V853" s="5"/>
      <c r="AA853" s="5"/>
      <c r="AG853" s="5"/>
      <c r="AM853" s="5"/>
      <c r="AS853" s="4">
        <v>1.24761E-16</v>
      </c>
      <c r="AU853" s="4">
        <v>4.1545399999999999E-14</v>
      </c>
      <c r="AV853" s="4">
        <v>2.4952199999999999E-16</v>
      </c>
    </row>
    <row r="854" spans="3:48" x14ac:dyDescent="0.25">
      <c r="C854" s="7">
        <v>1.2975100000000001E-14</v>
      </c>
      <c r="D854" s="5">
        <v>1.84023E-13</v>
      </c>
      <c r="E854" s="5">
        <v>1.8564399999999999E-13</v>
      </c>
      <c r="F854" s="4">
        <v>1.91134E-13</v>
      </c>
      <c r="I854" s="5">
        <v>4.2418699999999996E-15</v>
      </c>
      <c r="J854" s="5">
        <v>1.24761E-16</v>
      </c>
      <c r="K854" s="4">
        <v>2.4952199999999999E-16</v>
      </c>
      <c r="O854" s="5">
        <v>2.4952199999999999E-16</v>
      </c>
      <c r="P854" s="5"/>
      <c r="Q854" s="5">
        <v>1.24761E-16</v>
      </c>
      <c r="U854" s="5">
        <v>1.99618E-15</v>
      </c>
      <c r="V854" s="5"/>
      <c r="AA854" s="5"/>
      <c r="AG854" s="5"/>
      <c r="AM854" s="5"/>
      <c r="AS854" s="4">
        <v>1.24761E-16</v>
      </c>
      <c r="AU854" s="4">
        <v>1.19771E-14</v>
      </c>
      <c r="AV854" s="4">
        <v>1.24761E-16</v>
      </c>
    </row>
    <row r="855" spans="3:48" x14ac:dyDescent="0.25">
      <c r="C855" s="7">
        <v>1.2975100000000001E-14</v>
      </c>
      <c r="D855" s="5">
        <v>1.8389800000000001E-13</v>
      </c>
      <c r="E855" s="5">
        <v>1.84023E-13</v>
      </c>
      <c r="F855" s="4">
        <v>1.89637E-13</v>
      </c>
      <c r="I855" s="5">
        <v>4.2418699999999996E-15</v>
      </c>
      <c r="J855" s="5">
        <v>1.24761E-16</v>
      </c>
      <c r="K855" s="4">
        <v>2.4952199999999999E-16</v>
      </c>
      <c r="O855" s="5">
        <v>2.4952199999999999E-16</v>
      </c>
      <c r="P855" s="5"/>
      <c r="Q855" s="5">
        <v>1.24761E-16</v>
      </c>
      <c r="U855" s="5">
        <v>1.99618E-15</v>
      </c>
      <c r="V855" s="5"/>
      <c r="AA855" s="5"/>
      <c r="AG855" s="5"/>
      <c r="AM855" s="5"/>
      <c r="AS855" s="4">
        <v>1.24761E-16</v>
      </c>
      <c r="AU855" s="4">
        <v>2.8695000000000002E-15</v>
      </c>
      <c r="AV855" s="4">
        <v>1.24761E-16</v>
      </c>
    </row>
    <row r="856" spans="3:48" x14ac:dyDescent="0.25">
      <c r="C856" s="7">
        <v>1.2850400000000001E-14</v>
      </c>
      <c r="D856" s="5">
        <v>1.8389800000000001E-13</v>
      </c>
      <c r="E856" s="5">
        <v>1.8227599999999999E-13</v>
      </c>
      <c r="F856" s="4">
        <v>1.8826400000000001E-13</v>
      </c>
      <c r="I856" s="5">
        <v>4.2418699999999996E-15</v>
      </c>
      <c r="J856" s="5">
        <v>1.24761E-16</v>
      </c>
      <c r="K856" s="4">
        <v>2.4952199999999999E-16</v>
      </c>
      <c r="O856" s="5">
        <v>2.4952199999999999E-16</v>
      </c>
      <c r="P856" s="5"/>
      <c r="Q856" s="5">
        <v>1.24761E-16</v>
      </c>
      <c r="U856" s="5">
        <v>1.99618E-15</v>
      </c>
      <c r="V856" s="5"/>
      <c r="AA856" s="5"/>
      <c r="AG856" s="5"/>
      <c r="AM856" s="5"/>
      <c r="AS856" s="4">
        <v>1.24761E-16</v>
      </c>
      <c r="AU856" s="4">
        <v>1.24761E-15</v>
      </c>
      <c r="AV856" s="4">
        <v>1.24761E-16</v>
      </c>
    </row>
    <row r="857" spans="3:48" x14ac:dyDescent="0.25">
      <c r="C857" s="7">
        <v>1.2850400000000001E-14</v>
      </c>
      <c r="D857" s="5">
        <v>1.8364800000000001E-13</v>
      </c>
      <c r="E857" s="5">
        <v>1.80654E-13</v>
      </c>
      <c r="F857" s="4">
        <v>1.8639299999999999E-13</v>
      </c>
      <c r="I857" s="5">
        <v>4.2418699999999996E-15</v>
      </c>
      <c r="J857" s="5">
        <v>1.24761E-16</v>
      </c>
      <c r="K857" s="4">
        <v>2.4952199999999999E-16</v>
      </c>
      <c r="O857" s="5">
        <v>2.4952199999999999E-16</v>
      </c>
      <c r="P857" s="5"/>
      <c r="Q857" s="5">
        <v>1.24761E-16</v>
      </c>
      <c r="U857" s="5">
        <v>1.99618E-15</v>
      </c>
      <c r="V857" s="5"/>
      <c r="AA857" s="5"/>
      <c r="AG857" s="5"/>
      <c r="AM857" s="5"/>
      <c r="AS857" s="4">
        <v>1.24761E-16</v>
      </c>
      <c r="AU857" s="4">
        <v>6.2380499999999999E-16</v>
      </c>
      <c r="AV857" s="4">
        <v>1.24761E-16</v>
      </c>
    </row>
    <row r="858" spans="3:48" x14ac:dyDescent="0.25">
      <c r="C858" s="7">
        <v>1.27256E-14</v>
      </c>
      <c r="D858" s="5">
        <v>1.83523E-13</v>
      </c>
      <c r="E858" s="5">
        <v>1.8040400000000001E-13</v>
      </c>
      <c r="F858" s="4">
        <v>1.8639299999999999E-13</v>
      </c>
      <c r="I858" s="5">
        <v>4.2418699999999996E-15</v>
      </c>
      <c r="J858" s="5">
        <v>1.24761E-16</v>
      </c>
      <c r="K858" s="4">
        <v>2.4952199999999999E-16</v>
      </c>
      <c r="O858" s="5">
        <v>2.4952199999999999E-16</v>
      </c>
      <c r="P858" s="5"/>
      <c r="Q858" s="5">
        <v>1.24761E-16</v>
      </c>
      <c r="U858" s="5">
        <v>1.99618E-15</v>
      </c>
      <c r="V858" s="5"/>
      <c r="AA858" s="5"/>
      <c r="AG858" s="5"/>
      <c r="AM858" s="5"/>
      <c r="AS858" s="4">
        <v>1.24761E-16</v>
      </c>
      <c r="AU858" s="4">
        <v>2.4952199999999999E-16</v>
      </c>
      <c r="AV858" s="4">
        <v>1.24761E-16</v>
      </c>
    </row>
    <row r="859" spans="3:48" x14ac:dyDescent="0.25">
      <c r="C859" s="7">
        <v>1.27256E-14</v>
      </c>
      <c r="D859" s="5">
        <v>1.83024E-13</v>
      </c>
      <c r="E859" s="5">
        <v>1.8040400000000001E-13</v>
      </c>
      <c r="F859" s="4">
        <v>1.8614299999999999E-13</v>
      </c>
      <c r="I859" s="5">
        <v>4.2418699999999996E-15</v>
      </c>
      <c r="J859" s="5">
        <v>1.24761E-16</v>
      </c>
      <c r="K859" s="4">
        <v>2.4952199999999999E-16</v>
      </c>
      <c r="O859" s="5">
        <v>2.4952199999999999E-16</v>
      </c>
      <c r="P859" s="5"/>
      <c r="Q859" s="5">
        <v>1.24761E-16</v>
      </c>
      <c r="U859" s="5">
        <v>1.99618E-15</v>
      </c>
      <c r="V859" s="5"/>
      <c r="AA859" s="5"/>
      <c r="AG859" s="5"/>
      <c r="AM859" s="5"/>
      <c r="AS859" s="4">
        <v>1.24761E-16</v>
      </c>
      <c r="AU859" s="4">
        <v>3.7428299999999999E-16</v>
      </c>
      <c r="AV859" s="4">
        <v>1.24761E-16</v>
      </c>
    </row>
    <row r="860" spans="3:48" x14ac:dyDescent="0.25">
      <c r="C860" s="7">
        <v>1.26009E-14</v>
      </c>
      <c r="D860" s="5">
        <v>1.82775E-13</v>
      </c>
      <c r="E860" s="5">
        <v>1.8027999999999999E-13</v>
      </c>
      <c r="F860" s="4">
        <v>1.8589399999999999E-13</v>
      </c>
      <c r="I860" s="5">
        <v>4.1171100000000004E-15</v>
      </c>
      <c r="J860" s="5">
        <v>1.24761E-16</v>
      </c>
      <c r="K860" s="4">
        <v>2.4952199999999999E-16</v>
      </c>
      <c r="O860" s="5">
        <v>2.4952199999999999E-16</v>
      </c>
      <c r="P860" s="5"/>
      <c r="Q860" s="5">
        <v>1.24761E-16</v>
      </c>
      <c r="U860" s="5">
        <v>1.99618E-15</v>
      </c>
      <c r="V860" s="5"/>
      <c r="AA860" s="5"/>
      <c r="AG860" s="5"/>
      <c r="AM860" s="5"/>
      <c r="AS860" s="4">
        <v>1.24761E-16</v>
      </c>
      <c r="AU860" s="4">
        <v>4.9904399999999999E-16</v>
      </c>
      <c r="AV860" s="4">
        <v>1.24761E-16</v>
      </c>
    </row>
    <row r="861" spans="3:48" x14ac:dyDescent="0.25">
      <c r="C861" s="7">
        <v>1.26009E-14</v>
      </c>
      <c r="D861" s="5">
        <v>1.7953099999999999E-13</v>
      </c>
      <c r="E861" s="5">
        <v>1.8027999999999999E-13</v>
      </c>
      <c r="F861" s="4">
        <v>1.85769E-13</v>
      </c>
      <c r="I861" s="5">
        <v>4.1171100000000004E-15</v>
      </c>
      <c r="J861" s="5">
        <v>1.24761E-16</v>
      </c>
      <c r="K861" s="4">
        <v>2.4952199999999999E-16</v>
      </c>
      <c r="O861" s="5">
        <v>2.4952199999999999E-16</v>
      </c>
      <c r="P861" s="5"/>
      <c r="Q861" s="5">
        <v>1.24761E-16</v>
      </c>
      <c r="U861" s="5">
        <v>1.99618E-15</v>
      </c>
      <c r="V861" s="5"/>
      <c r="AA861" s="5"/>
      <c r="AG861" s="5"/>
      <c r="AM861" s="5"/>
      <c r="AS861" s="4">
        <v>1.24761E-16</v>
      </c>
      <c r="AU861" s="4">
        <v>1.24761E-16</v>
      </c>
      <c r="AV861" s="4">
        <v>1.24761E-16</v>
      </c>
    </row>
    <row r="862" spans="3:48" x14ac:dyDescent="0.25">
      <c r="C862" s="7">
        <v>1.26009E-14</v>
      </c>
      <c r="D862" s="5">
        <v>1.7953099999999999E-13</v>
      </c>
      <c r="E862" s="5">
        <v>1.80155E-13</v>
      </c>
      <c r="F862" s="4">
        <v>1.8564399999999999E-13</v>
      </c>
      <c r="I862" s="5">
        <v>4.1171100000000004E-15</v>
      </c>
      <c r="J862" s="5">
        <v>1.24761E-16</v>
      </c>
      <c r="K862" s="4">
        <v>2.4952199999999999E-16</v>
      </c>
      <c r="O862" s="5">
        <v>2.4952199999999999E-16</v>
      </c>
      <c r="P862" s="5"/>
      <c r="Q862" s="5">
        <v>1.24761E-16</v>
      </c>
      <c r="U862" s="5">
        <v>1.8714100000000002E-15</v>
      </c>
      <c r="V862" s="5"/>
      <c r="AA862" s="5"/>
      <c r="AG862" s="5"/>
      <c r="AM862" s="5"/>
      <c r="AS862" s="4">
        <v>1.24761E-16</v>
      </c>
      <c r="AU862" s="4">
        <v>3.7428299999999999E-16</v>
      </c>
      <c r="AV862" s="4">
        <v>1.24761E-16</v>
      </c>
    </row>
    <row r="863" spans="3:48" x14ac:dyDescent="0.25">
      <c r="C863" s="7">
        <v>1.26009E-14</v>
      </c>
      <c r="D863" s="5">
        <v>1.79406E-13</v>
      </c>
      <c r="E863" s="5">
        <v>1.7928199999999999E-13</v>
      </c>
      <c r="F863" s="4">
        <v>1.8552E-13</v>
      </c>
      <c r="I863" s="5">
        <v>4.1171100000000004E-15</v>
      </c>
      <c r="J863" s="5">
        <v>1.24761E-16</v>
      </c>
      <c r="K863" s="4">
        <v>2.4952199999999999E-16</v>
      </c>
      <c r="O863" s="5">
        <v>2.4952199999999999E-16</v>
      </c>
      <c r="P863" s="5"/>
      <c r="Q863" s="5">
        <v>1.24761E-16</v>
      </c>
      <c r="U863" s="5">
        <v>1.8714100000000002E-15</v>
      </c>
      <c r="V863" s="5"/>
      <c r="AA863" s="5"/>
      <c r="AG863" s="5"/>
      <c r="AM863" s="5"/>
      <c r="AS863" s="4">
        <v>1.24761E-16</v>
      </c>
      <c r="AU863" s="4">
        <v>2.2457000000000002E-15</v>
      </c>
      <c r="AV863" s="4">
        <v>1.24761E-16</v>
      </c>
    </row>
    <row r="864" spans="3:48" x14ac:dyDescent="0.25">
      <c r="C864" s="7">
        <v>1.26009E-14</v>
      </c>
      <c r="D864" s="5">
        <v>1.79406E-13</v>
      </c>
      <c r="E864" s="5">
        <v>1.7803400000000001E-13</v>
      </c>
      <c r="F864" s="4">
        <v>1.84771E-13</v>
      </c>
      <c r="I864" s="5">
        <v>4.1171100000000004E-15</v>
      </c>
      <c r="J864" s="5">
        <v>1.24761E-16</v>
      </c>
      <c r="K864" s="4">
        <v>2.4952199999999999E-16</v>
      </c>
      <c r="O864" s="5">
        <v>2.4952199999999999E-16</v>
      </c>
      <c r="P864" s="5"/>
      <c r="Q864" s="5">
        <v>1.24761E-16</v>
      </c>
      <c r="U864" s="5">
        <v>1.8714100000000002E-15</v>
      </c>
      <c r="V864" s="5"/>
      <c r="AA864" s="5"/>
      <c r="AG864" s="5"/>
      <c r="AM864" s="5"/>
      <c r="AS864" s="4">
        <v>1.24761E-16</v>
      </c>
      <c r="AU864" s="4">
        <v>1.24761E-16</v>
      </c>
      <c r="AV864" s="4">
        <v>1.24761E-16</v>
      </c>
    </row>
    <row r="865" spans="3:48" x14ac:dyDescent="0.25">
      <c r="C865" s="7">
        <v>1.26009E-14</v>
      </c>
      <c r="D865" s="5">
        <v>1.7928199999999999E-13</v>
      </c>
      <c r="E865" s="5">
        <v>1.7803400000000001E-13</v>
      </c>
      <c r="F865" s="4">
        <v>1.84771E-13</v>
      </c>
      <c r="I865" s="5">
        <v>4.1171100000000004E-15</v>
      </c>
      <c r="J865" s="5">
        <v>1.24761E-16</v>
      </c>
      <c r="K865" s="4">
        <v>2.4952199999999999E-16</v>
      </c>
      <c r="O865" s="5">
        <v>2.4952199999999999E-16</v>
      </c>
      <c r="P865" s="5"/>
      <c r="Q865" s="5">
        <v>1.24761E-16</v>
      </c>
      <c r="U865" s="5">
        <v>1.8714100000000002E-15</v>
      </c>
      <c r="V865" s="5"/>
      <c r="AA865" s="5"/>
      <c r="AG865" s="5"/>
      <c r="AM865" s="5"/>
      <c r="AS865" s="4">
        <v>1.24761E-16</v>
      </c>
      <c r="AU865" s="4">
        <v>1.1228500000000001E-15</v>
      </c>
      <c r="AV865" s="4">
        <v>1.24761E-16</v>
      </c>
    </row>
    <row r="866" spans="3:48" x14ac:dyDescent="0.25">
      <c r="C866" s="7">
        <v>1.26009E-14</v>
      </c>
      <c r="D866" s="5">
        <v>1.78159E-13</v>
      </c>
      <c r="E866" s="5">
        <v>1.7778399999999999E-13</v>
      </c>
      <c r="F866" s="4">
        <v>1.8439700000000001E-13</v>
      </c>
      <c r="I866" s="5">
        <v>3.9923500000000003E-15</v>
      </c>
      <c r="J866" s="5">
        <v>1.24761E-16</v>
      </c>
      <c r="K866" s="4">
        <v>2.4952199999999999E-16</v>
      </c>
      <c r="O866" s="5">
        <v>2.4952199999999999E-16</v>
      </c>
      <c r="P866" s="5"/>
      <c r="Q866" s="5">
        <v>1.24761E-16</v>
      </c>
      <c r="U866" s="5">
        <v>1.8714100000000002E-15</v>
      </c>
      <c r="V866" s="5"/>
      <c r="AA866" s="5"/>
      <c r="AG866" s="5"/>
      <c r="AM866" s="5"/>
      <c r="AS866" s="4">
        <v>1.24761E-16</v>
      </c>
      <c r="AU866" s="4">
        <v>1.62189E-15</v>
      </c>
      <c r="AV866" s="4">
        <v>1.24761E-16</v>
      </c>
    </row>
    <row r="867" spans="3:48" x14ac:dyDescent="0.25">
      <c r="C867" s="7">
        <v>1.2476099999999999E-14</v>
      </c>
      <c r="D867" s="5">
        <v>1.77909E-13</v>
      </c>
      <c r="E867" s="5">
        <v>1.7753500000000001E-13</v>
      </c>
      <c r="F867" s="4">
        <v>1.84272E-13</v>
      </c>
      <c r="I867" s="5">
        <v>3.9923500000000003E-15</v>
      </c>
      <c r="J867" s="5">
        <v>1.24761E-16</v>
      </c>
      <c r="K867" s="4">
        <v>2.4952199999999999E-16</v>
      </c>
      <c r="O867" s="5">
        <v>2.4952199999999999E-16</v>
      </c>
      <c r="P867" s="5"/>
      <c r="Q867" s="5">
        <v>1.24761E-16</v>
      </c>
      <c r="U867" s="5">
        <v>1.8714100000000002E-15</v>
      </c>
      <c r="V867" s="5"/>
      <c r="AA867" s="5"/>
      <c r="AG867" s="5"/>
      <c r="AM867" s="5"/>
      <c r="AS867" s="4">
        <v>1.24761E-16</v>
      </c>
      <c r="AU867" s="4">
        <v>4.4914000000000004E-15</v>
      </c>
      <c r="AV867" s="4">
        <v>1.24761E-16</v>
      </c>
    </row>
    <row r="868" spans="3:48" x14ac:dyDescent="0.25">
      <c r="C868" s="7">
        <v>1.23513E-14</v>
      </c>
      <c r="D868" s="5">
        <v>1.7628700000000001E-13</v>
      </c>
      <c r="E868" s="5">
        <v>1.7753500000000001E-13</v>
      </c>
      <c r="F868" s="4">
        <v>1.8389800000000001E-13</v>
      </c>
      <c r="I868" s="5">
        <v>3.9923500000000003E-15</v>
      </c>
      <c r="J868" s="5">
        <v>1.24761E-16</v>
      </c>
      <c r="K868" s="4">
        <v>2.4952199999999999E-16</v>
      </c>
      <c r="O868" s="5">
        <v>2.4952199999999999E-16</v>
      </c>
      <c r="P868" s="5"/>
      <c r="Q868" s="5">
        <v>1.24761E-16</v>
      </c>
      <c r="U868" s="5">
        <v>1.8714100000000002E-15</v>
      </c>
      <c r="V868" s="5"/>
      <c r="AA868" s="5"/>
      <c r="AG868" s="5"/>
      <c r="AM868" s="5"/>
      <c r="AS868" s="4">
        <v>1.24761E-16</v>
      </c>
      <c r="AU868" s="4">
        <v>1.7466500000000001E-15</v>
      </c>
      <c r="AV868" s="4">
        <v>1.24761E-16</v>
      </c>
    </row>
    <row r="869" spans="3:48" x14ac:dyDescent="0.25">
      <c r="C869" s="7">
        <v>1.23513E-14</v>
      </c>
      <c r="D869" s="5">
        <v>1.7566399999999999E-13</v>
      </c>
      <c r="E869" s="5">
        <v>1.77161E-13</v>
      </c>
      <c r="F869" s="4">
        <v>1.82775E-13</v>
      </c>
      <c r="I869" s="5">
        <v>3.9923500000000003E-15</v>
      </c>
      <c r="J869" s="5">
        <v>1.24761E-16</v>
      </c>
      <c r="K869" s="4">
        <v>2.4952199999999999E-16</v>
      </c>
      <c r="O869" s="5">
        <v>2.4952199999999999E-16</v>
      </c>
      <c r="P869" s="5"/>
      <c r="Q869" s="5">
        <v>1.24761E-16</v>
      </c>
      <c r="U869" s="5">
        <v>1.8714100000000002E-15</v>
      </c>
      <c r="V869" s="5"/>
      <c r="AA869" s="5"/>
      <c r="AG869" s="5"/>
      <c r="AM869" s="5"/>
      <c r="AS869" s="4">
        <v>1.24761E-16</v>
      </c>
      <c r="AU869" s="4">
        <v>3.7428299999999999E-16</v>
      </c>
      <c r="AV869" s="4">
        <v>1.24761E-16</v>
      </c>
    </row>
    <row r="870" spans="3:48" x14ac:dyDescent="0.25">
      <c r="C870" s="7">
        <v>1.23513E-14</v>
      </c>
      <c r="D870" s="5">
        <v>1.7491499999999999E-13</v>
      </c>
      <c r="E870" s="5">
        <v>1.7653700000000001E-13</v>
      </c>
      <c r="F870" s="4">
        <v>1.8127799999999999E-13</v>
      </c>
      <c r="I870" s="5">
        <v>3.9923500000000003E-15</v>
      </c>
      <c r="J870" s="5">
        <v>1.24761E-16</v>
      </c>
      <c r="K870" s="4">
        <v>2.4952199999999999E-16</v>
      </c>
      <c r="O870" s="5">
        <v>2.4952199999999999E-16</v>
      </c>
      <c r="P870" s="5"/>
      <c r="Q870" s="5">
        <v>1.24761E-16</v>
      </c>
      <c r="U870" s="5">
        <v>1.8714100000000002E-15</v>
      </c>
      <c r="V870" s="5"/>
      <c r="AA870" s="5"/>
      <c r="AG870" s="5"/>
      <c r="AM870" s="5"/>
      <c r="AS870" s="4">
        <v>1.24761E-16</v>
      </c>
      <c r="AU870" s="4">
        <v>3.61807E-15</v>
      </c>
      <c r="AV870" s="4">
        <v>1.24761E-16</v>
      </c>
    </row>
    <row r="871" spans="3:48" x14ac:dyDescent="0.25">
      <c r="C871" s="7">
        <v>1.23513E-14</v>
      </c>
      <c r="D871" s="5">
        <v>1.74291E-13</v>
      </c>
      <c r="E871" s="5">
        <v>1.7591299999999999E-13</v>
      </c>
      <c r="F871" s="4">
        <v>1.80904E-13</v>
      </c>
      <c r="I871" s="5">
        <v>3.9923500000000003E-15</v>
      </c>
      <c r="J871" s="5">
        <v>1.24761E-16</v>
      </c>
      <c r="K871" s="4">
        <v>2.4952199999999999E-16</v>
      </c>
      <c r="O871" s="5">
        <v>2.4952199999999999E-16</v>
      </c>
      <c r="P871" s="5"/>
      <c r="Q871" s="5">
        <v>1.24761E-16</v>
      </c>
      <c r="U871" s="5">
        <v>1.8714100000000002E-15</v>
      </c>
      <c r="V871" s="5"/>
      <c r="AA871" s="5"/>
      <c r="AG871" s="5"/>
      <c r="AM871" s="5"/>
      <c r="AS871" s="4">
        <v>1.24761E-16</v>
      </c>
      <c r="AU871" s="4">
        <v>3.3685499999999999E-15</v>
      </c>
      <c r="AV871" s="4">
        <v>1.24761E-16</v>
      </c>
    </row>
    <row r="872" spans="3:48" x14ac:dyDescent="0.25">
      <c r="C872" s="7">
        <v>1.22266E-14</v>
      </c>
      <c r="D872" s="5">
        <v>1.7366699999999999E-13</v>
      </c>
      <c r="E872" s="5">
        <v>1.7566399999999999E-13</v>
      </c>
      <c r="F872" s="4">
        <v>1.80904E-13</v>
      </c>
      <c r="I872" s="5">
        <v>3.9923500000000003E-15</v>
      </c>
      <c r="J872" s="5"/>
      <c r="K872" s="4">
        <v>2.4952199999999999E-16</v>
      </c>
      <c r="O872" s="5">
        <v>2.4952199999999999E-16</v>
      </c>
      <c r="P872" s="5"/>
      <c r="Q872" s="5">
        <v>1.24761E-16</v>
      </c>
      <c r="U872" s="5">
        <v>1.8714100000000002E-15</v>
      </c>
      <c r="V872" s="5"/>
      <c r="AA872" s="5"/>
      <c r="AG872" s="5"/>
      <c r="AM872" s="5"/>
      <c r="AS872" s="4">
        <v>1.24761E-16</v>
      </c>
      <c r="AU872" s="4">
        <v>1.24761E-16</v>
      </c>
      <c r="AV872" s="4">
        <v>1.24761E-16</v>
      </c>
    </row>
    <row r="873" spans="3:48" x14ac:dyDescent="0.25">
      <c r="C873" s="7">
        <v>1.22266E-14</v>
      </c>
      <c r="D873" s="5">
        <v>1.73293E-13</v>
      </c>
      <c r="E873" s="5">
        <v>1.7541399999999999E-13</v>
      </c>
      <c r="F873" s="4">
        <v>1.79905E-13</v>
      </c>
      <c r="I873" s="5">
        <v>3.9923500000000003E-15</v>
      </c>
      <c r="J873" s="5"/>
      <c r="K873" s="4">
        <v>2.4952199999999999E-16</v>
      </c>
      <c r="O873" s="5">
        <v>2.4952199999999999E-16</v>
      </c>
      <c r="P873" s="5"/>
      <c r="Q873" s="5">
        <v>1.24761E-16</v>
      </c>
      <c r="U873" s="5">
        <v>1.8714100000000002E-15</v>
      </c>
      <c r="V873" s="5"/>
      <c r="AA873" s="5"/>
      <c r="AG873" s="5"/>
      <c r="AM873" s="5"/>
      <c r="AS873" s="4">
        <v>1.24761E-16</v>
      </c>
      <c r="AU873" s="4">
        <v>3.8675900000000002E-15</v>
      </c>
      <c r="AV873" s="4">
        <v>1.24761E-16</v>
      </c>
    </row>
    <row r="874" spans="3:48" x14ac:dyDescent="0.25">
      <c r="C874" s="7">
        <v>1.22266E-14</v>
      </c>
      <c r="D874" s="5">
        <v>1.73044E-13</v>
      </c>
      <c r="E874" s="5">
        <v>1.7528900000000001E-13</v>
      </c>
      <c r="F874" s="4">
        <v>1.7928199999999999E-13</v>
      </c>
      <c r="I874" s="5">
        <v>3.9923500000000003E-15</v>
      </c>
      <c r="J874" s="5"/>
      <c r="K874" s="4">
        <v>2.4952199999999999E-16</v>
      </c>
      <c r="O874" s="5">
        <v>2.4952199999999999E-16</v>
      </c>
      <c r="P874" s="5"/>
      <c r="Q874" s="5">
        <v>1.24761E-16</v>
      </c>
      <c r="U874" s="5">
        <v>1.8714100000000002E-15</v>
      </c>
      <c r="V874" s="5"/>
      <c r="AA874" s="5"/>
      <c r="AG874" s="5"/>
      <c r="AM874" s="5"/>
      <c r="AS874" s="4">
        <v>1.24761E-16</v>
      </c>
      <c r="AU874" s="4">
        <v>3.7428299999999999E-16</v>
      </c>
      <c r="AV874" s="4">
        <v>1.24761E-16</v>
      </c>
    </row>
    <row r="875" spans="3:48" x14ac:dyDescent="0.25">
      <c r="C875" s="7">
        <v>1.21018E-14</v>
      </c>
      <c r="D875" s="5">
        <v>1.72794E-13</v>
      </c>
      <c r="E875" s="5">
        <v>1.7491499999999999E-13</v>
      </c>
      <c r="F875" s="4">
        <v>1.78907E-13</v>
      </c>
      <c r="I875" s="5">
        <v>3.9923500000000003E-15</v>
      </c>
      <c r="J875" s="5"/>
      <c r="K875" s="4">
        <v>2.4952199999999999E-16</v>
      </c>
      <c r="O875" s="5">
        <v>2.4952199999999999E-16</v>
      </c>
      <c r="P875" s="5"/>
      <c r="Q875" s="5">
        <v>1.24761E-16</v>
      </c>
      <c r="U875" s="5">
        <v>1.8714100000000002E-15</v>
      </c>
      <c r="V875" s="5"/>
      <c r="AA875" s="5"/>
      <c r="AG875" s="5"/>
      <c r="AM875" s="5"/>
      <c r="AS875" s="4">
        <v>1.24761E-16</v>
      </c>
      <c r="AU875" s="4">
        <v>1.8714199999999999E-15</v>
      </c>
      <c r="AV875" s="4">
        <v>1.24761E-16</v>
      </c>
    </row>
    <row r="876" spans="3:48" x14ac:dyDescent="0.25">
      <c r="C876" s="7">
        <v>1.21018E-14</v>
      </c>
      <c r="D876" s="5">
        <v>1.72045E-13</v>
      </c>
      <c r="E876" s="5">
        <v>1.74541E-13</v>
      </c>
      <c r="F876" s="4">
        <v>1.7878300000000001E-13</v>
      </c>
      <c r="I876" s="5">
        <v>3.9923500000000003E-15</v>
      </c>
      <c r="J876" s="5"/>
      <c r="K876" s="4">
        <v>2.4952199999999999E-16</v>
      </c>
      <c r="O876" s="5">
        <v>2.4952199999999999E-16</v>
      </c>
      <c r="P876" s="5"/>
      <c r="Q876" s="5">
        <v>1.24761E-16</v>
      </c>
      <c r="U876" s="5">
        <v>1.8714100000000002E-15</v>
      </c>
      <c r="V876" s="5"/>
      <c r="AA876" s="5"/>
      <c r="AG876" s="5"/>
      <c r="AM876" s="5"/>
      <c r="AS876" s="4">
        <v>1.24761E-16</v>
      </c>
      <c r="AU876" s="4">
        <v>2.4952199999999999E-16</v>
      </c>
      <c r="AV876" s="4">
        <v>1.24761E-16</v>
      </c>
    </row>
    <row r="877" spans="3:48" x14ac:dyDescent="0.25">
      <c r="C877" s="7">
        <v>1.19771E-14</v>
      </c>
      <c r="D877" s="5">
        <v>1.71796E-13</v>
      </c>
      <c r="E877" s="5">
        <v>1.74042E-13</v>
      </c>
      <c r="F877" s="4">
        <v>1.7828400000000001E-13</v>
      </c>
      <c r="I877" s="5">
        <v>3.8675900000000002E-15</v>
      </c>
      <c r="J877" s="5"/>
      <c r="K877" s="4">
        <v>2.4952199999999999E-16</v>
      </c>
      <c r="O877" s="5">
        <v>2.4952199999999999E-16</v>
      </c>
      <c r="P877" s="5"/>
      <c r="Q877" s="5">
        <v>1.24761E-16</v>
      </c>
      <c r="U877" s="5">
        <v>1.8714100000000002E-15</v>
      </c>
      <c r="V877" s="5"/>
      <c r="AA877" s="5"/>
      <c r="AG877" s="5"/>
      <c r="AM877" s="5"/>
      <c r="AS877" s="4">
        <v>1.24761E-16</v>
      </c>
      <c r="AU877" s="4">
        <v>1.4971299999999999E-15</v>
      </c>
      <c r="AV877" s="4">
        <v>1.24761E-16</v>
      </c>
    </row>
    <row r="878" spans="3:48" x14ac:dyDescent="0.25">
      <c r="C878" s="7">
        <v>1.19771E-14</v>
      </c>
      <c r="D878" s="5">
        <v>1.70049E-13</v>
      </c>
      <c r="E878" s="5">
        <v>1.7366699999999999E-13</v>
      </c>
      <c r="F878" s="4">
        <v>1.78159E-13</v>
      </c>
      <c r="I878" s="5">
        <v>3.8675900000000002E-15</v>
      </c>
      <c r="J878" s="5"/>
      <c r="K878" s="4">
        <v>2.4952199999999999E-16</v>
      </c>
      <c r="O878" s="5">
        <v>2.4952199999999999E-16</v>
      </c>
      <c r="P878" s="5"/>
      <c r="Q878" s="5">
        <v>1.24761E-16</v>
      </c>
      <c r="U878" s="5">
        <v>1.8714100000000002E-15</v>
      </c>
      <c r="V878" s="5"/>
      <c r="AA878" s="5"/>
      <c r="AG878" s="5"/>
      <c r="AM878" s="5"/>
      <c r="AS878" s="4">
        <v>1.24761E-16</v>
      </c>
      <c r="AU878" s="4">
        <v>9.9808799999999998E-16</v>
      </c>
      <c r="AV878" s="4">
        <v>1.24761E-16</v>
      </c>
    </row>
    <row r="879" spans="3:48" x14ac:dyDescent="0.25">
      <c r="C879" s="7">
        <v>1.19771E-14</v>
      </c>
      <c r="D879" s="5">
        <v>1.6992500000000001E-13</v>
      </c>
      <c r="E879" s="5">
        <v>1.73543E-13</v>
      </c>
      <c r="F879" s="4">
        <v>1.7803400000000001E-13</v>
      </c>
      <c r="I879" s="5">
        <v>3.8675900000000002E-15</v>
      </c>
      <c r="J879" s="5"/>
      <c r="K879" s="4">
        <v>2.4952199999999999E-16</v>
      </c>
      <c r="O879" s="5">
        <v>2.4952199999999999E-16</v>
      </c>
      <c r="P879" s="5"/>
      <c r="Q879" s="5">
        <v>1.24761E-16</v>
      </c>
      <c r="U879" s="5">
        <v>1.8714100000000002E-15</v>
      </c>
      <c r="V879" s="5"/>
      <c r="AA879" s="5"/>
      <c r="AG879" s="5"/>
      <c r="AM879" s="5"/>
      <c r="AS879" s="4">
        <v>1.24761E-16</v>
      </c>
      <c r="AU879" s="4">
        <v>6.2380499999999999E-16</v>
      </c>
      <c r="AV879" s="4">
        <v>1.24761E-16</v>
      </c>
    </row>
    <row r="880" spans="3:48" x14ac:dyDescent="0.25">
      <c r="C880" s="7">
        <v>1.19771E-14</v>
      </c>
      <c r="D880" s="5">
        <v>1.6917600000000001E-13</v>
      </c>
      <c r="E880" s="5">
        <v>1.73543E-13</v>
      </c>
      <c r="F880" s="4">
        <v>1.7603800000000001E-13</v>
      </c>
      <c r="I880" s="5">
        <v>3.8675900000000002E-15</v>
      </c>
      <c r="J880" s="5"/>
      <c r="K880" s="4">
        <v>2.4952199999999999E-16</v>
      </c>
      <c r="O880" s="5">
        <v>2.4952199999999999E-16</v>
      </c>
      <c r="P880" s="5"/>
      <c r="Q880" s="5">
        <v>1.24761E-16</v>
      </c>
      <c r="U880" s="5">
        <v>1.8714100000000002E-15</v>
      </c>
      <c r="V880" s="5"/>
      <c r="AA880" s="5"/>
      <c r="AG880" s="5"/>
      <c r="AM880" s="5"/>
      <c r="AS880" s="4">
        <v>1.24761E-16</v>
      </c>
      <c r="AU880" s="4">
        <v>1.7466500000000001E-15</v>
      </c>
      <c r="AV880" s="4">
        <v>1.24761E-16</v>
      </c>
    </row>
    <row r="881" spans="3:48" x14ac:dyDescent="0.25">
      <c r="C881" s="7">
        <v>1.19771E-14</v>
      </c>
      <c r="D881" s="5">
        <v>1.67679E-13</v>
      </c>
      <c r="E881" s="5">
        <v>1.7341799999999999E-13</v>
      </c>
      <c r="F881" s="4">
        <v>1.7603800000000001E-13</v>
      </c>
      <c r="I881" s="5">
        <v>3.8675900000000002E-15</v>
      </c>
      <c r="J881" s="5"/>
      <c r="K881" s="4">
        <v>1.24761E-16</v>
      </c>
      <c r="O881" s="5">
        <v>2.4952199999999999E-16</v>
      </c>
      <c r="P881" s="5"/>
      <c r="Q881" s="5">
        <v>1.24761E-16</v>
      </c>
      <c r="U881" s="5">
        <v>1.7466500000000001E-15</v>
      </c>
      <c r="V881" s="5"/>
      <c r="AA881" s="5"/>
      <c r="AG881" s="5"/>
      <c r="AM881" s="5"/>
      <c r="AS881" s="4">
        <v>1.24761E-16</v>
      </c>
      <c r="AU881" s="4">
        <v>7.4856599999999998E-16</v>
      </c>
      <c r="AV881" s="4">
        <v>1.24761E-16</v>
      </c>
    </row>
    <row r="882" spans="3:48" x14ac:dyDescent="0.25">
      <c r="C882" s="7">
        <v>1.1852300000000001E-14</v>
      </c>
      <c r="D882" s="5">
        <v>1.67429E-13</v>
      </c>
      <c r="E882" s="5">
        <v>1.7316799999999999E-13</v>
      </c>
      <c r="F882" s="4">
        <v>1.7591299999999999E-13</v>
      </c>
      <c r="I882" s="5">
        <v>3.8675900000000002E-15</v>
      </c>
      <c r="J882" s="5"/>
      <c r="K882" s="4">
        <v>1.24761E-16</v>
      </c>
      <c r="O882" s="5">
        <v>2.4952199999999999E-16</v>
      </c>
      <c r="P882" s="5"/>
      <c r="Q882" s="5">
        <v>1.24761E-16</v>
      </c>
      <c r="U882" s="5">
        <v>1.7466500000000001E-15</v>
      </c>
      <c r="V882" s="5"/>
      <c r="AA882" s="5"/>
      <c r="AG882" s="5"/>
      <c r="AM882" s="5"/>
      <c r="AS882" s="4">
        <v>1.24761E-16</v>
      </c>
      <c r="AU882" s="4">
        <v>1.24761E-16</v>
      </c>
      <c r="AV882" s="4">
        <v>1.24761E-16</v>
      </c>
    </row>
    <row r="883" spans="3:48" x14ac:dyDescent="0.25">
      <c r="C883" s="7">
        <v>1.1852300000000001E-14</v>
      </c>
      <c r="D883" s="5">
        <v>1.67429E-13</v>
      </c>
      <c r="E883" s="5">
        <v>1.73044E-13</v>
      </c>
      <c r="F883" s="4">
        <v>1.7591299999999999E-13</v>
      </c>
      <c r="I883" s="5">
        <v>3.8675900000000002E-15</v>
      </c>
      <c r="J883" s="5"/>
      <c r="K883" s="4">
        <v>1.24761E-16</v>
      </c>
      <c r="O883" s="5">
        <v>2.4952199999999999E-16</v>
      </c>
      <c r="P883" s="5"/>
      <c r="Q883" s="5">
        <v>1.24761E-16</v>
      </c>
      <c r="U883" s="5">
        <v>1.7466500000000001E-15</v>
      </c>
      <c r="V883" s="5"/>
      <c r="AA883" s="5"/>
      <c r="AG883" s="5"/>
      <c r="AM883" s="5"/>
      <c r="AS883" s="4">
        <v>1.24761E-16</v>
      </c>
      <c r="AU883" s="4">
        <v>3.7428299999999999E-16</v>
      </c>
      <c r="AV883" s="4">
        <v>1.24761E-16</v>
      </c>
    </row>
    <row r="884" spans="3:48" x14ac:dyDescent="0.25">
      <c r="C884" s="7">
        <v>1.1852300000000001E-14</v>
      </c>
      <c r="D884" s="5">
        <v>1.6718E-13</v>
      </c>
      <c r="E884" s="5">
        <v>1.7291899999999999E-13</v>
      </c>
      <c r="F884" s="4">
        <v>1.7566399999999999E-13</v>
      </c>
      <c r="I884" s="5">
        <v>3.8675900000000002E-15</v>
      </c>
      <c r="J884" s="5"/>
      <c r="K884" s="4">
        <v>1.24761E-16</v>
      </c>
      <c r="O884" s="5">
        <v>1.24761E-16</v>
      </c>
      <c r="P884" s="5"/>
      <c r="Q884" s="5">
        <v>1.24761E-16</v>
      </c>
      <c r="U884" s="5">
        <v>1.7466500000000001E-15</v>
      </c>
      <c r="V884" s="5"/>
      <c r="AA884" s="5"/>
      <c r="AG884" s="5"/>
      <c r="AM884" s="5"/>
      <c r="AS884" s="4">
        <v>1.24761E-16</v>
      </c>
      <c r="AU884" s="4">
        <v>3.7428299999999999E-16</v>
      </c>
      <c r="AV884" s="4">
        <v>1.24761E-16</v>
      </c>
    </row>
    <row r="885" spans="3:48" x14ac:dyDescent="0.25">
      <c r="C885" s="7">
        <v>1.1852300000000001E-14</v>
      </c>
      <c r="D885" s="5">
        <v>1.66431E-13</v>
      </c>
      <c r="E885" s="4">
        <v>1.72295E-13</v>
      </c>
      <c r="F885" s="4">
        <v>1.7504E-13</v>
      </c>
      <c r="I885" s="5">
        <v>3.8675900000000002E-15</v>
      </c>
      <c r="J885" s="5"/>
      <c r="K885" s="4">
        <v>1.24761E-16</v>
      </c>
      <c r="O885" s="5">
        <v>1.24761E-16</v>
      </c>
      <c r="P885" s="5"/>
      <c r="Q885" s="5">
        <v>1.24761E-16</v>
      </c>
      <c r="U885" s="5">
        <v>1.7466500000000001E-15</v>
      </c>
      <c r="V885" s="5"/>
      <c r="AA885" s="5"/>
      <c r="AG885" s="5"/>
      <c r="AM885" s="5"/>
      <c r="AS885" s="4">
        <v>1.24761E-16</v>
      </c>
      <c r="AU885" s="4">
        <v>4.9904399999999999E-16</v>
      </c>
      <c r="AV885" s="4">
        <v>1.24761E-16</v>
      </c>
    </row>
    <row r="886" spans="3:48" x14ac:dyDescent="0.25">
      <c r="C886" s="7">
        <v>1.17275E-14</v>
      </c>
      <c r="D886" s="5">
        <v>1.6630599999999999E-13</v>
      </c>
      <c r="E886" s="4">
        <v>1.7192100000000001E-13</v>
      </c>
      <c r="F886" s="4">
        <v>1.74291E-13</v>
      </c>
      <c r="I886" s="5">
        <v>3.8675900000000002E-15</v>
      </c>
      <c r="J886" s="1"/>
      <c r="K886" s="4">
        <v>1.24761E-16</v>
      </c>
      <c r="O886" s="5">
        <v>1.24761E-16</v>
      </c>
      <c r="P886" s="5"/>
      <c r="Q886" s="5">
        <v>1.24761E-16</v>
      </c>
      <c r="U886" s="5">
        <v>1.7466500000000001E-15</v>
      </c>
      <c r="V886" s="5"/>
      <c r="AA886" s="5"/>
      <c r="AG886" s="5"/>
      <c r="AS886" s="4">
        <v>1.24761E-16</v>
      </c>
      <c r="AU886" s="4">
        <v>4.9904399999999999E-16</v>
      </c>
      <c r="AV886" s="4">
        <v>1.24761E-16</v>
      </c>
    </row>
    <row r="887" spans="3:48" x14ac:dyDescent="0.25">
      <c r="C887" s="7">
        <v>1.17275E-14</v>
      </c>
      <c r="D887" s="5">
        <v>1.66182E-13</v>
      </c>
      <c r="E887" s="4">
        <v>1.7092300000000001E-13</v>
      </c>
      <c r="F887" s="4">
        <v>1.73792E-13</v>
      </c>
      <c r="I887" s="5">
        <v>3.8675900000000002E-15</v>
      </c>
      <c r="K887" s="4">
        <v>1.24761E-16</v>
      </c>
      <c r="O887" s="5">
        <v>1.24761E-16</v>
      </c>
      <c r="P887" s="5"/>
      <c r="Q887" s="5">
        <v>1.24761E-16</v>
      </c>
      <c r="U887" s="5">
        <v>1.7466500000000001E-15</v>
      </c>
      <c r="V887" s="5"/>
      <c r="AA887" s="5"/>
      <c r="AG887" s="5"/>
      <c r="AS887" s="4">
        <v>1.24761E-16</v>
      </c>
      <c r="AU887" s="4">
        <v>1.24761E-16</v>
      </c>
      <c r="AV887" s="4">
        <v>1.24761E-16</v>
      </c>
    </row>
    <row r="888" spans="3:48" x14ac:dyDescent="0.25">
      <c r="C888" s="7">
        <v>1.17275E-14</v>
      </c>
      <c r="D888" s="5">
        <v>1.6605700000000001E-13</v>
      </c>
      <c r="E888" s="4">
        <v>1.70798E-13</v>
      </c>
      <c r="F888" s="4">
        <v>1.73543E-13</v>
      </c>
      <c r="I888" s="5">
        <v>3.8675900000000002E-15</v>
      </c>
      <c r="K888" s="4">
        <v>1.24761E-16</v>
      </c>
      <c r="O888" s="5">
        <v>1.24761E-16</v>
      </c>
      <c r="P888" s="5"/>
      <c r="Q888" s="5">
        <v>1.24761E-16</v>
      </c>
      <c r="U888" s="5">
        <v>1.7466500000000001E-15</v>
      </c>
      <c r="V888" s="5"/>
      <c r="AA888" s="5"/>
      <c r="AG888" s="5"/>
      <c r="AS888" s="4">
        <v>1.24761E-16</v>
      </c>
      <c r="AU888" s="4">
        <v>3.7428299999999999E-16</v>
      </c>
      <c r="AV888" s="4">
        <v>1.24761E-16</v>
      </c>
    </row>
    <row r="889" spans="3:48" x14ac:dyDescent="0.25">
      <c r="C889" s="7">
        <v>1.17275E-14</v>
      </c>
      <c r="D889" s="5">
        <v>1.6530800000000001E-13</v>
      </c>
      <c r="E889" s="4">
        <v>1.7067300000000001E-13</v>
      </c>
      <c r="F889" s="4">
        <v>1.73044E-13</v>
      </c>
      <c r="I889" s="5">
        <v>3.8675900000000002E-15</v>
      </c>
      <c r="K889" s="4">
        <v>1.24761E-16</v>
      </c>
      <c r="O889" s="5">
        <v>1.24761E-16</v>
      </c>
      <c r="P889" s="5"/>
      <c r="Q889" s="5">
        <v>1.24761E-16</v>
      </c>
      <c r="U889" s="5">
        <v>1.7466500000000001E-15</v>
      </c>
      <c r="V889" s="5"/>
      <c r="AA889" s="5"/>
      <c r="AG889" s="5"/>
      <c r="AS889" s="4">
        <v>1.24761E-16</v>
      </c>
      <c r="AU889" s="4">
        <v>2.4952199999999999E-16</v>
      </c>
      <c r="AV889" s="4">
        <v>1.24761E-16</v>
      </c>
    </row>
    <row r="890" spans="3:48" x14ac:dyDescent="0.25">
      <c r="C890" s="7">
        <v>1.17275E-14</v>
      </c>
      <c r="D890" s="5">
        <v>1.6505900000000001E-13</v>
      </c>
      <c r="E890" s="4">
        <v>1.70548E-13</v>
      </c>
      <c r="F890" s="4">
        <v>1.7217000000000001E-13</v>
      </c>
      <c r="I890" s="5">
        <v>3.8675900000000002E-15</v>
      </c>
      <c r="K890" s="4">
        <v>1.24761E-16</v>
      </c>
      <c r="O890" s="5">
        <v>1.24761E-16</v>
      </c>
      <c r="P890" s="5"/>
      <c r="Q890" s="4">
        <v>1.24761E-16</v>
      </c>
      <c r="U890" s="5">
        <v>1.7466500000000001E-15</v>
      </c>
      <c r="V890" s="5"/>
      <c r="AA890" s="5"/>
      <c r="AG890" s="5"/>
      <c r="AS890" s="4">
        <v>1.24761E-16</v>
      </c>
      <c r="AU890" s="4">
        <v>4.9904399999999999E-16</v>
      </c>
      <c r="AV890" s="4">
        <v>1.24761E-16</v>
      </c>
    </row>
    <row r="891" spans="3:48" x14ac:dyDescent="0.25">
      <c r="C891" s="7">
        <v>1.16028E-14</v>
      </c>
      <c r="D891" s="5">
        <v>1.64934E-13</v>
      </c>
      <c r="E891" s="4">
        <v>1.6942500000000001E-13</v>
      </c>
      <c r="F891" s="4">
        <v>1.7192100000000001E-13</v>
      </c>
      <c r="I891" s="5">
        <v>3.8675900000000002E-15</v>
      </c>
      <c r="K891" s="4">
        <v>1.24761E-16</v>
      </c>
      <c r="O891" s="5">
        <v>1.24761E-16</v>
      </c>
      <c r="P891" s="5"/>
      <c r="Q891" s="4">
        <v>1.24761E-16</v>
      </c>
      <c r="U891" s="5">
        <v>1.62189E-15</v>
      </c>
      <c r="V891" s="5"/>
      <c r="AA891" s="5"/>
      <c r="AG891" s="5"/>
      <c r="AS891" s="4">
        <v>1.24761E-16</v>
      </c>
      <c r="AU891" s="4">
        <v>1.24761E-16</v>
      </c>
      <c r="AV891" s="4">
        <v>1.24761E-16</v>
      </c>
    </row>
    <row r="892" spans="3:48" x14ac:dyDescent="0.25">
      <c r="C892" s="7">
        <v>1.1478000000000001E-14</v>
      </c>
      <c r="D892" s="5">
        <v>1.6456000000000001E-13</v>
      </c>
      <c r="E892" s="4">
        <v>1.6855199999999999E-13</v>
      </c>
      <c r="F892" s="4">
        <v>1.7142200000000001E-13</v>
      </c>
      <c r="I892" s="5">
        <v>3.7428300000000001E-15</v>
      </c>
      <c r="K892" s="4">
        <v>1.24761E-16</v>
      </c>
      <c r="O892" s="5">
        <v>1.24761E-16</v>
      </c>
      <c r="P892" s="5"/>
      <c r="Q892" s="4">
        <v>1.24761E-16</v>
      </c>
      <c r="U892" s="5">
        <v>1.62189E-15</v>
      </c>
      <c r="V892" s="5"/>
      <c r="AA892" s="5"/>
      <c r="AG892" s="5"/>
      <c r="AS892" s="4">
        <v>1.24761E-16</v>
      </c>
      <c r="AU892" s="4">
        <v>1.24761E-16</v>
      </c>
      <c r="AV892" s="4">
        <v>1.24761E-16</v>
      </c>
    </row>
    <row r="893" spans="3:48" x14ac:dyDescent="0.25">
      <c r="C893" s="7">
        <v>1.1353299999999999E-14</v>
      </c>
      <c r="D893" s="5">
        <v>1.6456000000000001E-13</v>
      </c>
      <c r="E893" s="4">
        <v>1.67679E-13</v>
      </c>
      <c r="F893" s="4">
        <v>1.71297E-13</v>
      </c>
      <c r="I893" s="5">
        <v>3.7428300000000001E-15</v>
      </c>
      <c r="K893" s="4">
        <v>1.24761E-16</v>
      </c>
      <c r="O893" s="5">
        <v>1.24761E-16</v>
      </c>
      <c r="P893" s="5"/>
      <c r="Q893" s="4">
        <v>1.24761E-16</v>
      </c>
      <c r="U893" s="5">
        <v>1.62189E-15</v>
      </c>
      <c r="V893" s="5"/>
      <c r="AA893" s="5"/>
      <c r="AG893" s="5"/>
      <c r="AS893" s="4">
        <v>1.24761E-16</v>
      </c>
      <c r="AU893" s="4">
        <v>4.9904399999999999E-16</v>
      </c>
      <c r="AV893" s="4">
        <v>1.24761E-16</v>
      </c>
    </row>
    <row r="894" spans="3:48" x14ac:dyDescent="0.25">
      <c r="C894" s="7">
        <v>1.1353299999999999E-14</v>
      </c>
      <c r="D894" s="5">
        <v>1.6431000000000001E-13</v>
      </c>
      <c r="E894" s="4">
        <v>1.6730500000000001E-13</v>
      </c>
      <c r="F894" s="4">
        <v>1.7067300000000001E-13</v>
      </c>
      <c r="I894" s="5">
        <v>3.7428300000000001E-15</v>
      </c>
      <c r="K894" s="4">
        <v>1.24761E-16</v>
      </c>
      <c r="O894" s="5">
        <v>1.24761E-16</v>
      </c>
      <c r="P894" s="5"/>
      <c r="Q894" s="4">
        <v>1.24761E-16</v>
      </c>
      <c r="U894" s="5">
        <v>1.62189E-15</v>
      </c>
      <c r="V894" s="5"/>
      <c r="AA894" s="5"/>
      <c r="AG894" s="5"/>
      <c r="AS894" s="4">
        <v>1.24761E-16</v>
      </c>
      <c r="AU894" s="4">
        <v>9.9808799999999998E-16</v>
      </c>
      <c r="AV894" s="4">
        <v>1.24761E-16</v>
      </c>
    </row>
    <row r="895" spans="3:48" x14ac:dyDescent="0.25">
      <c r="C895" s="7">
        <v>1.12285E-14</v>
      </c>
      <c r="D895" s="5">
        <v>1.6431000000000001E-13</v>
      </c>
      <c r="E895" s="4">
        <v>1.6680600000000001E-13</v>
      </c>
      <c r="F895" s="4">
        <v>1.70548E-13</v>
      </c>
      <c r="I895" s="5">
        <v>3.7428300000000001E-15</v>
      </c>
      <c r="K895" s="4">
        <v>1.24761E-16</v>
      </c>
      <c r="O895" s="5">
        <v>1.24761E-16</v>
      </c>
      <c r="P895" s="5"/>
      <c r="Q895" s="4">
        <v>1.24761E-16</v>
      </c>
      <c r="U895" s="5">
        <v>1.62189E-15</v>
      </c>
      <c r="V895" s="5"/>
      <c r="AA895" s="5"/>
      <c r="AG895" s="5"/>
      <c r="AS895" s="4">
        <v>1.24761E-16</v>
      </c>
      <c r="AU895" s="4">
        <v>3.7428299999999999E-16</v>
      </c>
      <c r="AV895" s="4">
        <v>1.24761E-16</v>
      </c>
    </row>
    <row r="896" spans="3:48" x14ac:dyDescent="0.25">
      <c r="C896" s="7">
        <v>1.12285E-14</v>
      </c>
      <c r="D896" s="5">
        <v>1.6418599999999999E-13</v>
      </c>
      <c r="E896" s="4">
        <v>1.66681E-13</v>
      </c>
      <c r="F896" s="4">
        <v>1.7042400000000001E-13</v>
      </c>
      <c r="I896" s="5">
        <v>3.7428300000000001E-15</v>
      </c>
      <c r="K896" s="4">
        <v>1.24761E-16</v>
      </c>
      <c r="O896" s="5">
        <v>1.24761E-16</v>
      </c>
      <c r="P896" s="5"/>
      <c r="Q896" s="4">
        <v>1.24761E-16</v>
      </c>
      <c r="U896" s="5">
        <v>1.62189E-15</v>
      </c>
      <c r="V896" s="5"/>
      <c r="AA896" s="5"/>
      <c r="AG896" s="5"/>
      <c r="AS896" s="4">
        <v>1.24761E-16</v>
      </c>
      <c r="AU896" s="4">
        <v>6.2380499999999999E-16</v>
      </c>
      <c r="AV896" s="4">
        <v>1.24761E-16</v>
      </c>
    </row>
    <row r="897" spans="3:48" x14ac:dyDescent="0.25">
      <c r="C897" s="7">
        <v>1.12285E-14</v>
      </c>
      <c r="D897" s="5">
        <v>1.6243899999999999E-13</v>
      </c>
      <c r="E897" s="4">
        <v>1.6605700000000001E-13</v>
      </c>
      <c r="F897" s="4">
        <v>1.7042400000000001E-13</v>
      </c>
      <c r="I897" s="5">
        <v>3.7428300000000001E-15</v>
      </c>
      <c r="K897" s="4">
        <v>1.24761E-16</v>
      </c>
      <c r="O897" s="5">
        <v>1.24761E-16</v>
      </c>
      <c r="P897" s="5"/>
      <c r="Q897" s="4">
        <v>1.24761E-16</v>
      </c>
      <c r="U897" s="5">
        <v>1.62189E-15</v>
      </c>
      <c r="V897" s="5"/>
      <c r="AA897" s="5"/>
      <c r="AG897" s="5"/>
      <c r="AS897" s="4">
        <v>1.24761E-16</v>
      </c>
      <c r="AU897" s="4">
        <v>8.7332699999999998E-16</v>
      </c>
      <c r="AV897" s="4">
        <v>1.24761E-16</v>
      </c>
    </row>
    <row r="898" spans="3:48" x14ac:dyDescent="0.25">
      <c r="C898" s="7">
        <v>1.12285E-14</v>
      </c>
      <c r="D898" s="5">
        <v>1.62314E-13</v>
      </c>
      <c r="E898" s="4">
        <v>1.65433E-13</v>
      </c>
      <c r="F898" s="4">
        <v>1.6930099999999999E-13</v>
      </c>
      <c r="I898" s="5">
        <v>3.7428300000000001E-15</v>
      </c>
      <c r="K898" s="4">
        <v>1.24761E-16</v>
      </c>
      <c r="O898" s="5">
        <v>1.24761E-16</v>
      </c>
      <c r="P898" s="5"/>
      <c r="Q898" s="4">
        <v>1.24761E-16</v>
      </c>
      <c r="U898" s="5">
        <v>1.62189E-15</v>
      </c>
      <c r="V898" s="5"/>
      <c r="AA898" s="5"/>
      <c r="AG898" s="5"/>
      <c r="AS898" s="4">
        <v>1.24761E-16</v>
      </c>
      <c r="AU898" s="4">
        <v>3.7428299999999999E-16</v>
      </c>
      <c r="AV898" s="4">
        <v>1.24761E-16</v>
      </c>
    </row>
    <row r="899" spans="3:48" x14ac:dyDescent="0.25">
      <c r="C899" s="7">
        <v>1.12285E-14</v>
      </c>
      <c r="D899" s="5">
        <v>1.6218899999999999E-13</v>
      </c>
      <c r="E899" s="4">
        <v>1.65433E-13</v>
      </c>
      <c r="F899" s="4">
        <v>1.68677E-13</v>
      </c>
      <c r="I899" s="5">
        <v>3.7428300000000001E-15</v>
      </c>
      <c r="K899" s="4">
        <v>1.24761E-16</v>
      </c>
      <c r="O899" s="5">
        <v>1.24761E-16</v>
      </c>
      <c r="P899" s="5"/>
      <c r="Q899" s="4">
        <v>1.24761E-16</v>
      </c>
      <c r="U899" s="5">
        <v>1.62189E-15</v>
      </c>
      <c r="V899" s="5"/>
      <c r="AA899" s="5"/>
      <c r="AG899" s="5"/>
      <c r="AS899" s="4">
        <v>1.24761E-16</v>
      </c>
      <c r="AU899" s="4">
        <v>1.24761E-16</v>
      </c>
      <c r="AV899" s="4">
        <v>1.24761E-16</v>
      </c>
    </row>
    <row r="900" spans="3:48" x14ac:dyDescent="0.25">
      <c r="C900" s="7">
        <v>1.12285E-14</v>
      </c>
      <c r="D900" s="5">
        <v>1.62065E-13</v>
      </c>
      <c r="E900" s="4">
        <v>1.64435E-13</v>
      </c>
      <c r="F900" s="4">
        <v>1.6755399999999999E-13</v>
      </c>
      <c r="I900" s="5">
        <v>3.7428300000000001E-15</v>
      </c>
      <c r="K900" s="4">
        <v>1.24761E-16</v>
      </c>
      <c r="O900" s="5">
        <v>1.24761E-16</v>
      </c>
      <c r="P900" s="5"/>
      <c r="Q900" s="4">
        <v>1.24761E-16</v>
      </c>
      <c r="U900" s="5">
        <v>1.62189E-15</v>
      </c>
      <c r="V900" s="5"/>
      <c r="AA900" s="5"/>
      <c r="AG900" s="5"/>
      <c r="AS900" s="4">
        <v>1.24761E-16</v>
      </c>
      <c r="AU900" s="4">
        <v>2.4952199999999999E-16</v>
      </c>
      <c r="AV900" s="4">
        <v>1.24761E-16</v>
      </c>
    </row>
    <row r="901" spans="3:48" x14ac:dyDescent="0.25">
      <c r="C901" s="7">
        <v>1.1103699999999999E-14</v>
      </c>
      <c r="D901" s="5">
        <v>1.61316E-13</v>
      </c>
      <c r="E901" s="4">
        <v>1.64435E-13</v>
      </c>
      <c r="F901" s="4">
        <v>1.65932E-13</v>
      </c>
      <c r="I901" s="5">
        <v>3.7428300000000001E-15</v>
      </c>
      <c r="K901" s="4">
        <v>1.24761E-16</v>
      </c>
      <c r="O901" s="5">
        <v>1.24761E-16</v>
      </c>
      <c r="P901" s="5"/>
      <c r="Q901" s="4">
        <v>1.24761E-16</v>
      </c>
      <c r="U901" s="5">
        <v>1.62189E-15</v>
      </c>
      <c r="V901" s="5"/>
      <c r="AA901" s="5"/>
      <c r="AG901" s="5"/>
      <c r="AS901" s="4">
        <v>1.24761E-16</v>
      </c>
      <c r="AU901" s="4">
        <v>2.4952199999999999E-16</v>
      </c>
      <c r="AV901" s="4">
        <v>1.24761E-16</v>
      </c>
    </row>
    <row r="902" spans="3:48" x14ac:dyDescent="0.25">
      <c r="C902" s="7">
        <v>1.0979E-14</v>
      </c>
      <c r="D902" s="5">
        <v>1.61066E-13</v>
      </c>
      <c r="E902" s="4">
        <v>1.64435E-13</v>
      </c>
      <c r="F902" s="4">
        <v>1.65932E-13</v>
      </c>
      <c r="I902" s="5">
        <v>3.7428300000000001E-15</v>
      </c>
      <c r="K902" s="4">
        <v>1.24761E-16</v>
      </c>
      <c r="O902" s="5">
        <v>1.24761E-16</v>
      </c>
      <c r="P902" s="5"/>
      <c r="Q902" s="4">
        <v>1.24761E-16</v>
      </c>
      <c r="U902" s="5">
        <v>1.62189E-15</v>
      </c>
      <c r="V902" s="5"/>
      <c r="AA902" s="5"/>
      <c r="AG902" s="5"/>
      <c r="AS902" s="4">
        <v>1.24761E-16</v>
      </c>
      <c r="AU902" s="4">
        <v>4.9904399999999999E-16</v>
      </c>
      <c r="AV902" s="4">
        <v>1.24761E-16</v>
      </c>
    </row>
    <row r="903" spans="3:48" x14ac:dyDescent="0.25">
      <c r="C903" s="7">
        <v>1.0979E-14</v>
      </c>
      <c r="D903" s="5">
        <v>1.60567E-13</v>
      </c>
      <c r="E903" s="4">
        <v>1.63686E-13</v>
      </c>
      <c r="F903" s="4">
        <v>1.6580700000000001E-13</v>
      </c>
      <c r="I903" s="5">
        <v>3.7428300000000001E-15</v>
      </c>
      <c r="K903" s="4">
        <v>1.24761E-16</v>
      </c>
      <c r="O903" s="5">
        <v>1.24761E-16</v>
      </c>
      <c r="P903" s="5"/>
      <c r="Q903" s="4">
        <v>1.24761E-16</v>
      </c>
      <c r="U903" s="5">
        <v>1.62189E-15</v>
      </c>
      <c r="V903" s="5"/>
      <c r="AA903" s="5"/>
      <c r="AG903" s="5"/>
      <c r="AS903" s="4">
        <v>1.24761E-16</v>
      </c>
      <c r="AU903" s="4">
        <v>2.4952199999999999E-16</v>
      </c>
      <c r="AV903" s="4">
        <v>1.24761E-16</v>
      </c>
    </row>
    <row r="904" spans="3:48" x14ac:dyDescent="0.25">
      <c r="C904" s="7">
        <v>1.0979E-14</v>
      </c>
      <c r="D904" s="5">
        <v>1.6044300000000001E-13</v>
      </c>
      <c r="E904" s="4">
        <v>1.6356200000000001E-13</v>
      </c>
      <c r="F904" s="4">
        <v>1.6555800000000001E-13</v>
      </c>
      <c r="I904" s="5">
        <v>3.7428300000000001E-15</v>
      </c>
      <c r="K904" s="4">
        <v>1.24761E-16</v>
      </c>
      <c r="O904" s="5">
        <v>1.24761E-16</v>
      </c>
      <c r="P904" s="5"/>
      <c r="Q904" s="4">
        <v>1.24761E-16</v>
      </c>
      <c r="U904" s="5">
        <v>1.62189E-15</v>
      </c>
      <c r="V904" s="5"/>
      <c r="AA904" s="5"/>
      <c r="AG904" s="5"/>
      <c r="AS904" s="4">
        <v>1.24761E-16</v>
      </c>
      <c r="AU904" s="4">
        <v>1.1228500000000001E-15</v>
      </c>
      <c r="AV904" s="4">
        <v>1.24761E-16</v>
      </c>
    </row>
    <row r="905" spans="3:48" x14ac:dyDescent="0.25">
      <c r="C905" s="7">
        <v>1.08542E-14</v>
      </c>
      <c r="D905" s="5">
        <v>1.6044300000000001E-13</v>
      </c>
      <c r="E905" s="4">
        <v>1.6343699999999999E-13</v>
      </c>
      <c r="F905" s="4">
        <v>1.6505900000000001E-13</v>
      </c>
      <c r="I905" s="5">
        <v>3.7428300000000001E-15</v>
      </c>
      <c r="K905" s="4">
        <v>1.24761E-16</v>
      </c>
      <c r="O905" s="5">
        <v>1.24761E-16</v>
      </c>
      <c r="P905" s="5"/>
      <c r="Q905" s="4">
        <v>1.24761E-16</v>
      </c>
      <c r="U905" s="5">
        <v>1.62189E-15</v>
      </c>
      <c r="V905" s="5"/>
      <c r="AA905" s="5"/>
      <c r="AG905" s="5"/>
      <c r="AS905" s="4">
        <v>1.24761E-16</v>
      </c>
      <c r="AU905" s="4">
        <v>7.4856599999999998E-16</v>
      </c>
      <c r="AV905" s="4">
        <v>1.24761E-16</v>
      </c>
    </row>
    <row r="906" spans="3:48" x14ac:dyDescent="0.25">
      <c r="C906" s="7">
        <v>1.08542E-14</v>
      </c>
      <c r="D906" s="5">
        <v>1.60068E-13</v>
      </c>
      <c r="E906" s="4">
        <v>1.6318699999999999E-13</v>
      </c>
      <c r="F906" s="4">
        <v>1.6393599999999999E-13</v>
      </c>
      <c r="I906" s="5">
        <v>3.7428300000000001E-15</v>
      </c>
      <c r="K906" s="4">
        <v>1.24761E-16</v>
      </c>
      <c r="O906" s="5">
        <v>1.24761E-16</v>
      </c>
      <c r="P906" s="5"/>
      <c r="Q906" s="4">
        <v>1.24761E-16</v>
      </c>
      <c r="U906" s="5">
        <v>1.62189E-15</v>
      </c>
      <c r="V906" s="5"/>
      <c r="AA906" s="5"/>
      <c r="AG906" s="5"/>
      <c r="AS906" s="4">
        <v>1.24761E-16</v>
      </c>
      <c r="AU906" s="4">
        <v>3.7428299999999999E-16</v>
      </c>
      <c r="AV906" s="4">
        <v>1.24761E-16</v>
      </c>
    </row>
    <row r="907" spans="3:48" x14ac:dyDescent="0.25">
      <c r="C907" s="7">
        <v>1.08542E-14</v>
      </c>
      <c r="D907" s="5">
        <v>1.5994400000000001E-13</v>
      </c>
      <c r="E907" s="4">
        <v>1.6293799999999999E-13</v>
      </c>
      <c r="F907" s="4">
        <v>1.6343699999999999E-13</v>
      </c>
      <c r="I907" s="5">
        <v>3.7428300000000001E-15</v>
      </c>
      <c r="K907" s="4">
        <v>1.24761E-16</v>
      </c>
      <c r="O907" s="5">
        <v>1.24761E-16</v>
      </c>
      <c r="P907" s="5"/>
      <c r="Q907" s="4">
        <v>1.24761E-16</v>
      </c>
      <c r="U907" s="5">
        <v>1.62189E-15</v>
      </c>
      <c r="V907" s="5"/>
      <c r="AA907" s="5"/>
      <c r="AG907" s="5"/>
      <c r="AS907" s="4">
        <v>1.24761E-16</v>
      </c>
      <c r="AU907" s="4">
        <v>3.7428299999999999E-16</v>
      </c>
      <c r="AV907" s="4">
        <v>1.24761E-16</v>
      </c>
    </row>
    <row r="908" spans="3:48" x14ac:dyDescent="0.25">
      <c r="C908" s="7">
        <v>1.08542E-14</v>
      </c>
      <c r="D908" s="5">
        <v>1.5944500000000001E-13</v>
      </c>
      <c r="E908" s="4">
        <v>1.6218899999999999E-13</v>
      </c>
      <c r="F908" s="4">
        <v>1.6343699999999999E-13</v>
      </c>
      <c r="I908" s="5">
        <v>3.7428300000000001E-15</v>
      </c>
      <c r="K908" s="4">
        <v>1.24761E-16</v>
      </c>
      <c r="O908" s="5">
        <v>1.24761E-16</v>
      </c>
      <c r="P908" s="5"/>
      <c r="Q908" s="4">
        <v>1.24761E-16</v>
      </c>
      <c r="U908" s="5">
        <v>1.62189E-15</v>
      </c>
      <c r="V908" s="5"/>
      <c r="AA908" s="5"/>
      <c r="AG908" s="5"/>
      <c r="AS908" s="4">
        <v>1.24761E-16</v>
      </c>
      <c r="AU908" s="4">
        <v>1.3723700000000001E-15</v>
      </c>
      <c r="AV908" s="4">
        <v>1.24761E-16</v>
      </c>
    </row>
    <row r="909" spans="3:48" x14ac:dyDescent="0.25">
      <c r="C909" s="7">
        <v>1.07294E-14</v>
      </c>
      <c r="D909" s="5">
        <v>1.5932E-13</v>
      </c>
      <c r="E909" s="4">
        <v>1.6193999999999999E-13</v>
      </c>
      <c r="F909" s="4">
        <v>1.6331200000000001E-13</v>
      </c>
      <c r="I909" s="5">
        <v>3.61807E-15</v>
      </c>
      <c r="K909" s="4">
        <v>1.24761E-16</v>
      </c>
      <c r="O909" s="5">
        <v>1.24761E-16</v>
      </c>
      <c r="P909" s="5"/>
      <c r="Q909" s="4">
        <v>1.24761E-16</v>
      </c>
      <c r="U909" s="5">
        <v>1.62189E-15</v>
      </c>
      <c r="V909" s="5"/>
      <c r="AA909" s="5"/>
      <c r="AG909" s="5"/>
      <c r="AS909" s="4">
        <v>1.24761E-16</v>
      </c>
      <c r="AU909" s="4">
        <v>1.24761E-16</v>
      </c>
      <c r="AV909" s="4">
        <v>1.24761E-16</v>
      </c>
    </row>
    <row r="910" spans="3:48" x14ac:dyDescent="0.25">
      <c r="C910" s="7">
        <v>1.07294E-14</v>
      </c>
      <c r="D910" s="5">
        <v>1.5794700000000001E-13</v>
      </c>
      <c r="E910" s="4">
        <v>1.60567E-13</v>
      </c>
      <c r="F910" s="4">
        <v>1.6268799999999999E-13</v>
      </c>
      <c r="I910" s="5">
        <v>3.61807E-15</v>
      </c>
      <c r="K910" s="4">
        <v>1.24761E-16</v>
      </c>
      <c r="O910" s="5">
        <v>1.24761E-16</v>
      </c>
      <c r="P910" s="5"/>
      <c r="Q910" s="4">
        <v>1.24761E-16</v>
      </c>
      <c r="U910" s="5">
        <v>1.62189E-15</v>
      </c>
      <c r="V910" s="5"/>
      <c r="AA910" s="5"/>
      <c r="AG910" s="5"/>
      <c r="AS910" s="4">
        <v>1.24761E-16</v>
      </c>
      <c r="AU910" s="4">
        <v>1.24761E-16</v>
      </c>
      <c r="AV910" s="4">
        <v>1.24761E-16</v>
      </c>
    </row>
    <row r="911" spans="3:48" x14ac:dyDescent="0.25">
      <c r="C911" s="7">
        <v>1.07294E-14</v>
      </c>
      <c r="D911" s="5">
        <v>1.567E-13</v>
      </c>
      <c r="E911" s="4">
        <v>1.5969400000000001E-13</v>
      </c>
      <c r="F911" s="4">
        <v>1.6268799999999999E-13</v>
      </c>
      <c r="I911" s="5">
        <v>3.61807E-15</v>
      </c>
      <c r="K911" s="4">
        <v>1.24761E-16</v>
      </c>
      <c r="O911" s="5">
        <v>1.24761E-16</v>
      </c>
      <c r="P911" s="5"/>
      <c r="Q911" s="4">
        <v>1.24761E-16</v>
      </c>
      <c r="U911" s="5">
        <v>1.62189E-15</v>
      </c>
      <c r="V911" s="5"/>
      <c r="AA911" s="5"/>
      <c r="AG911" s="5"/>
      <c r="AS911" s="4">
        <v>1.24761E-16</v>
      </c>
      <c r="AV911" s="4">
        <v>1.24761E-16</v>
      </c>
    </row>
    <row r="912" spans="3:48" x14ac:dyDescent="0.25">
      <c r="C912" s="7">
        <v>1.07294E-14</v>
      </c>
      <c r="D912" s="5">
        <v>1.567E-13</v>
      </c>
      <c r="E912" s="4">
        <v>1.5944500000000001E-13</v>
      </c>
      <c r="F912" s="4">
        <v>1.6268799999999999E-13</v>
      </c>
      <c r="I912" s="5">
        <v>3.61807E-15</v>
      </c>
      <c r="K912" s="4">
        <v>1.24761E-16</v>
      </c>
      <c r="O912" s="5">
        <v>1.24761E-16</v>
      </c>
      <c r="P912" s="5"/>
      <c r="Q912" s="4">
        <v>1.24761E-16</v>
      </c>
      <c r="U912" s="5">
        <v>1.62189E-15</v>
      </c>
      <c r="V912" s="5"/>
      <c r="AA912" s="5"/>
      <c r="AG912" s="5"/>
      <c r="AS912" s="4">
        <v>1.24761E-16</v>
      </c>
      <c r="AV912" s="4">
        <v>1.24761E-16</v>
      </c>
    </row>
    <row r="913" spans="3:48" x14ac:dyDescent="0.25">
      <c r="C913" s="7">
        <v>1.07294E-14</v>
      </c>
      <c r="D913" s="5">
        <v>1.56201E-13</v>
      </c>
      <c r="E913" s="4">
        <v>1.58571E-13</v>
      </c>
      <c r="F913" s="4">
        <v>1.6268799999999999E-13</v>
      </c>
      <c r="I913" s="5">
        <v>3.61807E-15</v>
      </c>
      <c r="K913" s="4">
        <v>1.24761E-16</v>
      </c>
      <c r="O913" s="5">
        <v>1.24761E-16</v>
      </c>
      <c r="P913" s="5"/>
      <c r="Q913" s="4">
        <v>1.24761E-16</v>
      </c>
      <c r="U913" s="5">
        <v>1.62189E-15</v>
      </c>
      <c r="V913" s="5"/>
      <c r="AA913" s="5"/>
      <c r="AG913" s="5"/>
      <c r="AS913" s="4">
        <v>1.24761E-16</v>
      </c>
      <c r="AV913" s="4">
        <v>1.24761E-16</v>
      </c>
    </row>
    <row r="914" spans="3:48" x14ac:dyDescent="0.25">
      <c r="C914" s="7">
        <v>1.06047E-14</v>
      </c>
      <c r="D914" s="5">
        <v>1.5607599999999999E-13</v>
      </c>
      <c r="E914" s="4">
        <v>1.5844700000000001E-13</v>
      </c>
      <c r="F914" s="4">
        <v>1.61815E-13</v>
      </c>
      <c r="I914" s="5">
        <v>3.61807E-15</v>
      </c>
      <c r="K914" s="4">
        <v>1.24761E-16</v>
      </c>
      <c r="O914" s="5">
        <v>1.24761E-16</v>
      </c>
      <c r="P914" s="5"/>
      <c r="Q914" s="4">
        <v>1.24761E-16</v>
      </c>
      <c r="U914" s="5">
        <v>1.62189E-15</v>
      </c>
      <c r="V914" s="5"/>
      <c r="AA914" s="5"/>
      <c r="AG914" s="5"/>
      <c r="AS914" s="4">
        <v>1.24761E-16</v>
      </c>
      <c r="AV914" s="4">
        <v>1.24761E-16</v>
      </c>
    </row>
    <row r="915" spans="3:48" x14ac:dyDescent="0.25">
      <c r="C915" s="7">
        <v>1.06047E-14</v>
      </c>
      <c r="D915" s="5">
        <v>1.5507799999999999E-13</v>
      </c>
      <c r="E915" s="4">
        <v>1.5744800000000001E-13</v>
      </c>
      <c r="F915" s="4">
        <v>1.61316E-13</v>
      </c>
      <c r="I915" s="5">
        <v>3.61807E-15</v>
      </c>
      <c r="K915" s="4">
        <v>1.24761E-16</v>
      </c>
      <c r="O915" s="5">
        <v>1.24761E-16</v>
      </c>
      <c r="P915" s="5"/>
      <c r="Q915" s="4">
        <v>1.24761E-16</v>
      </c>
      <c r="U915" s="5">
        <v>1.4971299999999999E-15</v>
      </c>
      <c r="V915" s="5"/>
      <c r="AA915" s="5"/>
      <c r="AS915" s="4">
        <v>1.24761E-16</v>
      </c>
      <c r="AV915" s="4">
        <v>1.24761E-16</v>
      </c>
    </row>
    <row r="916" spans="3:48" x14ac:dyDescent="0.25">
      <c r="C916" s="7">
        <v>1.06047E-14</v>
      </c>
      <c r="D916" s="5">
        <v>1.5482799999999999E-13</v>
      </c>
      <c r="E916" s="4">
        <v>1.5632599999999999E-13</v>
      </c>
      <c r="F916" s="4">
        <v>1.60817E-13</v>
      </c>
      <c r="I916" s="5">
        <v>3.61807E-15</v>
      </c>
      <c r="K916" s="4">
        <v>1.24761E-16</v>
      </c>
      <c r="O916" s="5">
        <v>1.24761E-16</v>
      </c>
      <c r="P916" s="5"/>
      <c r="Q916" s="4">
        <v>1.24761E-16</v>
      </c>
      <c r="U916" s="5">
        <v>1.4971299999999999E-15</v>
      </c>
      <c r="V916" s="5"/>
      <c r="AA916" s="5"/>
      <c r="AS916" s="4">
        <v>1.24761E-16</v>
      </c>
      <c r="AV916" s="4">
        <v>1.24761E-16</v>
      </c>
    </row>
    <row r="917" spans="3:48" x14ac:dyDescent="0.25">
      <c r="C917" s="7">
        <v>1.06047E-14</v>
      </c>
      <c r="D917" s="5">
        <v>1.54454E-13</v>
      </c>
      <c r="E917" s="4">
        <v>1.5607599999999999E-13</v>
      </c>
      <c r="F917" s="4">
        <v>1.60068E-13</v>
      </c>
      <c r="I917" s="5">
        <v>3.61807E-15</v>
      </c>
      <c r="K917" s="4">
        <v>1.24761E-16</v>
      </c>
      <c r="O917" s="5">
        <v>1.24761E-16</v>
      </c>
      <c r="P917" s="5"/>
      <c r="Q917" s="4">
        <v>1.24761E-16</v>
      </c>
      <c r="U917" s="5">
        <v>1.4971299999999999E-15</v>
      </c>
      <c r="V917" s="5"/>
      <c r="AA917" s="5"/>
      <c r="AS917" s="4">
        <v>1.24761E-16</v>
      </c>
      <c r="AV917" s="4">
        <v>1.24761E-16</v>
      </c>
    </row>
    <row r="918" spans="3:48" x14ac:dyDescent="0.25">
      <c r="C918" s="7">
        <v>1.06047E-14</v>
      </c>
      <c r="D918" s="5">
        <v>1.54205E-13</v>
      </c>
      <c r="E918" s="4">
        <v>1.5532699999999999E-13</v>
      </c>
      <c r="F918" s="4">
        <v>1.5919500000000001E-13</v>
      </c>
      <c r="I918" s="5">
        <v>3.61807E-15</v>
      </c>
      <c r="K918" s="4">
        <v>1.24761E-16</v>
      </c>
      <c r="O918" s="5">
        <v>1.24761E-16</v>
      </c>
      <c r="P918" s="5"/>
      <c r="Q918" s="4">
        <v>1.24761E-16</v>
      </c>
      <c r="U918" s="5">
        <v>1.4971299999999999E-15</v>
      </c>
      <c r="V918" s="5"/>
      <c r="AA918" s="5"/>
      <c r="AS918" s="4">
        <v>1.24761E-16</v>
      </c>
      <c r="AV918" s="4">
        <v>1.24761E-16</v>
      </c>
    </row>
    <row r="919" spans="3:48" x14ac:dyDescent="0.25">
      <c r="C919" s="7">
        <v>1.0479900000000001E-14</v>
      </c>
      <c r="D919" s="5">
        <v>1.5358100000000001E-13</v>
      </c>
      <c r="E919" s="4">
        <v>1.5532699999999999E-13</v>
      </c>
      <c r="F919" s="4">
        <v>1.5907E-13</v>
      </c>
      <c r="I919" s="5">
        <v>3.61807E-15</v>
      </c>
      <c r="K919" s="4">
        <v>1.24761E-16</v>
      </c>
      <c r="O919" s="5">
        <v>1.24761E-16</v>
      </c>
      <c r="P919" s="5"/>
      <c r="Q919" s="4">
        <v>1.24761E-16</v>
      </c>
      <c r="U919" s="5">
        <v>1.4971299999999999E-15</v>
      </c>
      <c r="V919" s="5"/>
      <c r="AA919" s="5"/>
      <c r="AS919" s="4">
        <v>1.24761E-16</v>
      </c>
      <c r="AV919" s="4">
        <v>1.24761E-16</v>
      </c>
    </row>
    <row r="920" spans="3:48" x14ac:dyDescent="0.25">
      <c r="C920" s="7">
        <v>1.0479900000000001E-14</v>
      </c>
      <c r="D920" s="5">
        <v>1.5308200000000001E-13</v>
      </c>
      <c r="E920" s="4">
        <v>1.54704E-13</v>
      </c>
      <c r="F920" s="4">
        <v>1.58571E-13</v>
      </c>
      <c r="I920" s="5">
        <v>3.49331E-15</v>
      </c>
      <c r="K920" s="4">
        <v>1.24761E-16</v>
      </c>
      <c r="O920" s="5">
        <v>1.24761E-16</v>
      </c>
      <c r="P920" s="5"/>
      <c r="Q920" s="4">
        <v>1.24761E-16</v>
      </c>
      <c r="U920" s="5">
        <v>1.4971299999999999E-15</v>
      </c>
      <c r="V920" s="5"/>
      <c r="AA920" s="5"/>
      <c r="AS920" s="4">
        <v>1.24761E-16</v>
      </c>
      <c r="AV920" s="4">
        <v>1.24761E-16</v>
      </c>
    </row>
    <row r="921" spans="3:48" x14ac:dyDescent="0.25">
      <c r="C921" s="7">
        <v>1.0479900000000001E-14</v>
      </c>
      <c r="D921" s="5">
        <v>1.5283200000000001E-13</v>
      </c>
      <c r="E921" s="4">
        <v>1.5133500000000001E-13</v>
      </c>
      <c r="F921" s="4">
        <v>1.5832199999999999E-13</v>
      </c>
      <c r="I921" s="5">
        <v>3.49331E-15</v>
      </c>
      <c r="K921" s="4">
        <v>1.24761E-16</v>
      </c>
      <c r="O921" s="5">
        <v>1.24761E-16</v>
      </c>
      <c r="P921" s="5"/>
      <c r="Q921" s="4">
        <v>1.24761E-16</v>
      </c>
      <c r="U921" s="5">
        <v>1.4971299999999999E-15</v>
      </c>
      <c r="V921" s="5"/>
      <c r="AA921" s="5"/>
      <c r="AS921" s="4">
        <v>1.24761E-16</v>
      </c>
      <c r="AV921" s="4">
        <v>1.24761E-16</v>
      </c>
    </row>
    <row r="922" spans="3:48" x14ac:dyDescent="0.25">
      <c r="C922" s="7">
        <v>1.0355200000000001E-14</v>
      </c>
      <c r="D922" s="5">
        <v>1.52458E-13</v>
      </c>
      <c r="E922" s="4">
        <v>1.5120999999999999E-13</v>
      </c>
      <c r="F922" s="4">
        <v>1.58072E-13</v>
      </c>
      <c r="I922" s="5">
        <v>3.49331E-15</v>
      </c>
      <c r="K922" s="4">
        <v>1.24761E-16</v>
      </c>
      <c r="O922" s="5">
        <v>1.24761E-16</v>
      </c>
      <c r="P922" s="5"/>
      <c r="Q922" s="4">
        <v>1.24761E-16</v>
      </c>
      <c r="U922" s="5">
        <v>1.3723700000000001E-15</v>
      </c>
      <c r="V922" s="5"/>
      <c r="AA922" s="5"/>
      <c r="AS922" s="4">
        <v>1.24761E-16</v>
      </c>
      <c r="AV922" s="4">
        <v>1.24761E-16</v>
      </c>
    </row>
    <row r="923" spans="3:48" x14ac:dyDescent="0.25">
      <c r="C923" s="7">
        <v>1.0355200000000001E-14</v>
      </c>
      <c r="D923" s="5">
        <v>1.52208E-13</v>
      </c>
      <c r="E923" s="4">
        <v>1.4996299999999999E-13</v>
      </c>
      <c r="F923" s="4">
        <v>1.5757299999999999E-13</v>
      </c>
      <c r="I923" s="5">
        <v>3.49331E-15</v>
      </c>
      <c r="K923" s="4">
        <v>1.24761E-16</v>
      </c>
      <c r="O923" s="5">
        <v>1.24761E-16</v>
      </c>
      <c r="P923" s="5"/>
      <c r="Q923" s="4">
        <v>1.24761E-16</v>
      </c>
      <c r="U923" s="5">
        <v>1.3723700000000001E-15</v>
      </c>
      <c r="V923" s="5"/>
      <c r="AA923" s="5"/>
      <c r="AS923" s="4">
        <v>1.24761E-16</v>
      </c>
      <c r="AV923" s="4">
        <v>1.24761E-16</v>
      </c>
    </row>
    <row r="924" spans="3:48" x14ac:dyDescent="0.25">
      <c r="C924" s="7">
        <v>1.0355200000000001E-14</v>
      </c>
      <c r="D924" s="5">
        <v>1.5071099999999999E-13</v>
      </c>
      <c r="E924" s="4">
        <v>1.49838E-13</v>
      </c>
      <c r="F924" s="4">
        <v>1.5757299999999999E-13</v>
      </c>
      <c r="I924" s="5">
        <v>3.49331E-15</v>
      </c>
      <c r="K924" s="4">
        <v>1.24761E-16</v>
      </c>
      <c r="O924" s="5">
        <v>1.24761E-16</v>
      </c>
      <c r="P924" s="5"/>
      <c r="Q924" s="4">
        <v>1.24761E-16</v>
      </c>
      <c r="U924" s="5">
        <v>1.3723700000000001E-15</v>
      </c>
      <c r="V924" s="5"/>
      <c r="AA924" s="5"/>
      <c r="AS924" s="4">
        <v>1.24761E-16</v>
      </c>
      <c r="AV924" s="4">
        <v>1.24761E-16</v>
      </c>
    </row>
    <row r="925" spans="3:48" x14ac:dyDescent="0.25">
      <c r="C925" s="7">
        <v>1.02304E-14</v>
      </c>
      <c r="D925" s="5">
        <v>1.50337E-13</v>
      </c>
      <c r="E925" s="4">
        <v>1.49089E-13</v>
      </c>
      <c r="F925" s="4">
        <v>1.5694900000000001E-13</v>
      </c>
      <c r="I925" s="5">
        <v>3.49331E-15</v>
      </c>
      <c r="K925" s="4">
        <v>1.24761E-16</v>
      </c>
      <c r="O925" s="5">
        <v>1.24761E-16</v>
      </c>
      <c r="P925" s="5"/>
      <c r="Q925" s="4">
        <v>1.24761E-16</v>
      </c>
      <c r="U925" s="5">
        <v>1.3723700000000001E-15</v>
      </c>
      <c r="V925" s="5"/>
      <c r="AA925" s="5"/>
      <c r="AS925" s="4">
        <v>1.24761E-16</v>
      </c>
      <c r="AV925" s="4">
        <v>1.24761E-16</v>
      </c>
    </row>
    <row r="926" spans="3:48" x14ac:dyDescent="0.25">
      <c r="C926" s="7">
        <v>1.02304E-14</v>
      </c>
      <c r="D926" s="5">
        <v>1.4821600000000001E-13</v>
      </c>
      <c r="E926" s="4">
        <v>1.4884E-13</v>
      </c>
      <c r="F926" s="4">
        <v>1.5682499999999999E-13</v>
      </c>
      <c r="I926" s="5">
        <v>3.49331E-15</v>
      </c>
      <c r="K926" s="4">
        <v>1.24761E-16</v>
      </c>
      <c r="O926" s="5">
        <v>1.24761E-16</v>
      </c>
      <c r="P926" s="5"/>
      <c r="Q926" s="4">
        <v>1.24761E-16</v>
      </c>
      <c r="U926" s="5">
        <v>1.3723700000000001E-15</v>
      </c>
      <c r="V926" s="5"/>
      <c r="AA926" s="5"/>
      <c r="AS926" s="4">
        <v>1.24761E-16</v>
      </c>
      <c r="AV926" s="4">
        <v>1.24761E-16</v>
      </c>
    </row>
    <row r="927" spans="3:48" x14ac:dyDescent="0.25">
      <c r="C927" s="7">
        <v>1.02304E-14</v>
      </c>
      <c r="D927" s="5">
        <v>1.4597000000000001E-13</v>
      </c>
      <c r="E927" s="4">
        <v>1.47842E-13</v>
      </c>
      <c r="F927" s="4">
        <v>1.5632599999999999E-13</v>
      </c>
      <c r="I927" s="5">
        <v>3.49331E-15</v>
      </c>
      <c r="K927" s="4">
        <v>1.24761E-16</v>
      </c>
      <c r="O927" s="5">
        <v>1.24761E-16</v>
      </c>
      <c r="P927" s="5"/>
      <c r="Q927" s="4">
        <v>1.24761E-16</v>
      </c>
      <c r="U927" s="5">
        <v>1.3723700000000001E-15</v>
      </c>
      <c r="V927" s="5"/>
      <c r="AA927" s="5"/>
      <c r="AS927" s="4">
        <v>1.24761E-16</v>
      </c>
      <c r="AV927" s="4">
        <v>1.24761E-16</v>
      </c>
    </row>
    <row r="928" spans="3:48" x14ac:dyDescent="0.25">
      <c r="C928" s="7">
        <v>1.02304E-14</v>
      </c>
      <c r="D928" s="5">
        <v>1.45222E-13</v>
      </c>
      <c r="E928" s="4">
        <v>1.4634499999999999E-13</v>
      </c>
      <c r="F928" s="4">
        <v>1.5632599999999999E-13</v>
      </c>
      <c r="I928" s="5">
        <v>3.49331E-15</v>
      </c>
      <c r="K928" s="4">
        <v>1.24761E-16</v>
      </c>
      <c r="O928" s="5">
        <v>1.24761E-16</v>
      </c>
      <c r="P928" s="5"/>
      <c r="Q928" s="4">
        <v>1.24761E-16</v>
      </c>
      <c r="U928" s="5">
        <v>1.3723700000000001E-15</v>
      </c>
      <c r="V928" s="5"/>
      <c r="AA928" s="5"/>
      <c r="AS928" s="4">
        <v>1.24761E-16</v>
      </c>
      <c r="AV928" s="4">
        <v>1.24761E-16</v>
      </c>
    </row>
    <row r="929" spans="3:48" x14ac:dyDescent="0.25">
      <c r="C929" s="7">
        <v>1.02304E-14</v>
      </c>
      <c r="D929" s="5">
        <v>1.44723E-13</v>
      </c>
      <c r="E929" s="4">
        <v>1.4609499999999999E-13</v>
      </c>
      <c r="F929" s="4">
        <v>1.55452E-13</v>
      </c>
      <c r="I929" s="5">
        <v>3.49331E-15</v>
      </c>
      <c r="K929" s="4">
        <v>1.24761E-16</v>
      </c>
      <c r="O929" s="5">
        <v>1.24761E-16</v>
      </c>
      <c r="P929" s="5"/>
      <c r="Q929" s="4">
        <v>1.24761E-16</v>
      </c>
      <c r="U929" s="5">
        <v>1.3723700000000001E-15</v>
      </c>
      <c r="V929" s="5"/>
      <c r="AA929" s="5"/>
      <c r="AS929" s="4">
        <v>1.24761E-16</v>
      </c>
      <c r="AV929" s="4">
        <v>1.24761E-16</v>
      </c>
    </row>
    <row r="930" spans="3:48" x14ac:dyDescent="0.25">
      <c r="C930" s="7">
        <v>1.0105600000000001E-14</v>
      </c>
      <c r="D930" s="5">
        <v>1.43475E-13</v>
      </c>
      <c r="E930" s="4">
        <v>1.4609499999999999E-13</v>
      </c>
      <c r="F930" s="4">
        <v>1.5532699999999999E-13</v>
      </c>
      <c r="I930" s="5">
        <v>3.49331E-15</v>
      </c>
      <c r="K930" s="4">
        <v>1.24761E-16</v>
      </c>
      <c r="O930" s="5">
        <v>1.24761E-16</v>
      </c>
      <c r="P930" s="5"/>
      <c r="Q930" s="4">
        <v>1.24761E-16</v>
      </c>
      <c r="U930" s="5">
        <v>1.3723700000000001E-15</v>
      </c>
      <c r="V930" s="5"/>
      <c r="AA930" s="5"/>
      <c r="AS930" s="4">
        <v>1.24761E-16</v>
      </c>
      <c r="AV930" s="4">
        <v>1.24761E-16</v>
      </c>
    </row>
    <row r="931" spans="3:48" x14ac:dyDescent="0.25">
      <c r="C931" s="7">
        <v>1.0105600000000001E-14</v>
      </c>
      <c r="D931" s="5">
        <v>1.4260200000000001E-13</v>
      </c>
      <c r="E931" s="4">
        <v>1.4459799999999999E-13</v>
      </c>
      <c r="F931" s="4">
        <v>1.5482799999999999E-13</v>
      </c>
      <c r="I931" s="5">
        <v>3.49331E-15</v>
      </c>
      <c r="K931" s="4">
        <v>1.24761E-16</v>
      </c>
      <c r="O931" s="5">
        <v>1.24761E-16</v>
      </c>
      <c r="P931" s="5"/>
      <c r="Q931" s="4">
        <v>1.24761E-16</v>
      </c>
      <c r="U931" s="5">
        <v>1.3723700000000001E-15</v>
      </c>
      <c r="V931" s="5"/>
      <c r="AA931" s="5"/>
      <c r="AS931" s="4">
        <v>1.24761E-16</v>
      </c>
      <c r="AV931" s="4">
        <v>1.24761E-16</v>
      </c>
    </row>
    <row r="932" spans="3:48" x14ac:dyDescent="0.25">
      <c r="C932" s="7">
        <v>1.0105600000000001E-14</v>
      </c>
      <c r="D932" s="5">
        <v>1.4260200000000001E-13</v>
      </c>
      <c r="E932" s="4">
        <v>1.44224E-13</v>
      </c>
      <c r="F932" s="4">
        <v>1.5145999999999999E-13</v>
      </c>
      <c r="I932" s="5">
        <v>3.3685499999999999E-15</v>
      </c>
      <c r="K932" s="4">
        <v>1.24761E-16</v>
      </c>
      <c r="O932" s="5">
        <v>1.24761E-16</v>
      </c>
      <c r="P932" s="5"/>
      <c r="Q932" s="4">
        <v>1.24761E-16</v>
      </c>
      <c r="U932" s="5">
        <v>1.3723700000000001E-15</v>
      </c>
      <c r="V932" s="5"/>
      <c r="AA932" s="5"/>
      <c r="AS932" s="4">
        <v>1.24761E-16</v>
      </c>
      <c r="AV932" s="4">
        <v>1.24761E-16</v>
      </c>
    </row>
    <row r="933" spans="3:48" x14ac:dyDescent="0.25">
      <c r="C933" s="7">
        <v>1.0105600000000001E-14</v>
      </c>
      <c r="D933" s="5">
        <v>1.42228E-13</v>
      </c>
      <c r="E933" s="4">
        <v>1.43725E-13</v>
      </c>
      <c r="F933" s="4">
        <v>1.5145999999999999E-13</v>
      </c>
      <c r="I933" s="5">
        <v>3.3685499999999999E-15</v>
      </c>
      <c r="K933" s="4">
        <v>1.24761E-16</v>
      </c>
      <c r="O933" s="5">
        <v>1.24761E-16</v>
      </c>
      <c r="P933" s="5"/>
      <c r="Q933" s="4">
        <v>1.24761E-16</v>
      </c>
      <c r="U933" s="5">
        <v>1.3723700000000001E-15</v>
      </c>
      <c r="V933" s="5"/>
      <c r="AA933" s="5"/>
      <c r="AS933" s="4">
        <v>1.24761E-16</v>
      </c>
      <c r="AV933" s="4">
        <v>1.24761E-16</v>
      </c>
    </row>
    <row r="934" spans="3:48" x14ac:dyDescent="0.25">
      <c r="C934" s="7">
        <v>1.0105600000000001E-14</v>
      </c>
      <c r="D934" s="5">
        <v>1.4098E-13</v>
      </c>
      <c r="E934" s="4">
        <v>1.43475E-13</v>
      </c>
      <c r="F934" s="4">
        <v>1.50337E-13</v>
      </c>
      <c r="I934" s="5">
        <v>3.3685499999999999E-15</v>
      </c>
      <c r="K934" s="4">
        <v>1.24761E-16</v>
      </c>
      <c r="O934" s="5">
        <v>1.24761E-16</v>
      </c>
      <c r="P934" s="5"/>
      <c r="Q934" s="4">
        <v>1.24761E-16</v>
      </c>
      <c r="U934" s="5">
        <v>1.3723700000000001E-15</v>
      </c>
      <c r="V934" s="5"/>
      <c r="AA934" s="5"/>
      <c r="AS934" s="4">
        <v>1.24761E-16</v>
      </c>
      <c r="AV934" s="4">
        <v>1.24761E-16</v>
      </c>
    </row>
    <row r="935" spans="3:48" x14ac:dyDescent="0.25">
      <c r="C935" s="7">
        <v>9.9808799999999998E-15</v>
      </c>
      <c r="D935" s="5">
        <v>1.4060600000000001E-13</v>
      </c>
      <c r="E935" s="4">
        <v>1.4285099999999999E-13</v>
      </c>
      <c r="F935" s="4">
        <v>1.4971299999999999E-13</v>
      </c>
      <c r="I935" s="5">
        <v>3.3685499999999999E-15</v>
      </c>
      <c r="K935" s="4">
        <v>1.24761E-16</v>
      </c>
      <c r="O935" s="5">
        <v>1.24761E-16</v>
      </c>
      <c r="P935" s="5"/>
      <c r="U935" s="5">
        <v>1.3723700000000001E-15</v>
      </c>
      <c r="V935" s="5"/>
      <c r="AA935" s="5"/>
      <c r="AS935" s="4">
        <v>1.24761E-16</v>
      </c>
      <c r="AV935" s="4">
        <v>1.24761E-16</v>
      </c>
    </row>
    <row r="936" spans="3:48" x14ac:dyDescent="0.25">
      <c r="C936" s="7">
        <v>9.9808799999999998E-15</v>
      </c>
      <c r="D936" s="5">
        <v>1.4010700000000001E-13</v>
      </c>
      <c r="E936" s="4">
        <v>1.4210300000000001E-13</v>
      </c>
      <c r="F936" s="4">
        <v>1.49588E-13</v>
      </c>
      <c r="I936" s="5">
        <v>3.3685499999999999E-15</v>
      </c>
      <c r="K936" s="4">
        <v>1.24761E-16</v>
      </c>
      <c r="O936" s="5">
        <v>1.24761E-16</v>
      </c>
      <c r="P936" s="5"/>
      <c r="U936" s="5">
        <v>1.3723700000000001E-15</v>
      </c>
      <c r="V936" s="5"/>
      <c r="AA936" s="5"/>
      <c r="AS936" s="4">
        <v>1.24761E-16</v>
      </c>
      <c r="AV936" s="4">
        <v>1.24761E-16</v>
      </c>
    </row>
    <row r="937" spans="3:48" x14ac:dyDescent="0.25">
      <c r="C937" s="7">
        <v>9.9808799999999998E-15</v>
      </c>
      <c r="D937" s="5">
        <v>1.3898399999999999E-13</v>
      </c>
      <c r="E937" s="4">
        <v>1.40231E-13</v>
      </c>
      <c r="F937" s="4">
        <v>1.4921399999999999E-13</v>
      </c>
      <c r="I937" s="5">
        <v>3.3685499999999999E-15</v>
      </c>
      <c r="K937" s="4">
        <v>1.24761E-16</v>
      </c>
      <c r="O937" s="5">
        <v>1.24761E-16</v>
      </c>
      <c r="P937" s="5"/>
      <c r="U937" s="5">
        <v>1.3723700000000001E-15</v>
      </c>
      <c r="V937" s="5"/>
      <c r="AA937" s="5"/>
      <c r="AS937" s="4">
        <v>1.24761E-16</v>
      </c>
      <c r="AV937" s="4">
        <v>1.24761E-16</v>
      </c>
    </row>
    <row r="938" spans="3:48" x14ac:dyDescent="0.25">
      <c r="C938" s="7">
        <v>9.9808799999999998E-15</v>
      </c>
      <c r="D938" s="5">
        <v>1.37362E-13</v>
      </c>
      <c r="E938" s="4">
        <v>1.40231E-13</v>
      </c>
      <c r="F938" s="4">
        <v>1.4859E-13</v>
      </c>
      <c r="I938" s="5">
        <v>3.24378E-15</v>
      </c>
      <c r="K938" s="4">
        <v>1.24761E-16</v>
      </c>
      <c r="O938" s="5">
        <v>1.24761E-16</v>
      </c>
      <c r="P938" s="5"/>
      <c r="U938" s="5">
        <v>1.3723700000000001E-15</v>
      </c>
      <c r="V938" s="5"/>
      <c r="AA938" s="5"/>
      <c r="AS938" s="4">
        <v>1.24761E-16</v>
      </c>
      <c r="AV938" s="4">
        <v>1.24761E-16</v>
      </c>
    </row>
    <row r="939" spans="3:48" x14ac:dyDescent="0.25">
      <c r="C939" s="7">
        <v>9.9808799999999998E-15</v>
      </c>
      <c r="D939" s="5">
        <v>1.3723699999999999E-13</v>
      </c>
      <c r="E939" s="4">
        <v>1.3948299999999999E-13</v>
      </c>
      <c r="F939" s="4">
        <v>1.48091E-13</v>
      </c>
      <c r="I939" s="5">
        <v>3.24378E-15</v>
      </c>
      <c r="K939" s="4">
        <v>1.24761E-16</v>
      </c>
      <c r="O939" s="5">
        <v>1.24761E-16</v>
      </c>
      <c r="P939" s="5"/>
      <c r="U939" s="5">
        <v>1.3723700000000001E-15</v>
      </c>
      <c r="V939" s="5"/>
      <c r="AA939" s="5"/>
      <c r="AS939" s="4">
        <v>1.24761E-16</v>
      </c>
      <c r="AV939" s="4">
        <v>1.24761E-16</v>
      </c>
    </row>
    <row r="940" spans="3:48" x14ac:dyDescent="0.25">
      <c r="C940" s="7">
        <v>9.9808799999999998E-15</v>
      </c>
      <c r="D940" s="5">
        <v>1.35865E-13</v>
      </c>
      <c r="E940" s="4">
        <v>1.3923299999999999E-13</v>
      </c>
      <c r="F940" s="4">
        <v>1.47842E-13</v>
      </c>
      <c r="I940" s="5">
        <v>3.24378E-15</v>
      </c>
      <c r="K940" s="4">
        <v>1.24761E-16</v>
      </c>
      <c r="O940" s="5">
        <v>1.24761E-16</v>
      </c>
      <c r="P940" s="5"/>
      <c r="U940" s="5">
        <v>1.3723700000000001E-15</v>
      </c>
      <c r="V940" s="5"/>
      <c r="AA940" s="5"/>
      <c r="AS940" s="4">
        <v>1.24761E-16</v>
      </c>
      <c r="AV940" s="4">
        <v>1.24761E-16</v>
      </c>
    </row>
    <row r="941" spans="3:48" x14ac:dyDescent="0.25">
      <c r="C941" s="7">
        <v>9.9808799999999998E-15</v>
      </c>
      <c r="D941" s="5">
        <v>1.35865E-13</v>
      </c>
      <c r="E941" s="4">
        <v>1.39109E-13</v>
      </c>
      <c r="F941" s="4">
        <v>1.47842E-13</v>
      </c>
      <c r="I941" s="5">
        <v>3.24378E-15</v>
      </c>
      <c r="K941" s="4">
        <v>1.24761E-16</v>
      </c>
      <c r="O941" s="5">
        <v>1.24761E-16</v>
      </c>
      <c r="P941" s="5"/>
      <c r="U941" s="5">
        <v>1.3723700000000001E-15</v>
      </c>
      <c r="V941" s="5"/>
      <c r="AA941" s="5"/>
      <c r="AS941" s="4">
        <v>1.24761E-16</v>
      </c>
      <c r="AV941" s="4">
        <v>1.24761E-16</v>
      </c>
    </row>
    <row r="942" spans="3:48" x14ac:dyDescent="0.25">
      <c r="C942" s="7">
        <v>9.8561199999999997E-15</v>
      </c>
      <c r="D942" s="5">
        <v>1.3386899999999999E-13</v>
      </c>
      <c r="E942" s="4">
        <v>1.38859E-13</v>
      </c>
      <c r="F942" s="4">
        <v>1.47592E-13</v>
      </c>
      <c r="I942" s="5">
        <v>3.24378E-15</v>
      </c>
      <c r="K942" s="4">
        <v>1.24761E-16</v>
      </c>
      <c r="O942" s="5">
        <v>1.24761E-16</v>
      </c>
      <c r="P942" s="5"/>
      <c r="U942" s="5">
        <v>1.3723700000000001E-15</v>
      </c>
      <c r="V942" s="5"/>
      <c r="AA942" s="5"/>
      <c r="AS942" s="4">
        <v>1.24761E-16</v>
      </c>
      <c r="AV942" s="4">
        <v>1.24761E-16</v>
      </c>
    </row>
    <row r="943" spans="3:48" x14ac:dyDescent="0.25">
      <c r="C943" s="7">
        <v>9.8561199999999997E-15</v>
      </c>
      <c r="D943" s="5">
        <v>1.3262099999999999E-13</v>
      </c>
      <c r="E943" s="4">
        <v>1.3723699999999999E-13</v>
      </c>
      <c r="F943" s="4">
        <v>1.47093E-13</v>
      </c>
      <c r="I943" s="5">
        <v>3.24378E-15</v>
      </c>
      <c r="K943" s="4">
        <v>1.24761E-16</v>
      </c>
      <c r="O943" s="5">
        <v>1.24761E-16</v>
      </c>
      <c r="P943" s="5"/>
      <c r="U943" s="5">
        <v>1.3723700000000001E-15</v>
      </c>
      <c r="V943" s="5"/>
      <c r="AA943" s="5"/>
      <c r="AS943" s="4">
        <v>1.24761E-16</v>
      </c>
      <c r="AV943" s="4">
        <v>1.24761E-16</v>
      </c>
    </row>
    <row r="944" spans="3:48" x14ac:dyDescent="0.25">
      <c r="C944" s="7">
        <v>9.8561199999999997E-15</v>
      </c>
      <c r="D944" s="5">
        <v>1.3237099999999999E-13</v>
      </c>
      <c r="E944" s="4">
        <v>1.37112E-13</v>
      </c>
      <c r="F944" s="4">
        <v>1.47093E-13</v>
      </c>
      <c r="I944" s="5">
        <v>3.24378E-15</v>
      </c>
      <c r="K944" s="4">
        <v>1.24761E-16</v>
      </c>
      <c r="O944" s="5">
        <v>1.24761E-16</v>
      </c>
      <c r="P944" s="5"/>
      <c r="U944" s="5">
        <v>1.3723700000000001E-15</v>
      </c>
      <c r="V944" s="5"/>
      <c r="AA944" s="5"/>
      <c r="AS944" s="4">
        <v>1.24761E-16</v>
      </c>
      <c r="AV944" s="4">
        <v>1.24761E-16</v>
      </c>
    </row>
    <row r="945" spans="3:48" x14ac:dyDescent="0.25">
      <c r="C945" s="7">
        <v>9.7313599999999996E-15</v>
      </c>
      <c r="D945" s="5">
        <v>1.32247E-13</v>
      </c>
      <c r="E945" s="4">
        <v>1.37112E-13</v>
      </c>
      <c r="F945" s="4">
        <v>1.4696900000000001E-13</v>
      </c>
      <c r="I945" s="5">
        <v>3.24378E-15</v>
      </c>
      <c r="K945" s="4">
        <v>1.24761E-16</v>
      </c>
      <c r="O945" s="5">
        <v>1.24761E-16</v>
      </c>
      <c r="P945" s="5"/>
      <c r="U945" s="5">
        <v>1.3723700000000001E-15</v>
      </c>
      <c r="V945" s="5"/>
      <c r="AA945" s="5"/>
      <c r="AS945" s="4">
        <v>1.24761E-16</v>
      </c>
      <c r="AV945" s="4">
        <v>1.24761E-16</v>
      </c>
    </row>
    <row r="946" spans="3:48" x14ac:dyDescent="0.25">
      <c r="C946" s="7">
        <v>9.6065999999999996E-15</v>
      </c>
      <c r="D946" s="5">
        <v>1.3187199999999999E-13</v>
      </c>
      <c r="E946" s="4">
        <v>1.3673799999999999E-13</v>
      </c>
      <c r="F946" s="4">
        <v>1.4622000000000001E-13</v>
      </c>
      <c r="I946" s="5">
        <v>3.1190199999999999E-15</v>
      </c>
      <c r="K946" s="4">
        <v>1.24761E-16</v>
      </c>
      <c r="O946" s="5">
        <v>1.24761E-16</v>
      </c>
      <c r="P946" s="5"/>
      <c r="U946" s="5">
        <v>1.3723700000000001E-15</v>
      </c>
      <c r="V946" s="5"/>
      <c r="AA946" s="5"/>
      <c r="AS946" s="4">
        <v>1.24761E-16</v>
      </c>
      <c r="AV946" s="4">
        <v>1.24761E-16</v>
      </c>
    </row>
    <row r="947" spans="3:48" x14ac:dyDescent="0.25">
      <c r="C947" s="7">
        <v>9.6065999999999996E-15</v>
      </c>
      <c r="D947" s="5">
        <v>1.30999E-13</v>
      </c>
      <c r="E947" s="4">
        <v>1.3599000000000001E-13</v>
      </c>
      <c r="F947" s="4">
        <v>1.4509699999999999E-13</v>
      </c>
      <c r="I947" s="5">
        <v>3.1190199999999999E-15</v>
      </c>
      <c r="K947" s="4">
        <v>1.24761E-16</v>
      </c>
      <c r="O947" s="5">
        <v>1.24761E-16</v>
      </c>
      <c r="P947" s="5"/>
      <c r="U947" s="5">
        <v>1.3723700000000001E-15</v>
      </c>
      <c r="V947" s="5"/>
      <c r="AA947" s="5"/>
      <c r="AS947" s="4">
        <v>1.24761E-16</v>
      </c>
      <c r="AV947" s="4">
        <v>1.24761E-16</v>
      </c>
    </row>
    <row r="948" spans="3:48" x14ac:dyDescent="0.25">
      <c r="C948" s="7">
        <v>9.6065999999999996E-15</v>
      </c>
      <c r="D948" s="5">
        <v>1.305E-13</v>
      </c>
      <c r="E948" s="4">
        <v>1.3599000000000001E-13</v>
      </c>
      <c r="F948" s="4">
        <v>1.4459799999999999E-13</v>
      </c>
      <c r="I948" s="5">
        <v>3.1190199999999999E-15</v>
      </c>
      <c r="K948" s="4">
        <v>1.24761E-16</v>
      </c>
      <c r="O948" s="5">
        <v>1.24761E-16</v>
      </c>
      <c r="P948" s="5"/>
      <c r="U948" s="5">
        <v>1.3723700000000001E-15</v>
      </c>
      <c r="V948" s="5"/>
      <c r="AA948" s="5"/>
      <c r="AS948" s="4">
        <v>1.24761E-16</v>
      </c>
      <c r="AV948" s="4">
        <v>1.24761E-16</v>
      </c>
    </row>
    <row r="949" spans="3:48" x14ac:dyDescent="0.25">
      <c r="C949" s="7">
        <v>9.6065999999999996E-15</v>
      </c>
      <c r="D949" s="5">
        <v>1.3037500000000001E-13</v>
      </c>
      <c r="E949" s="4">
        <v>1.3574000000000001E-13</v>
      </c>
      <c r="F949" s="4">
        <v>1.4434899999999999E-13</v>
      </c>
      <c r="I949" s="5">
        <v>3.1190199999999999E-15</v>
      </c>
      <c r="K949" s="4">
        <v>1.24761E-16</v>
      </c>
      <c r="O949" s="5">
        <v>1.24761E-16</v>
      </c>
      <c r="P949" s="5"/>
      <c r="U949" s="5">
        <v>1.3723700000000001E-15</v>
      </c>
      <c r="V949" s="5"/>
      <c r="AA949" s="5"/>
      <c r="AS949" s="4">
        <v>1.24761E-16</v>
      </c>
      <c r="AV949" s="4">
        <v>1.24761E-16</v>
      </c>
    </row>
    <row r="950" spans="3:48" x14ac:dyDescent="0.25">
      <c r="C950" s="7">
        <v>9.6065999999999996E-15</v>
      </c>
      <c r="D950" s="5">
        <v>1.2862900000000001E-13</v>
      </c>
      <c r="E950" s="4">
        <v>1.35615E-13</v>
      </c>
      <c r="F950" s="4">
        <v>1.4434899999999999E-13</v>
      </c>
      <c r="I950" s="5">
        <v>3.1190199999999999E-15</v>
      </c>
      <c r="K950" s="4">
        <v>1.24761E-16</v>
      </c>
      <c r="O950" s="5">
        <v>1.24761E-16</v>
      </c>
      <c r="P950" s="5"/>
      <c r="U950" s="5">
        <v>1.3723700000000001E-15</v>
      </c>
      <c r="V950" s="5"/>
      <c r="AA950" s="5"/>
      <c r="AS950" s="4">
        <v>1.24761E-16</v>
      </c>
      <c r="AV950" s="4">
        <v>1.24761E-16</v>
      </c>
    </row>
    <row r="951" spans="3:48" x14ac:dyDescent="0.25">
      <c r="C951" s="7">
        <v>9.4818399999999995E-15</v>
      </c>
      <c r="D951" s="5">
        <v>1.2850399999999999E-13</v>
      </c>
      <c r="E951" s="4">
        <v>1.3499100000000001E-13</v>
      </c>
      <c r="F951" s="4">
        <v>1.4384899999999999E-13</v>
      </c>
      <c r="I951" s="5">
        <v>3.1190199999999999E-15</v>
      </c>
      <c r="K951" s="4">
        <v>1.24761E-16</v>
      </c>
      <c r="O951" s="5">
        <v>1.24761E-16</v>
      </c>
      <c r="P951" s="5"/>
      <c r="U951" s="5">
        <v>1.24761E-15</v>
      </c>
      <c r="V951" s="5"/>
      <c r="AA951" s="5"/>
      <c r="AS951" s="4">
        <v>1.24761E-16</v>
      </c>
      <c r="AV951" s="4">
        <v>1.24761E-16</v>
      </c>
    </row>
    <row r="952" spans="3:48" x14ac:dyDescent="0.25">
      <c r="C952" s="7">
        <v>9.4818399999999995E-15</v>
      </c>
      <c r="D952" s="5">
        <v>1.2837900000000001E-13</v>
      </c>
      <c r="E952" s="4">
        <v>1.34617E-13</v>
      </c>
      <c r="F952" s="4">
        <v>1.4359999999999999E-13</v>
      </c>
      <c r="I952" s="5">
        <v>3.1190199999999999E-15</v>
      </c>
      <c r="K952" s="4">
        <v>1.24761E-16</v>
      </c>
      <c r="O952" s="5">
        <v>1.24761E-16</v>
      </c>
      <c r="P952" s="5"/>
      <c r="U952" s="5">
        <v>1.24761E-15</v>
      </c>
      <c r="V952" s="5"/>
      <c r="AA952" s="5"/>
      <c r="AS952" s="4">
        <v>1.24761E-16</v>
      </c>
      <c r="AV952" s="4">
        <v>1.24761E-16</v>
      </c>
    </row>
    <row r="953" spans="3:48" x14ac:dyDescent="0.25">
      <c r="C953" s="7">
        <v>9.4818399999999995E-15</v>
      </c>
      <c r="D953" s="5">
        <v>1.2837900000000001E-13</v>
      </c>
      <c r="E953" s="4">
        <v>1.3411799999999999E-13</v>
      </c>
      <c r="F953" s="4">
        <v>1.43475E-13</v>
      </c>
      <c r="I953" s="5">
        <v>3.1190199999999999E-15</v>
      </c>
      <c r="K953" s="4">
        <v>1.24761E-16</v>
      </c>
      <c r="O953" s="5">
        <v>1.24761E-16</v>
      </c>
      <c r="P953" s="5"/>
      <c r="U953" s="5">
        <v>1.24761E-15</v>
      </c>
      <c r="V953" s="5"/>
      <c r="AA953" s="5"/>
      <c r="AS953" s="4">
        <v>1.24761E-16</v>
      </c>
      <c r="AV953" s="4">
        <v>1.24761E-16</v>
      </c>
    </row>
    <row r="954" spans="3:48" x14ac:dyDescent="0.25">
      <c r="C954" s="7">
        <v>9.4818399999999995E-15</v>
      </c>
      <c r="D954" s="5">
        <v>1.2750599999999999E-13</v>
      </c>
      <c r="E954" s="4">
        <v>1.3386899999999999E-13</v>
      </c>
      <c r="F954" s="4">
        <v>1.4285099999999999E-13</v>
      </c>
      <c r="I954" s="5">
        <v>3.1190199999999999E-15</v>
      </c>
      <c r="K954" s="4">
        <v>1.24761E-16</v>
      </c>
      <c r="O954" s="5">
        <v>1.24761E-16</v>
      </c>
      <c r="P954" s="5"/>
      <c r="U954" s="5">
        <v>1.24761E-15</v>
      </c>
      <c r="V954" s="5"/>
      <c r="AA954" s="5"/>
      <c r="AS954" s="4">
        <v>1.24761E-16</v>
      </c>
      <c r="AV954" s="4">
        <v>1.24761E-16</v>
      </c>
    </row>
    <row r="955" spans="3:48" x14ac:dyDescent="0.25">
      <c r="C955" s="7">
        <v>9.4818399999999995E-15</v>
      </c>
      <c r="D955" s="5">
        <v>1.2625799999999999E-13</v>
      </c>
      <c r="E955" s="4">
        <v>1.3386899999999999E-13</v>
      </c>
      <c r="F955" s="4">
        <v>1.4285099999999999E-13</v>
      </c>
      <c r="I955" s="5">
        <v>2.9942599999999999E-15</v>
      </c>
      <c r="K955" s="4">
        <v>1.24761E-16</v>
      </c>
      <c r="O955" s="5">
        <v>1.24761E-16</v>
      </c>
      <c r="P955" s="5"/>
      <c r="U955" s="5">
        <v>1.24761E-15</v>
      </c>
      <c r="V955" s="5"/>
      <c r="AA955" s="5"/>
      <c r="AS955" s="4">
        <v>1.24761E-16</v>
      </c>
      <c r="AV955" s="4">
        <v>1.24761E-16</v>
      </c>
    </row>
    <row r="956" spans="3:48" x14ac:dyDescent="0.25">
      <c r="C956" s="7">
        <v>9.4818399999999995E-15</v>
      </c>
      <c r="D956" s="5">
        <v>1.25634E-13</v>
      </c>
      <c r="E956" s="4">
        <v>1.3262099999999999E-13</v>
      </c>
      <c r="F956" s="4">
        <v>1.4160400000000001E-13</v>
      </c>
      <c r="I956" s="5">
        <v>2.9942599999999999E-15</v>
      </c>
      <c r="K956" s="4">
        <v>1.24761E-16</v>
      </c>
      <c r="O956" s="5">
        <v>1.24761E-16</v>
      </c>
      <c r="P956" s="5"/>
      <c r="U956" s="5">
        <v>1.24761E-15</v>
      </c>
      <c r="V956" s="5"/>
      <c r="AA956" s="5"/>
      <c r="AS956" s="4">
        <v>1.24761E-16</v>
      </c>
      <c r="AV956" s="4">
        <v>1.24761E-16</v>
      </c>
    </row>
    <row r="957" spans="3:48" x14ac:dyDescent="0.25">
      <c r="C957" s="7">
        <v>9.3570799999999994E-15</v>
      </c>
      <c r="D957" s="5">
        <v>1.25385E-13</v>
      </c>
      <c r="E957" s="4">
        <v>1.32247E-13</v>
      </c>
      <c r="F957" s="4">
        <v>1.3998199999999999E-13</v>
      </c>
      <c r="I957" s="5">
        <v>2.9942599999999999E-15</v>
      </c>
      <c r="K957" s="4">
        <v>1.24761E-16</v>
      </c>
      <c r="O957" s="5">
        <v>1.24761E-16</v>
      </c>
      <c r="P957" s="5"/>
      <c r="U957" s="5">
        <v>1.24761E-15</v>
      </c>
      <c r="V957" s="5"/>
      <c r="AA957" s="5"/>
      <c r="AS957" s="4">
        <v>1.24761E-16</v>
      </c>
      <c r="AV957" s="4">
        <v>1.24761E-16</v>
      </c>
    </row>
    <row r="958" spans="3:48" x14ac:dyDescent="0.25">
      <c r="C958" s="7">
        <v>9.2323199999999993E-15</v>
      </c>
      <c r="D958" s="5">
        <v>1.2525999999999999E-13</v>
      </c>
      <c r="E958" s="4">
        <v>1.3212199999999999E-13</v>
      </c>
      <c r="F958" s="4">
        <v>1.3923299999999999E-13</v>
      </c>
      <c r="I958" s="5">
        <v>2.9942599999999999E-15</v>
      </c>
      <c r="K958" s="4">
        <v>1.24761E-16</v>
      </c>
      <c r="O958" s="5">
        <v>1.24761E-16</v>
      </c>
      <c r="P958" s="5"/>
      <c r="U958" s="5">
        <v>1.24761E-15</v>
      </c>
      <c r="V958" s="5"/>
      <c r="AA958" s="5"/>
      <c r="AS958" s="4">
        <v>1.24761E-16</v>
      </c>
      <c r="AV958" s="4">
        <v>1.24761E-16</v>
      </c>
    </row>
    <row r="959" spans="3:48" x14ac:dyDescent="0.25">
      <c r="C959" s="7">
        <v>9.2323199999999993E-15</v>
      </c>
      <c r="D959" s="5">
        <v>1.2525999999999999E-13</v>
      </c>
      <c r="E959" s="4">
        <v>1.31997E-13</v>
      </c>
      <c r="F959" s="4">
        <v>1.3823499999999999E-13</v>
      </c>
      <c r="I959" s="5">
        <v>2.9942599999999999E-15</v>
      </c>
      <c r="K959" s="4">
        <v>1.24761E-16</v>
      </c>
      <c r="O959" s="5">
        <v>1.24761E-16</v>
      </c>
      <c r="P959" s="5"/>
      <c r="U959" s="5">
        <v>1.24761E-15</v>
      </c>
      <c r="V959" s="5"/>
      <c r="AA959" s="5"/>
      <c r="AS959" s="4">
        <v>1.24761E-16</v>
      </c>
      <c r="AV959" s="4">
        <v>1.24761E-16</v>
      </c>
    </row>
    <row r="960" spans="3:48" x14ac:dyDescent="0.25">
      <c r="C960" s="7">
        <v>9.2323199999999993E-15</v>
      </c>
      <c r="D960" s="5">
        <v>1.2476100000000001E-13</v>
      </c>
      <c r="E960" s="4">
        <v>1.3187199999999999E-13</v>
      </c>
      <c r="F960" s="4">
        <v>1.3811E-13</v>
      </c>
      <c r="I960" s="5">
        <v>2.9942599999999999E-15</v>
      </c>
      <c r="K960" s="4">
        <v>1.24761E-16</v>
      </c>
      <c r="O960" s="5">
        <v>1.24761E-16</v>
      </c>
      <c r="P960" s="5"/>
      <c r="U960" s="5">
        <v>1.24761E-15</v>
      </c>
      <c r="V960" s="5"/>
      <c r="AA960" s="5"/>
      <c r="AS960" s="4">
        <v>1.24761E-16</v>
      </c>
      <c r="AV960" s="4">
        <v>1.24761E-16</v>
      </c>
    </row>
    <row r="961" spans="3:48" x14ac:dyDescent="0.25">
      <c r="C961" s="7">
        <v>9.2323199999999993E-15</v>
      </c>
      <c r="D961" s="5">
        <v>1.2476100000000001E-13</v>
      </c>
      <c r="E961" s="4">
        <v>1.31498E-13</v>
      </c>
      <c r="F961" s="4">
        <v>1.3723699999999999E-13</v>
      </c>
      <c r="I961" s="5">
        <v>2.9942599999999999E-15</v>
      </c>
      <c r="K961" s="4">
        <v>1.24761E-16</v>
      </c>
      <c r="O961" s="5">
        <v>1.24761E-16</v>
      </c>
      <c r="P961" s="5"/>
      <c r="U961" s="5">
        <v>1.24761E-15</v>
      </c>
      <c r="V961" s="5"/>
      <c r="AA961" s="5"/>
      <c r="AS961" s="4">
        <v>1.24761E-16</v>
      </c>
      <c r="AV961" s="4">
        <v>1.24761E-16</v>
      </c>
    </row>
    <row r="962" spans="3:48" x14ac:dyDescent="0.25">
      <c r="C962" s="7">
        <v>9.2323199999999993E-15</v>
      </c>
      <c r="D962" s="5">
        <v>1.24387E-13</v>
      </c>
      <c r="E962" s="4">
        <v>1.30999E-13</v>
      </c>
      <c r="F962" s="4">
        <v>1.36364E-13</v>
      </c>
      <c r="I962" s="5">
        <v>2.9942599999999999E-15</v>
      </c>
      <c r="K962" s="4">
        <v>1.24761E-16</v>
      </c>
      <c r="O962" s="5">
        <v>1.24761E-16</v>
      </c>
      <c r="P962" s="5"/>
      <c r="U962" s="5">
        <v>1.24761E-15</v>
      </c>
      <c r="V962" s="5"/>
      <c r="AA962" s="5"/>
      <c r="AS962" s="4">
        <v>1.24761E-16</v>
      </c>
      <c r="AV962" s="4">
        <v>1.24761E-16</v>
      </c>
    </row>
    <row r="963" spans="3:48" x14ac:dyDescent="0.25">
      <c r="C963" s="7">
        <v>9.2323199999999993E-15</v>
      </c>
      <c r="D963" s="5">
        <v>1.24137E-13</v>
      </c>
      <c r="E963" s="4">
        <v>1.3075E-13</v>
      </c>
      <c r="F963" s="4">
        <v>1.36114E-13</v>
      </c>
      <c r="I963" s="5">
        <v>2.9942599999999999E-15</v>
      </c>
      <c r="K963" s="4">
        <v>1.24761E-16</v>
      </c>
      <c r="O963" s="5">
        <v>1.24761E-16</v>
      </c>
      <c r="P963" s="5"/>
      <c r="U963" s="5">
        <v>1.24761E-15</v>
      </c>
      <c r="V963" s="5"/>
      <c r="AA963" s="5"/>
      <c r="AS963" s="4">
        <v>1.24761E-16</v>
      </c>
      <c r="AV963" s="4">
        <v>1.24761E-16</v>
      </c>
    </row>
    <row r="964" spans="3:48" x14ac:dyDescent="0.25">
      <c r="C964" s="7">
        <v>9.1075599999999992E-15</v>
      </c>
      <c r="D964" s="5">
        <v>1.23888E-13</v>
      </c>
      <c r="E964" s="4">
        <v>1.2987600000000001E-13</v>
      </c>
      <c r="F964" s="4">
        <v>1.3474200000000001E-13</v>
      </c>
      <c r="I964" s="5">
        <v>2.9942599999999999E-15</v>
      </c>
      <c r="K964" s="4">
        <v>1.24761E-16</v>
      </c>
      <c r="O964" s="5">
        <v>1.24761E-16</v>
      </c>
      <c r="P964" s="5"/>
      <c r="U964" s="5">
        <v>1.24761E-15</v>
      </c>
      <c r="V964" s="5"/>
      <c r="AA964" s="5"/>
      <c r="AS964" s="4">
        <v>1.24761E-16</v>
      </c>
      <c r="AV964" s="4">
        <v>1.24761E-16</v>
      </c>
    </row>
    <row r="965" spans="3:48" x14ac:dyDescent="0.25">
      <c r="C965" s="7">
        <v>9.1075599999999992E-15</v>
      </c>
      <c r="D965" s="5">
        <v>1.2189199999999999E-13</v>
      </c>
      <c r="E965" s="4">
        <v>1.29751E-13</v>
      </c>
      <c r="F965" s="4">
        <v>1.3349400000000001E-13</v>
      </c>
      <c r="I965" s="5">
        <v>2.9942599999999999E-15</v>
      </c>
      <c r="K965" s="4">
        <v>1.24761E-16</v>
      </c>
      <c r="O965" s="5">
        <v>1.24761E-16</v>
      </c>
      <c r="P965" s="5"/>
      <c r="U965" s="5">
        <v>1.24761E-15</v>
      </c>
      <c r="V965" s="5"/>
      <c r="AA965" s="5"/>
      <c r="AS965" s="4">
        <v>1.24761E-16</v>
      </c>
      <c r="AV965" s="4">
        <v>1.24761E-16</v>
      </c>
    </row>
    <row r="966" spans="3:48" x14ac:dyDescent="0.25">
      <c r="C966" s="7">
        <v>9.1075599999999992E-15</v>
      </c>
      <c r="D966" s="5">
        <v>1.2176700000000001E-13</v>
      </c>
      <c r="E966" s="4">
        <v>1.29502E-13</v>
      </c>
      <c r="F966" s="4">
        <v>1.3262099999999999E-13</v>
      </c>
      <c r="I966" s="5">
        <v>2.9942599999999999E-15</v>
      </c>
      <c r="K966" s="4">
        <v>1.24761E-16</v>
      </c>
      <c r="O966" s="5">
        <v>1.24761E-16</v>
      </c>
      <c r="P966" s="5"/>
      <c r="U966" s="5">
        <v>1.24761E-15</v>
      </c>
      <c r="V966" s="5"/>
      <c r="AA966" s="5"/>
      <c r="AS966" s="4">
        <v>1.24761E-16</v>
      </c>
      <c r="AV966" s="4">
        <v>1.24761E-16</v>
      </c>
    </row>
    <row r="967" spans="3:48" x14ac:dyDescent="0.25">
      <c r="C967" s="7">
        <v>8.9827899999999994E-15</v>
      </c>
      <c r="D967" s="5">
        <v>1.2164199999999999E-13</v>
      </c>
      <c r="E967" s="4">
        <v>1.2887800000000001E-13</v>
      </c>
      <c r="F967" s="4">
        <v>1.31997E-13</v>
      </c>
      <c r="I967" s="5">
        <v>2.9942599999999999E-15</v>
      </c>
      <c r="K967" s="4">
        <v>1.24761E-16</v>
      </c>
      <c r="O967" s="5">
        <v>1.24761E-16</v>
      </c>
      <c r="P967" s="5"/>
      <c r="U967" s="5">
        <v>1.24761E-15</v>
      </c>
      <c r="V967" s="5"/>
      <c r="AA967" s="5"/>
      <c r="AS967" s="4">
        <v>1.24761E-16</v>
      </c>
      <c r="AV967" s="4">
        <v>1.24761E-16</v>
      </c>
    </row>
    <row r="968" spans="3:48" x14ac:dyDescent="0.25">
      <c r="C968" s="7">
        <v>8.8580299999999993E-15</v>
      </c>
      <c r="D968" s="5">
        <v>1.2114299999999999E-13</v>
      </c>
      <c r="E968" s="4">
        <v>1.2837900000000001E-13</v>
      </c>
      <c r="F968" s="4">
        <v>1.31249E-13</v>
      </c>
      <c r="I968" s="5">
        <v>2.9942599999999999E-15</v>
      </c>
      <c r="K968" s="4">
        <v>1.24761E-16</v>
      </c>
      <c r="O968" s="5">
        <v>1.24761E-16</v>
      </c>
      <c r="P968" s="5"/>
      <c r="U968" s="5">
        <v>1.24761E-15</v>
      </c>
      <c r="V968" s="5"/>
      <c r="AA968" s="5"/>
      <c r="AS968" s="4">
        <v>1.24761E-16</v>
      </c>
      <c r="AV968" s="4">
        <v>1.24761E-16</v>
      </c>
    </row>
    <row r="969" spans="3:48" x14ac:dyDescent="0.25">
      <c r="C969" s="7">
        <v>8.8580299999999993E-15</v>
      </c>
      <c r="D969" s="5">
        <v>1.21018E-13</v>
      </c>
      <c r="E969" s="4">
        <v>1.27631E-13</v>
      </c>
      <c r="F969" s="4">
        <v>1.3075E-13</v>
      </c>
      <c r="I969" s="5">
        <v>2.9942599999999999E-15</v>
      </c>
      <c r="K969" s="4">
        <v>1.24761E-16</v>
      </c>
      <c r="O969" s="5">
        <v>1.24761E-16</v>
      </c>
      <c r="P969" s="5"/>
      <c r="U969" s="5">
        <v>1.24761E-15</v>
      </c>
      <c r="V969" s="5"/>
      <c r="AA969" s="5"/>
      <c r="AS969" s="4">
        <v>1.24761E-16</v>
      </c>
      <c r="AV969" s="4">
        <v>1.24761E-16</v>
      </c>
    </row>
    <row r="970" spans="3:48" x14ac:dyDescent="0.25">
      <c r="C970" s="7">
        <v>8.8580299999999993E-15</v>
      </c>
      <c r="D970" s="5">
        <v>1.1964599999999999E-13</v>
      </c>
      <c r="E970" s="4">
        <v>1.27631E-13</v>
      </c>
      <c r="F970" s="4">
        <v>1.3037500000000001E-13</v>
      </c>
      <c r="I970" s="5">
        <v>2.8695000000000002E-15</v>
      </c>
      <c r="K970" s="4">
        <v>1.24761E-16</v>
      </c>
      <c r="O970" s="5">
        <v>1.24761E-16</v>
      </c>
      <c r="P970" s="5"/>
      <c r="U970" s="5">
        <v>1.24761E-15</v>
      </c>
      <c r="V970" s="5"/>
      <c r="AA970" s="5"/>
      <c r="AS970" s="4">
        <v>1.24761E-16</v>
      </c>
      <c r="AV970" s="4">
        <v>1.24761E-16</v>
      </c>
    </row>
    <row r="971" spans="3:48" x14ac:dyDescent="0.25">
      <c r="C971" s="7">
        <v>8.8580299999999993E-15</v>
      </c>
      <c r="D971" s="5">
        <v>1.1814900000000001E-13</v>
      </c>
      <c r="E971" s="4">
        <v>1.25884E-13</v>
      </c>
      <c r="F971" s="4">
        <v>1.2962700000000001E-13</v>
      </c>
      <c r="I971" s="5">
        <v>2.8695000000000002E-15</v>
      </c>
      <c r="K971" s="4">
        <v>1.24761E-16</v>
      </c>
      <c r="O971" s="5">
        <v>1.24761E-16</v>
      </c>
      <c r="P971" s="5"/>
      <c r="U971" s="5">
        <v>1.24761E-15</v>
      </c>
      <c r="V971" s="5"/>
      <c r="AA971" s="5"/>
      <c r="AS971" s="4">
        <v>1.24761E-16</v>
      </c>
      <c r="AV971" s="4">
        <v>1.24761E-16</v>
      </c>
    </row>
    <row r="972" spans="3:48" x14ac:dyDescent="0.25">
      <c r="C972" s="7">
        <v>8.7332699999999992E-15</v>
      </c>
      <c r="D972" s="5">
        <v>1.1765000000000001E-13</v>
      </c>
      <c r="E972" s="4">
        <v>1.25634E-13</v>
      </c>
      <c r="F972" s="4">
        <v>1.29252E-13</v>
      </c>
      <c r="I972" s="5">
        <v>2.8695000000000002E-15</v>
      </c>
      <c r="K972" s="4">
        <v>1.24761E-16</v>
      </c>
      <c r="O972" s="5">
        <v>1.24761E-16</v>
      </c>
      <c r="P972" s="5"/>
      <c r="U972" s="5">
        <v>1.24761E-15</v>
      </c>
      <c r="V972" s="5"/>
      <c r="AA972" s="5"/>
      <c r="AS972" s="4">
        <v>1.24761E-16</v>
      </c>
      <c r="AV972" s="4">
        <v>1.24761E-16</v>
      </c>
    </row>
    <row r="973" spans="3:48" x14ac:dyDescent="0.25">
      <c r="C973" s="7">
        <v>8.6085100000000007E-15</v>
      </c>
      <c r="D973" s="5">
        <v>1.16776E-13</v>
      </c>
      <c r="E973" s="4">
        <v>1.25135E-13</v>
      </c>
      <c r="F973" s="4">
        <v>1.2800499999999999E-13</v>
      </c>
      <c r="I973" s="5">
        <v>2.8695000000000002E-15</v>
      </c>
      <c r="K973" s="4">
        <v>1.24761E-16</v>
      </c>
      <c r="O973" s="5">
        <v>1.24761E-16</v>
      </c>
      <c r="P973" s="5"/>
      <c r="U973" s="5">
        <v>1.1228500000000001E-15</v>
      </c>
      <c r="V973" s="5"/>
      <c r="AA973" s="5"/>
      <c r="AS973" s="4">
        <v>1.24761E-16</v>
      </c>
      <c r="AV973" s="4">
        <v>1.24761E-16</v>
      </c>
    </row>
    <row r="974" spans="3:48" x14ac:dyDescent="0.25">
      <c r="C974" s="7">
        <v>8.6085100000000007E-15</v>
      </c>
      <c r="D974" s="5">
        <v>1.16277E-13</v>
      </c>
      <c r="E974" s="4">
        <v>1.2451200000000001E-13</v>
      </c>
      <c r="F974" s="4">
        <v>1.2725599999999999E-13</v>
      </c>
      <c r="I974" s="5">
        <v>2.8695000000000002E-15</v>
      </c>
      <c r="K974" s="4">
        <v>1.24761E-16</v>
      </c>
      <c r="O974" s="5">
        <v>1.24761E-16</v>
      </c>
      <c r="P974" s="5"/>
      <c r="U974" s="5">
        <v>1.1228500000000001E-15</v>
      </c>
      <c r="V974" s="5"/>
      <c r="AA974" s="5"/>
      <c r="AS974" s="4">
        <v>1.24761E-16</v>
      </c>
      <c r="AV974" s="4">
        <v>1.24761E-16</v>
      </c>
    </row>
    <row r="975" spans="3:48" x14ac:dyDescent="0.25">
      <c r="C975" s="7">
        <v>8.6085100000000007E-15</v>
      </c>
      <c r="D975" s="5">
        <v>1.1602799999999999E-13</v>
      </c>
      <c r="E975" s="4">
        <v>1.2014499999999999E-13</v>
      </c>
      <c r="F975" s="4">
        <v>1.2713100000000001E-13</v>
      </c>
      <c r="I975" s="5">
        <v>2.8695000000000002E-15</v>
      </c>
      <c r="K975" s="4">
        <v>1.24761E-16</v>
      </c>
      <c r="O975" s="5">
        <v>1.24761E-16</v>
      </c>
      <c r="P975" s="1"/>
      <c r="U975" s="5">
        <v>1.1228500000000001E-15</v>
      </c>
      <c r="V975" s="1"/>
      <c r="AA975" s="5"/>
      <c r="AS975" s="4">
        <v>1.24761E-16</v>
      </c>
      <c r="AV975" s="4">
        <v>1.24761E-16</v>
      </c>
    </row>
    <row r="976" spans="3:48" x14ac:dyDescent="0.25">
      <c r="C976" s="7">
        <v>8.6085100000000007E-15</v>
      </c>
      <c r="D976" s="5">
        <v>1.1515400000000001E-13</v>
      </c>
      <c r="E976" s="4">
        <v>1.19022E-13</v>
      </c>
      <c r="F976" s="4">
        <v>1.2575899999999999E-13</v>
      </c>
      <c r="I976" s="5">
        <v>2.8695000000000002E-15</v>
      </c>
      <c r="K976" s="4">
        <v>1.24761E-16</v>
      </c>
      <c r="O976" s="5">
        <v>1.24761E-16</v>
      </c>
      <c r="U976" s="5">
        <v>1.1228500000000001E-15</v>
      </c>
      <c r="AA976" s="5"/>
      <c r="AS976" s="4">
        <v>1.24761E-16</v>
      </c>
      <c r="AV976" s="4">
        <v>1.24761E-16</v>
      </c>
    </row>
    <row r="977" spans="3:48" x14ac:dyDescent="0.25">
      <c r="C977" s="7">
        <v>8.6085100000000007E-15</v>
      </c>
      <c r="D977" s="5">
        <v>1.1515400000000001E-13</v>
      </c>
      <c r="E977" s="4">
        <v>1.18523E-13</v>
      </c>
      <c r="F977" s="4">
        <v>1.2525999999999999E-13</v>
      </c>
      <c r="I977" s="5">
        <v>2.7447400000000001E-15</v>
      </c>
      <c r="K977" s="4">
        <v>1.24761E-16</v>
      </c>
      <c r="O977" s="5">
        <v>1.24761E-16</v>
      </c>
      <c r="U977" s="5">
        <v>1.1228500000000001E-15</v>
      </c>
      <c r="AA977" s="5"/>
      <c r="AS977" s="4">
        <v>1.24761E-16</v>
      </c>
      <c r="AV977" s="4">
        <v>1.24761E-16</v>
      </c>
    </row>
    <row r="978" spans="3:48" x14ac:dyDescent="0.25">
      <c r="C978" s="7">
        <v>8.4837500000000006E-15</v>
      </c>
      <c r="D978" s="5">
        <v>1.1403199999999999E-13</v>
      </c>
      <c r="E978" s="4">
        <v>1.1789900000000001E-13</v>
      </c>
      <c r="F978" s="4">
        <v>1.2376300000000001E-13</v>
      </c>
      <c r="I978" s="5">
        <v>2.7447400000000001E-15</v>
      </c>
      <c r="K978" s="4">
        <v>1.24761E-16</v>
      </c>
      <c r="O978" s="5">
        <v>1.24761E-16</v>
      </c>
      <c r="U978" s="5">
        <v>1.1228500000000001E-15</v>
      </c>
      <c r="AA978" s="5"/>
      <c r="AS978" s="4">
        <v>1.24761E-16</v>
      </c>
      <c r="AV978" s="4">
        <v>1.24761E-16</v>
      </c>
    </row>
    <row r="979" spans="3:48" x14ac:dyDescent="0.25">
      <c r="C979" s="7">
        <v>8.4837500000000006E-15</v>
      </c>
      <c r="D979" s="5">
        <v>1.13408E-13</v>
      </c>
      <c r="E979" s="4">
        <v>1.17275E-13</v>
      </c>
      <c r="F979" s="4">
        <v>1.23638E-13</v>
      </c>
      <c r="I979" s="5">
        <v>2.7447400000000001E-15</v>
      </c>
      <c r="K979" s="4">
        <v>1.24761E-16</v>
      </c>
      <c r="O979" s="5">
        <v>1.24761E-16</v>
      </c>
      <c r="U979" s="5">
        <v>1.1228500000000001E-15</v>
      </c>
      <c r="AA979" s="5"/>
      <c r="AS979" s="4">
        <v>1.24761E-16</v>
      </c>
      <c r="AV979" s="4">
        <v>1.24761E-16</v>
      </c>
    </row>
    <row r="980" spans="3:48" x14ac:dyDescent="0.25">
      <c r="C980" s="7">
        <v>8.4837500000000006E-15</v>
      </c>
      <c r="D980" s="5">
        <v>1.13158E-13</v>
      </c>
      <c r="E980" s="4">
        <v>1.1715100000000001E-13</v>
      </c>
      <c r="F980" s="4">
        <v>1.2301400000000001E-13</v>
      </c>
      <c r="I980" s="5">
        <v>2.7447400000000001E-15</v>
      </c>
      <c r="K980" s="4">
        <v>1.24761E-16</v>
      </c>
      <c r="O980" s="5">
        <v>1.24761E-16</v>
      </c>
      <c r="U980" s="5">
        <v>1.1228500000000001E-15</v>
      </c>
      <c r="AA980" s="5"/>
      <c r="AS980" s="4">
        <v>1.24761E-16</v>
      </c>
      <c r="AV980" s="4">
        <v>1.24761E-16</v>
      </c>
    </row>
    <row r="981" spans="3:48" x14ac:dyDescent="0.25">
      <c r="C981" s="7">
        <v>8.3589900000000006E-15</v>
      </c>
      <c r="D981" s="5">
        <v>1.11536E-13</v>
      </c>
      <c r="E981" s="4">
        <v>1.1640200000000001E-13</v>
      </c>
      <c r="F981" s="4">
        <v>1.2288999999999999E-13</v>
      </c>
      <c r="I981" s="5">
        <v>2.7447400000000001E-15</v>
      </c>
      <c r="K981" s="4">
        <v>1.24761E-16</v>
      </c>
      <c r="O981" s="5">
        <v>1.24761E-16</v>
      </c>
      <c r="U981" s="5">
        <v>1.1228500000000001E-15</v>
      </c>
      <c r="AA981" s="5"/>
      <c r="AS981" s="4">
        <v>1.24761E-16</v>
      </c>
      <c r="AV981" s="4">
        <v>1.24761E-16</v>
      </c>
    </row>
    <row r="982" spans="3:48" x14ac:dyDescent="0.25">
      <c r="C982" s="7">
        <v>8.3589900000000006E-15</v>
      </c>
      <c r="D982" s="5">
        <v>1.11536E-13</v>
      </c>
      <c r="E982" s="4">
        <v>1.16153E-13</v>
      </c>
      <c r="F982" s="4">
        <v>1.2251500000000001E-13</v>
      </c>
      <c r="I982" s="5">
        <v>2.7447400000000001E-15</v>
      </c>
      <c r="K982" s="4">
        <v>1.24761E-16</v>
      </c>
      <c r="O982" s="5">
        <v>1.24761E-16</v>
      </c>
      <c r="U982" s="5">
        <v>1.1228500000000001E-15</v>
      </c>
      <c r="AA982" s="5"/>
      <c r="AV982" s="4">
        <v>1.24761E-16</v>
      </c>
    </row>
    <row r="983" spans="3:48" x14ac:dyDescent="0.25">
      <c r="C983" s="7">
        <v>8.3589900000000006E-15</v>
      </c>
      <c r="D983" s="5">
        <v>1.10663E-13</v>
      </c>
      <c r="E983" s="4">
        <v>1.16153E-13</v>
      </c>
      <c r="F983" s="4">
        <v>1.21018E-13</v>
      </c>
      <c r="I983" s="5">
        <v>2.7447400000000001E-15</v>
      </c>
      <c r="K983" s="4">
        <v>1.24761E-16</v>
      </c>
      <c r="O983" s="5">
        <v>1.24761E-16</v>
      </c>
      <c r="U983" s="5">
        <v>1.1228500000000001E-15</v>
      </c>
      <c r="AA983" s="5"/>
      <c r="AV983" s="4">
        <v>1.24761E-16</v>
      </c>
    </row>
    <row r="984" spans="3:48" x14ac:dyDescent="0.25">
      <c r="C984" s="7">
        <v>8.3589900000000006E-15</v>
      </c>
      <c r="D984" s="5">
        <v>1.08293E-13</v>
      </c>
      <c r="E984" s="4">
        <v>1.1565300000000001E-13</v>
      </c>
      <c r="F984" s="4">
        <v>1.2089299999999999E-13</v>
      </c>
      <c r="I984" s="5">
        <v>2.7447400000000001E-15</v>
      </c>
      <c r="K984" s="4">
        <v>1.24761E-16</v>
      </c>
      <c r="O984" s="5">
        <v>1.24761E-16</v>
      </c>
      <c r="U984" s="5">
        <v>1.1228500000000001E-15</v>
      </c>
      <c r="AA984" s="5"/>
      <c r="AV984" s="4">
        <v>1.24761E-16</v>
      </c>
    </row>
    <row r="985" spans="3:48" x14ac:dyDescent="0.25">
      <c r="C985" s="7">
        <v>8.2342300000000005E-15</v>
      </c>
      <c r="D985" s="5">
        <v>1.08293E-13</v>
      </c>
      <c r="E985" s="4">
        <v>1.15404E-13</v>
      </c>
      <c r="F985" s="4">
        <v>1.20519E-13</v>
      </c>
      <c r="I985" s="5">
        <v>2.7447400000000001E-15</v>
      </c>
      <c r="K985" s="4">
        <v>1.24761E-16</v>
      </c>
      <c r="O985" s="5">
        <v>1.24761E-16</v>
      </c>
      <c r="U985" s="5">
        <v>1.1228500000000001E-15</v>
      </c>
      <c r="AA985" s="5"/>
      <c r="AV985" s="4">
        <v>1.24761E-16</v>
      </c>
    </row>
    <row r="986" spans="3:48" x14ac:dyDescent="0.25">
      <c r="C986" s="7">
        <v>8.2342300000000005E-15</v>
      </c>
      <c r="D986" s="5">
        <v>1.08043E-13</v>
      </c>
      <c r="E986" s="4">
        <v>1.1527899999999999E-13</v>
      </c>
      <c r="F986" s="4">
        <v>1.1989499999999999E-13</v>
      </c>
      <c r="I986" s="5">
        <v>2.7447400000000001E-15</v>
      </c>
      <c r="K986" s="4">
        <v>1.24761E-16</v>
      </c>
      <c r="O986" s="5">
        <v>1.24761E-16</v>
      </c>
      <c r="U986" s="5">
        <v>1.1228500000000001E-15</v>
      </c>
      <c r="AA986" s="5"/>
      <c r="AV986" s="4">
        <v>1.24761E-16</v>
      </c>
    </row>
    <row r="987" spans="3:48" x14ac:dyDescent="0.25">
      <c r="C987" s="7">
        <v>8.2342300000000005E-15</v>
      </c>
      <c r="D987" s="5">
        <v>1.07045E-13</v>
      </c>
      <c r="E987" s="4">
        <v>1.14655E-13</v>
      </c>
      <c r="F987" s="4">
        <v>1.1964599999999999E-13</v>
      </c>
      <c r="I987" s="5">
        <v>2.7447400000000001E-15</v>
      </c>
      <c r="K987" s="4">
        <v>1.24761E-16</v>
      </c>
      <c r="O987" s="5">
        <v>1.24761E-16</v>
      </c>
      <c r="U987" s="5">
        <v>1.1228500000000001E-15</v>
      </c>
      <c r="AA987" s="5"/>
      <c r="AV987" s="4">
        <v>1.24761E-16</v>
      </c>
    </row>
    <row r="988" spans="3:48" x14ac:dyDescent="0.25">
      <c r="C988" s="7">
        <v>8.2342300000000005E-15</v>
      </c>
      <c r="D988" s="5">
        <v>1.06671E-13</v>
      </c>
      <c r="E988" s="4">
        <v>1.1428099999999999E-13</v>
      </c>
      <c r="F988" s="4">
        <v>1.19022E-13</v>
      </c>
      <c r="I988" s="5">
        <v>2.7447400000000001E-15</v>
      </c>
      <c r="K988" s="4">
        <v>1.24761E-16</v>
      </c>
      <c r="O988" s="5"/>
      <c r="U988" s="5">
        <v>1.1228500000000001E-15</v>
      </c>
      <c r="AA988" s="5"/>
      <c r="AV988" s="4">
        <v>1.24761E-16</v>
      </c>
    </row>
    <row r="989" spans="3:48" x14ac:dyDescent="0.25">
      <c r="C989" s="7">
        <v>8.1094700000000004E-15</v>
      </c>
      <c r="D989" s="5">
        <v>1.06421E-13</v>
      </c>
      <c r="E989" s="4">
        <v>1.13533E-13</v>
      </c>
      <c r="F989" s="4">
        <v>1.18523E-13</v>
      </c>
      <c r="I989" s="5">
        <v>2.7447400000000001E-15</v>
      </c>
      <c r="K989" s="4">
        <v>1.24761E-16</v>
      </c>
      <c r="O989" s="5"/>
      <c r="U989" s="5">
        <v>1.1228500000000001E-15</v>
      </c>
      <c r="AA989" s="5"/>
      <c r="AV989" s="4">
        <v>1.24761E-16</v>
      </c>
    </row>
    <row r="990" spans="3:48" x14ac:dyDescent="0.25">
      <c r="C990" s="7">
        <v>8.1094700000000004E-15</v>
      </c>
      <c r="D990" s="5">
        <v>1.06047E-13</v>
      </c>
      <c r="E990" s="4">
        <v>1.11786E-13</v>
      </c>
      <c r="F990" s="4">
        <v>1.1789900000000001E-13</v>
      </c>
      <c r="I990" s="5">
        <v>2.7447400000000001E-15</v>
      </c>
      <c r="K990" s="4">
        <v>1.24761E-16</v>
      </c>
      <c r="O990" s="5"/>
      <c r="U990" s="5">
        <v>1.1228500000000001E-15</v>
      </c>
      <c r="AA990" s="5"/>
      <c r="AV990" s="4">
        <v>1.24761E-16</v>
      </c>
    </row>
    <row r="991" spans="3:48" x14ac:dyDescent="0.25">
      <c r="C991" s="7">
        <v>8.1094700000000004E-15</v>
      </c>
      <c r="D991" s="5">
        <v>1.05922E-13</v>
      </c>
      <c r="E991" s="4">
        <v>1.11661E-13</v>
      </c>
      <c r="F991" s="4">
        <v>1.1690100000000001E-13</v>
      </c>
      <c r="I991" s="5">
        <v>2.7447400000000001E-15</v>
      </c>
      <c r="O991" s="5"/>
      <c r="U991" s="5">
        <v>1.1228500000000001E-15</v>
      </c>
      <c r="AA991" s="5"/>
      <c r="AV991" s="4">
        <v>1.24761E-16</v>
      </c>
    </row>
    <row r="992" spans="3:48" x14ac:dyDescent="0.25">
      <c r="C992" s="7">
        <v>8.1094700000000004E-15</v>
      </c>
      <c r="D992" s="5">
        <v>1.05797E-13</v>
      </c>
      <c r="E992" s="4">
        <v>1.1091299999999999E-13</v>
      </c>
      <c r="F992" s="4">
        <v>1.1565300000000001E-13</v>
      </c>
      <c r="I992" s="5">
        <v>2.7447400000000001E-15</v>
      </c>
      <c r="O992" s="5"/>
      <c r="U992" s="5">
        <v>1.1228500000000001E-15</v>
      </c>
      <c r="AA992" s="5"/>
      <c r="AV992" s="4">
        <v>1.24761E-16</v>
      </c>
    </row>
    <row r="993" spans="3:48" x14ac:dyDescent="0.25">
      <c r="C993" s="7">
        <v>8.1094700000000004E-15</v>
      </c>
      <c r="D993" s="5">
        <v>1.05548E-13</v>
      </c>
      <c r="E993" s="4">
        <v>1.10663E-13</v>
      </c>
      <c r="F993" s="4">
        <v>1.15404E-13</v>
      </c>
      <c r="I993" s="5">
        <v>2.7447400000000001E-15</v>
      </c>
      <c r="O993" s="5"/>
      <c r="U993" s="5">
        <v>9.9808799999999998E-16</v>
      </c>
      <c r="AA993" s="5"/>
      <c r="AV993" s="4">
        <v>1.24761E-16</v>
      </c>
    </row>
    <row r="994" spans="3:48" x14ac:dyDescent="0.25">
      <c r="C994" s="7">
        <v>7.9847100000000003E-15</v>
      </c>
      <c r="D994" s="5">
        <v>1.04799E-13</v>
      </c>
      <c r="E994" s="4">
        <v>1.0954000000000001E-13</v>
      </c>
      <c r="F994" s="4">
        <v>1.1515400000000001E-13</v>
      </c>
      <c r="I994" s="5">
        <v>2.7447400000000001E-15</v>
      </c>
      <c r="O994" s="5"/>
      <c r="U994" s="5">
        <v>9.9808799999999998E-16</v>
      </c>
      <c r="AA994" s="5"/>
      <c r="AV994" s="4">
        <v>1.24761E-16</v>
      </c>
    </row>
    <row r="995" spans="3:48" x14ac:dyDescent="0.25">
      <c r="C995" s="7">
        <v>7.9847100000000003E-15</v>
      </c>
      <c r="D995" s="5">
        <v>1.0330200000000001E-13</v>
      </c>
      <c r="E995" s="4">
        <v>1.09166E-13</v>
      </c>
      <c r="F995" s="4">
        <v>1.14655E-13</v>
      </c>
      <c r="I995" s="5">
        <v>2.7447400000000001E-15</v>
      </c>
      <c r="O995" s="5"/>
      <c r="U995" s="5">
        <v>9.9808799999999998E-16</v>
      </c>
      <c r="AA995" s="5"/>
      <c r="AV995" s="4">
        <v>1.24761E-16</v>
      </c>
    </row>
    <row r="996" spans="3:48" x14ac:dyDescent="0.25">
      <c r="C996" s="7">
        <v>7.9847100000000003E-15</v>
      </c>
      <c r="D996" s="5">
        <v>1.0330200000000001E-13</v>
      </c>
      <c r="E996" s="4">
        <v>1.09041E-13</v>
      </c>
      <c r="F996" s="4">
        <v>1.1403199999999999E-13</v>
      </c>
      <c r="I996" s="5">
        <v>2.61998E-15</v>
      </c>
      <c r="O996" s="5"/>
      <c r="U996" s="5">
        <v>9.9808799999999998E-16</v>
      </c>
      <c r="AA996" s="5"/>
      <c r="AV996" s="4">
        <v>1.24761E-16</v>
      </c>
    </row>
    <row r="997" spans="3:48" x14ac:dyDescent="0.25">
      <c r="C997" s="7">
        <v>7.8599500000000002E-15</v>
      </c>
      <c r="D997" s="5">
        <v>1.02304E-13</v>
      </c>
      <c r="E997" s="4">
        <v>1.08168E-13</v>
      </c>
      <c r="F997" s="4">
        <v>1.1403199999999999E-13</v>
      </c>
      <c r="I997" s="5">
        <v>2.61998E-15</v>
      </c>
      <c r="O997" s="5"/>
      <c r="U997" s="5">
        <v>9.9808799999999998E-16</v>
      </c>
      <c r="AA997" s="5"/>
      <c r="AV997" s="4">
        <v>1.24761E-16</v>
      </c>
    </row>
    <row r="998" spans="3:48" x14ac:dyDescent="0.25">
      <c r="C998" s="7">
        <v>7.8599500000000002E-15</v>
      </c>
      <c r="D998" s="5">
        <v>1.0168E-13</v>
      </c>
      <c r="E998" s="4">
        <v>1.0692E-13</v>
      </c>
      <c r="F998" s="4">
        <v>1.13907E-13</v>
      </c>
      <c r="I998" s="5">
        <v>2.61998E-15</v>
      </c>
      <c r="O998" s="5"/>
      <c r="U998" s="5">
        <v>9.9808799999999998E-16</v>
      </c>
      <c r="AA998" s="5"/>
      <c r="AV998" s="4">
        <v>1.24761E-16</v>
      </c>
    </row>
    <row r="999" spans="3:48" x14ac:dyDescent="0.25">
      <c r="C999" s="7">
        <v>7.8599500000000002E-15</v>
      </c>
      <c r="D999" s="5">
        <v>1.01181E-13</v>
      </c>
      <c r="E999" s="4">
        <v>1.06795E-13</v>
      </c>
      <c r="F999" s="4">
        <v>1.1378199999999999E-13</v>
      </c>
      <c r="I999" s="5">
        <v>2.61998E-15</v>
      </c>
      <c r="O999" s="5"/>
      <c r="U999" s="5">
        <v>9.9808799999999998E-16</v>
      </c>
      <c r="AA999" s="5"/>
      <c r="AV999" s="4">
        <v>1.24761E-16</v>
      </c>
    </row>
    <row r="1000" spans="3:48" x14ac:dyDescent="0.25">
      <c r="C1000" s="7">
        <v>7.8599500000000002E-15</v>
      </c>
      <c r="D1000" s="5">
        <v>1.01056E-13</v>
      </c>
      <c r="E1000" s="4">
        <v>1.06671E-13</v>
      </c>
      <c r="F1000" s="4">
        <v>1.11786E-13</v>
      </c>
      <c r="I1000" s="5">
        <v>2.61998E-15</v>
      </c>
      <c r="O1000" s="5"/>
      <c r="U1000" s="5">
        <v>9.9808799999999998E-16</v>
      </c>
      <c r="AA1000" s="5"/>
      <c r="AV1000" s="4">
        <v>1.24761E-16</v>
      </c>
    </row>
    <row r="1001" spans="3:48" x14ac:dyDescent="0.25">
      <c r="C1001" s="7">
        <v>7.8599500000000002E-15</v>
      </c>
      <c r="D1001" s="5">
        <v>1.00557E-13</v>
      </c>
      <c r="E1001" s="4">
        <v>1.0467500000000001E-13</v>
      </c>
      <c r="F1001" s="4">
        <v>1.11412E-13</v>
      </c>
      <c r="I1001" s="5">
        <v>2.61998E-15</v>
      </c>
      <c r="O1001" s="5"/>
      <c r="U1001" s="5">
        <v>9.9808799999999998E-16</v>
      </c>
      <c r="AA1001" s="5"/>
      <c r="AV1001" s="4">
        <v>1.24761E-16</v>
      </c>
    </row>
    <row r="1002" spans="3:48" x14ac:dyDescent="0.25">
      <c r="C1002" s="7">
        <v>7.8599500000000002E-15</v>
      </c>
      <c r="D1002" s="5">
        <v>9.9933600000000005E-14</v>
      </c>
      <c r="E1002" s="4">
        <v>1.0467500000000001E-13</v>
      </c>
      <c r="F1002" s="4">
        <v>1.1003899999999999E-13</v>
      </c>
      <c r="I1002" s="5">
        <v>2.61998E-15</v>
      </c>
      <c r="O1002" s="5"/>
      <c r="U1002" s="5">
        <v>9.9808799999999998E-16</v>
      </c>
      <c r="AA1002" s="5"/>
      <c r="AV1002" s="4">
        <v>1.24761E-16</v>
      </c>
    </row>
    <row r="1003" spans="3:48" x14ac:dyDescent="0.25">
      <c r="C1003" s="7">
        <v>7.8599500000000002E-15</v>
      </c>
      <c r="D1003" s="5">
        <v>9.9808799999999995E-14</v>
      </c>
      <c r="E1003" s="4">
        <v>1.0467500000000001E-13</v>
      </c>
      <c r="F1003" s="4">
        <v>1.0954000000000001E-13</v>
      </c>
      <c r="I1003" s="5">
        <v>2.61998E-15</v>
      </c>
      <c r="O1003" s="5"/>
      <c r="U1003" s="5">
        <v>9.9808799999999998E-16</v>
      </c>
      <c r="AA1003" s="5"/>
      <c r="AV1003" s="4">
        <v>1.24761E-16</v>
      </c>
    </row>
    <row r="1004" spans="3:48" x14ac:dyDescent="0.25">
      <c r="C1004" s="7">
        <v>7.8599500000000002E-15</v>
      </c>
      <c r="D1004" s="5">
        <v>9.9434499999999997E-14</v>
      </c>
      <c r="E1004" s="4">
        <v>1.04175E-13</v>
      </c>
      <c r="F1004" s="4">
        <v>1.08168E-13</v>
      </c>
      <c r="I1004" s="5">
        <v>2.61998E-15</v>
      </c>
      <c r="O1004" s="5"/>
      <c r="U1004" s="5">
        <v>9.9808799999999998E-16</v>
      </c>
      <c r="AA1004" s="5"/>
      <c r="AV1004" s="4">
        <v>1.24761E-16</v>
      </c>
    </row>
    <row r="1005" spans="3:48" x14ac:dyDescent="0.25">
      <c r="C1005" s="7">
        <v>7.7351800000000004E-15</v>
      </c>
      <c r="D1005" s="5">
        <v>9.9434499999999997E-14</v>
      </c>
      <c r="E1005" s="4">
        <v>1.0405100000000001E-13</v>
      </c>
      <c r="F1005" s="4">
        <v>1.06671E-13</v>
      </c>
      <c r="I1005" s="5">
        <v>2.61998E-15</v>
      </c>
      <c r="O1005" s="5"/>
      <c r="U1005" s="5">
        <v>9.9808799999999998E-16</v>
      </c>
      <c r="AA1005" s="5"/>
      <c r="AV1005" s="4">
        <v>1.24761E-16</v>
      </c>
    </row>
    <row r="1006" spans="3:48" x14ac:dyDescent="0.25">
      <c r="C1006" s="7">
        <v>7.7351800000000004E-15</v>
      </c>
      <c r="D1006" s="5">
        <v>9.8561199999999997E-14</v>
      </c>
      <c r="E1006" s="4">
        <v>1.02304E-13</v>
      </c>
      <c r="F1006" s="4">
        <v>1.06296E-13</v>
      </c>
      <c r="I1006" s="5">
        <v>2.61998E-15</v>
      </c>
      <c r="O1006" s="5"/>
      <c r="U1006" s="5">
        <v>9.9808799999999998E-16</v>
      </c>
      <c r="AA1006" s="5"/>
      <c r="AV1006" s="4">
        <v>1.24761E-16</v>
      </c>
    </row>
    <row r="1007" spans="3:48" x14ac:dyDescent="0.25">
      <c r="C1007" s="7">
        <v>7.7351800000000004E-15</v>
      </c>
      <c r="D1007" s="5">
        <v>9.8062199999999996E-14</v>
      </c>
      <c r="E1007" s="4">
        <v>1.01805E-13</v>
      </c>
      <c r="F1007" s="4">
        <v>1.05922E-13</v>
      </c>
      <c r="I1007" s="5">
        <v>2.61998E-15</v>
      </c>
      <c r="O1007" s="5"/>
      <c r="U1007" s="5">
        <v>9.9808799999999998E-16</v>
      </c>
      <c r="AA1007" s="5"/>
      <c r="AV1007" s="4">
        <v>1.24761E-16</v>
      </c>
    </row>
    <row r="1008" spans="3:48" x14ac:dyDescent="0.25">
      <c r="C1008" s="7">
        <v>7.7351800000000004E-15</v>
      </c>
      <c r="D1008" s="5">
        <v>9.7937399999999998E-14</v>
      </c>
      <c r="E1008" s="4">
        <v>1.01555E-13</v>
      </c>
      <c r="F1008" s="4">
        <v>1.0504899999999999E-13</v>
      </c>
      <c r="I1008" s="5">
        <v>2.61998E-15</v>
      </c>
      <c r="O1008" s="5"/>
      <c r="U1008" s="5">
        <v>9.9808799999999998E-16</v>
      </c>
      <c r="AA1008" s="5"/>
      <c r="AV1008" s="4">
        <v>1.24761E-16</v>
      </c>
    </row>
    <row r="1009" spans="3:48" x14ac:dyDescent="0.25">
      <c r="C1009" s="7">
        <v>7.7351800000000004E-15</v>
      </c>
      <c r="D1009" s="5">
        <v>9.7438399999999997E-14</v>
      </c>
      <c r="E1009" s="4">
        <v>1.01555E-13</v>
      </c>
      <c r="F1009" s="4">
        <v>1.0442499999999999E-13</v>
      </c>
      <c r="I1009" s="5">
        <v>2.4952199999999999E-15</v>
      </c>
      <c r="O1009" s="5"/>
      <c r="U1009" s="5">
        <v>9.9808799999999998E-16</v>
      </c>
      <c r="AA1009" s="5"/>
      <c r="AV1009" s="4">
        <v>1.24761E-16</v>
      </c>
    </row>
    <row r="1010" spans="3:48" x14ac:dyDescent="0.25">
      <c r="C1010" s="7">
        <v>7.6104200000000003E-15</v>
      </c>
      <c r="D1010" s="5">
        <v>9.6939300000000001E-14</v>
      </c>
      <c r="E1010" s="4">
        <v>1.01431E-13</v>
      </c>
      <c r="F1010" s="4">
        <v>1.0405100000000001E-13</v>
      </c>
      <c r="I1010" s="5">
        <v>2.4952199999999999E-15</v>
      </c>
      <c r="O1010" s="5"/>
      <c r="U1010" s="5">
        <v>9.9808799999999998E-16</v>
      </c>
      <c r="AA1010" s="5"/>
    </row>
    <row r="1011" spans="3:48" x14ac:dyDescent="0.25">
      <c r="C1011" s="7">
        <v>7.6104200000000003E-15</v>
      </c>
      <c r="D1011" s="5">
        <v>9.6565000000000003E-14</v>
      </c>
      <c r="E1011" s="4">
        <v>1.00932E-13</v>
      </c>
      <c r="F1011" s="4">
        <v>1.02803E-13</v>
      </c>
      <c r="I1011" s="5">
        <v>2.4952199999999999E-15</v>
      </c>
      <c r="O1011" s="5"/>
      <c r="U1011" s="5">
        <v>9.9808799999999998E-16</v>
      </c>
      <c r="AA1011" s="5"/>
    </row>
    <row r="1012" spans="3:48" x14ac:dyDescent="0.25">
      <c r="C1012" s="7">
        <v>7.6104200000000003E-15</v>
      </c>
      <c r="D1012" s="5">
        <v>9.64403E-14</v>
      </c>
      <c r="E1012" s="4">
        <v>1.00557E-13</v>
      </c>
      <c r="F1012" s="4">
        <v>1.02678E-13</v>
      </c>
      <c r="I1012" s="5">
        <v>2.4952199999999999E-15</v>
      </c>
      <c r="O1012" s="5"/>
      <c r="U1012" s="5">
        <v>9.9808799999999998E-16</v>
      </c>
      <c r="AA1012" s="5"/>
    </row>
    <row r="1013" spans="3:48" x14ac:dyDescent="0.25">
      <c r="C1013" s="7">
        <v>7.6104200000000003E-15</v>
      </c>
      <c r="D1013" s="5">
        <v>9.4069799999999995E-14</v>
      </c>
      <c r="E1013" s="4">
        <v>1.00433E-13</v>
      </c>
      <c r="F1013" s="4">
        <v>1.02429E-13</v>
      </c>
      <c r="I1013" s="5">
        <v>2.4952199999999999E-15</v>
      </c>
      <c r="O1013" s="5"/>
      <c r="U1013" s="5">
        <v>9.9808799999999998E-16</v>
      </c>
      <c r="AA1013" s="5"/>
    </row>
    <row r="1014" spans="3:48" x14ac:dyDescent="0.25">
      <c r="C1014" s="7">
        <v>7.6104200000000003E-15</v>
      </c>
      <c r="D1014" s="5">
        <v>9.3695499999999997E-14</v>
      </c>
      <c r="E1014" s="4">
        <v>9.9684100000000004E-14</v>
      </c>
      <c r="F1014" s="4">
        <v>1.00932E-13</v>
      </c>
      <c r="I1014" s="5">
        <v>2.4952199999999999E-15</v>
      </c>
      <c r="O1014" s="5"/>
      <c r="U1014" s="5">
        <v>9.9808799999999998E-16</v>
      </c>
      <c r="AA1014" s="5"/>
    </row>
    <row r="1015" spans="3:48" x14ac:dyDescent="0.25">
      <c r="C1015" s="7">
        <v>7.4856600000000002E-15</v>
      </c>
      <c r="D1015" s="5">
        <v>9.3445999999999996E-14</v>
      </c>
      <c r="E1015" s="4">
        <v>9.9060300000000006E-14</v>
      </c>
      <c r="F1015" s="4">
        <v>1.00058E-13</v>
      </c>
      <c r="I1015" s="5">
        <v>2.4952199999999999E-15</v>
      </c>
      <c r="O1015" s="5"/>
      <c r="U1015" s="5">
        <v>8.7332699999999998E-16</v>
      </c>
      <c r="AA1015" s="5"/>
    </row>
    <row r="1016" spans="3:48" x14ac:dyDescent="0.25">
      <c r="C1016" s="7">
        <v>7.4856600000000002E-15</v>
      </c>
      <c r="D1016" s="5">
        <v>9.2323199999999996E-14</v>
      </c>
      <c r="E1016" s="4">
        <v>9.8436499999999994E-14</v>
      </c>
      <c r="F1016" s="4">
        <v>9.9434499999999997E-14</v>
      </c>
      <c r="I1016" s="5">
        <v>2.4952199999999999E-15</v>
      </c>
      <c r="O1016" s="5"/>
      <c r="U1016" s="5">
        <v>8.7332699999999998E-16</v>
      </c>
      <c r="AA1016" s="5"/>
    </row>
    <row r="1017" spans="3:48" x14ac:dyDescent="0.25">
      <c r="C1017" s="7">
        <v>7.4856600000000002E-15</v>
      </c>
      <c r="D1017" s="5">
        <v>9.2073600000000001E-14</v>
      </c>
      <c r="E1017" s="4">
        <v>9.7937399999999998E-14</v>
      </c>
      <c r="F1017" s="4">
        <v>9.9434499999999997E-14</v>
      </c>
      <c r="I1017" s="5">
        <v>2.4952199999999999E-15</v>
      </c>
      <c r="O1017" s="5"/>
      <c r="U1017" s="5">
        <v>8.7332699999999998E-16</v>
      </c>
      <c r="AA1017" s="5"/>
    </row>
    <row r="1018" spans="3:48" x14ac:dyDescent="0.25">
      <c r="C1018" s="7">
        <v>7.4856600000000002E-15</v>
      </c>
      <c r="D1018" s="5">
        <v>9.1948899999999998E-14</v>
      </c>
      <c r="E1018" s="4">
        <v>9.7438399999999997E-14</v>
      </c>
      <c r="F1018" s="4">
        <v>9.7937399999999998E-14</v>
      </c>
      <c r="I1018" s="5">
        <v>2.4952199999999999E-15</v>
      </c>
      <c r="O1018" s="5"/>
      <c r="U1018" s="5">
        <v>8.7332699999999998E-16</v>
      </c>
      <c r="AA1018" s="5"/>
    </row>
    <row r="1019" spans="3:48" x14ac:dyDescent="0.25">
      <c r="C1019" s="7">
        <v>7.4856600000000002E-15</v>
      </c>
      <c r="D1019" s="5">
        <v>9.1699399999999997E-14</v>
      </c>
      <c r="E1019" s="4">
        <v>9.7438399999999997E-14</v>
      </c>
      <c r="F1019" s="4">
        <v>9.7937399999999998E-14</v>
      </c>
      <c r="I1019" s="5">
        <v>2.4952199999999999E-15</v>
      </c>
      <c r="O1019" s="5"/>
      <c r="U1019" s="5">
        <v>8.7332699999999998E-16</v>
      </c>
      <c r="AA1019" s="5"/>
    </row>
    <row r="1020" spans="3:48" x14ac:dyDescent="0.25">
      <c r="C1020" s="7">
        <v>7.3609000000000002E-15</v>
      </c>
      <c r="D1020" s="5">
        <v>9.1075599999999999E-14</v>
      </c>
      <c r="E1020" s="4">
        <v>9.7064099999999999E-14</v>
      </c>
      <c r="F1020" s="4">
        <v>9.7812699999999995E-14</v>
      </c>
      <c r="I1020" s="5">
        <v>2.4952199999999999E-15</v>
      </c>
      <c r="O1020" s="5"/>
      <c r="U1020" s="5">
        <v>8.7332699999999998E-16</v>
      </c>
      <c r="AA1020" s="5"/>
    </row>
    <row r="1021" spans="3:48" x14ac:dyDescent="0.25">
      <c r="C1021" s="7">
        <v>7.3609000000000002E-15</v>
      </c>
      <c r="D1021" s="5">
        <v>9.0950800000000001E-14</v>
      </c>
      <c r="E1021" s="4">
        <v>9.64403E-14</v>
      </c>
      <c r="F1021" s="4">
        <v>9.7188800000000002E-14</v>
      </c>
      <c r="I1021" s="5">
        <v>2.4952199999999999E-15</v>
      </c>
      <c r="O1021" s="5"/>
      <c r="U1021" s="5">
        <v>8.7332699999999998E-16</v>
      </c>
      <c r="AA1021" s="5"/>
    </row>
    <row r="1022" spans="3:48" x14ac:dyDescent="0.25">
      <c r="C1022" s="7">
        <v>7.3609000000000002E-15</v>
      </c>
      <c r="D1022" s="5">
        <v>9.0327000000000002E-14</v>
      </c>
      <c r="E1022" s="4">
        <v>9.6315500000000002E-14</v>
      </c>
      <c r="F1022" s="4">
        <v>9.7064099999999999E-14</v>
      </c>
      <c r="I1022" s="5">
        <v>2.4952199999999999E-15</v>
      </c>
      <c r="O1022" s="5"/>
      <c r="U1022" s="5">
        <v>8.7332699999999998E-16</v>
      </c>
      <c r="AA1022" s="5"/>
    </row>
    <row r="1023" spans="3:48" x14ac:dyDescent="0.25">
      <c r="C1023" s="7">
        <v>7.3609000000000002E-15</v>
      </c>
      <c r="D1023" s="5">
        <v>9.0077500000000002E-14</v>
      </c>
      <c r="E1023" s="4">
        <v>9.5567000000000001E-14</v>
      </c>
      <c r="F1023" s="4">
        <v>9.6814599999999998E-14</v>
      </c>
      <c r="I1023" s="5">
        <v>2.4952199999999999E-15</v>
      </c>
      <c r="O1023" s="5"/>
      <c r="U1023" s="5">
        <v>8.7332699999999998E-16</v>
      </c>
      <c r="AA1023" s="5"/>
    </row>
    <row r="1024" spans="3:48" x14ac:dyDescent="0.25">
      <c r="C1024" s="7">
        <v>7.3609000000000002E-15</v>
      </c>
      <c r="D1024" s="5">
        <v>8.9827899999999994E-14</v>
      </c>
      <c r="E1024" s="4">
        <v>9.5567000000000001E-14</v>
      </c>
      <c r="F1024" s="4">
        <v>9.6689800000000001E-14</v>
      </c>
      <c r="I1024" s="5">
        <v>2.4952199999999999E-15</v>
      </c>
      <c r="O1024" s="5"/>
      <c r="U1024" s="5">
        <v>8.7332699999999998E-16</v>
      </c>
      <c r="AA1024" s="5"/>
    </row>
    <row r="1025" spans="3:27" x14ac:dyDescent="0.25">
      <c r="C1025" s="7">
        <v>7.2361400000000001E-15</v>
      </c>
      <c r="D1025" s="5">
        <v>8.9328900000000005E-14</v>
      </c>
      <c r="E1025" s="4">
        <v>9.3820299999999995E-14</v>
      </c>
      <c r="F1025" s="4">
        <v>9.64403E-14</v>
      </c>
      <c r="I1025" s="5">
        <v>2.4952199999999999E-15</v>
      </c>
      <c r="O1025" s="5"/>
      <c r="U1025" s="5">
        <v>8.7332699999999998E-16</v>
      </c>
      <c r="AA1025" s="5"/>
    </row>
    <row r="1026" spans="3:27" x14ac:dyDescent="0.25">
      <c r="C1026" s="7">
        <v>7.2361400000000001E-15</v>
      </c>
      <c r="D1026" s="5">
        <v>8.8455600000000006E-14</v>
      </c>
      <c r="E1026" s="4">
        <v>9.3321300000000006E-14</v>
      </c>
      <c r="F1026" s="4">
        <v>9.64403E-14</v>
      </c>
      <c r="I1026" s="5">
        <v>2.4952199999999999E-15</v>
      </c>
      <c r="O1026" s="5"/>
      <c r="U1026" s="5">
        <v>8.7332699999999998E-16</v>
      </c>
      <c r="AA1026" s="5"/>
    </row>
    <row r="1027" spans="3:27" x14ac:dyDescent="0.25">
      <c r="C1027" s="7">
        <v>7.2361400000000001E-15</v>
      </c>
      <c r="D1027" s="5">
        <v>8.8206100000000005E-14</v>
      </c>
      <c r="E1027" s="4">
        <v>9.2822199999999998E-14</v>
      </c>
      <c r="F1027" s="4">
        <v>9.64403E-14</v>
      </c>
      <c r="I1027" s="5">
        <v>2.4952199999999999E-15</v>
      </c>
      <c r="O1027" s="5"/>
      <c r="U1027" s="5">
        <v>8.7332699999999998E-16</v>
      </c>
      <c r="AA1027" s="5"/>
    </row>
    <row r="1028" spans="3:27" x14ac:dyDescent="0.25">
      <c r="C1028" s="7">
        <v>7.2361400000000001E-15</v>
      </c>
      <c r="D1028" s="5">
        <v>8.8206100000000005E-14</v>
      </c>
      <c r="E1028" s="4">
        <v>9.18241E-14</v>
      </c>
      <c r="F1028" s="4">
        <v>9.5816500000000001E-14</v>
      </c>
      <c r="I1028" s="5">
        <v>2.4952199999999999E-15</v>
      </c>
      <c r="O1028" s="5"/>
      <c r="U1028" s="5">
        <v>8.7332699999999998E-16</v>
      </c>
      <c r="AA1028" s="5"/>
    </row>
    <row r="1029" spans="3:27" x14ac:dyDescent="0.25">
      <c r="C1029" s="7">
        <v>7.11138E-15</v>
      </c>
      <c r="D1029" s="5">
        <v>8.7956499999999997E-14</v>
      </c>
      <c r="E1029" s="4">
        <v>9.1200300000000002E-14</v>
      </c>
      <c r="F1029" s="4">
        <v>9.5816500000000001E-14</v>
      </c>
      <c r="I1029" s="5">
        <v>2.3704599999999999E-15</v>
      </c>
      <c r="O1029" s="5"/>
      <c r="U1029" s="5">
        <v>8.7332699999999998E-16</v>
      </c>
      <c r="AA1029" s="5"/>
    </row>
    <row r="1030" spans="3:27" x14ac:dyDescent="0.25">
      <c r="C1030" s="7">
        <v>7.11138E-15</v>
      </c>
      <c r="D1030" s="5">
        <v>8.7582199999999999E-14</v>
      </c>
      <c r="E1030" s="4">
        <v>9.1200300000000002E-14</v>
      </c>
      <c r="F1030" s="4">
        <v>9.5442200000000003E-14</v>
      </c>
      <c r="I1030" s="5">
        <v>2.3704599999999999E-15</v>
      </c>
      <c r="O1030" s="5"/>
      <c r="U1030" s="5">
        <v>8.7332699999999998E-16</v>
      </c>
      <c r="AA1030" s="5"/>
    </row>
    <row r="1031" spans="3:27" x14ac:dyDescent="0.25">
      <c r="C1031" s="7">
        <v>7.11138E-15</v>
      </c>
      <c r="D1031" s="5">
        <v>8.7457499999999996E-14</v>
      </c>
      <c r="E1031" s="4">
        <v>8.9703200000000003E-14</v>
      </c>
      <c r="F1031" s="4">
        <v>9.5067900000000005E-14</v>
      </c>
      <c r="I1031" s="5">
        <v>2.3704599999999999E-15</v>
      </c>
      <c r="O1031" s="5"/>
      <c r="U1031" s="5">
        <v>8.7332699999999998E-16</v>
      </c>
      <c r="AA1031" s="5"/>
    </row>
    <row r="1032" spans="3:27" x14ac:dyDescent="0.25">
      <c r="C1032" s="7">
        <v>6.9866199999999999E-15</v>
      </c>
      <c r="D1032" s="5">
        <v>8.7083199999999998E-14</v>
      </c>
      <c r="E1032" s="4">
        <v>8.9204099999999995E-14</v>
      </c>
      <c r="F1032" s="4">
        <v>9.4693599999999994E-14</v>
      </c>
      <c r="I1032" s="5">
        <v>2.3704599999999999E-15</v>
      </c>
      <c r="O1032" s="5"/>
      <c r="U1032" s="5">
        <v>8.7332699999999998E-16</v>
      </c>
      <c r="AA1032" s="5"/>
    </row>
    <row r="1033" spans="3:27" x14ac:dyDescent="0.25">
      <c r="C1033" s="7">
        <v>6.9866199999999999E-15</v>
      </c>
      <c r="D1033" s="5">
        <v>8.69584E-14</v>
      </c>
      <c r="E1033" s="4">
        <v>8.9204099999999995E-14</v>
      </c>
      <c r="F1033" s="4">
        <v>9.4568900000000004E-14</v>
      </c>
      <c r="I1033" s="5">
        <v>2.3704599999999999E-15</v>
      </c>
      <c r="O1033" s="5"/>
      <c r="U1033" s="5">
        <v>8.7332699999999998E-16</v>
      </c>
      <c r="AA1033" s="5"/>
    </row>
    <row r="1034" spans="3:27" x14ac:dyDescent="0.25">
      <c r="C1034" s="7">
        <v>6.9866199999999999E-15</v>
      </c>
      <c r="D1034" s="5">
        <v>8.6334600000000002E-14</v>
      </c>
      <c r="E1034" s="4">
        <v>8.9204099999999995E-14</v>
      </c>
      <c r="F1034" s="4">
        <v>9.3945100000000005E-14</v>
      </c>
      <c r="I1034" s="5">
        <v>2.3704599999999999E-15</v>
      </c>
      <c r="O1034" s="5"/>
      <c r="U1034" s="5">
        <v>8.7332699999999998E-16</v>
      </c>
      <c r="AA1034" s="5"/>
    </row>
    <row r="1035" spans="3:27" x14ac:dyDescent="0.25">
      <c r="C1035" s="7">
        <v>6.9866199999999999E-15</v>
      </c>
      <c r="D1035" s="5">
        <v>8.6334600000000002E-14</v>
      </c>
      <c r="E1035" s="4">
        <v>8.8829900000000004E-14</v>
      </c>
      <c r="F1035" s="4">
        <v>9.3820299999999995E-14</v>
      </c>
      <c r="I1035" s="5">
        <v>2.3704599999999999E-15</v>
      </c>
      <c r="O1035" s="5"/>
      <c r="U1035" s="5">
        <v>8.7332699999999998E-16</v>
      </c>
      <c r="AA1035" s="5"/>
    </row>
    <row r="1036" spans="3:27" x14ac:dyDescent="0.25">
      <c r="C1036" s="7">
        <v>6.9866199999999999E-15</v>
      </c>
      <c r="D1036" s="5">
        <v>8.6209899999999999E-14</v>
      </c>
      <c r="E1036" s="4">
        <v>8.7956499999999997E-14</v>
      </c>
      <c r="F1036" s="4">
        <v>9.3820299999999995E-14</v>
      </c>
      <c r="I1036" s="5">
        <v>2.3704599999999999E-15</v>
      </c>
      <c r="O1036" s="5"/>
      <c r="U1036" s="5">
        <v>8.7332699999999998E-16</v>
      </c>
      <c r="AA1036" s="5"/>
    </row>
    <row r="1037" spans="3:27" x14ac:dyDescent="0.25">
      <c r="C1037" s="7">
        <v>6.8618599999999998E-15</v>
      </c>
      <c r="D1037" s="5">
        <v>8.5960399999999998E-14</v>
      </c>
      <c r="E1037" s="4">
        <v>8.7831799999999994E-14</v>
      </c>
      <c r="F1037" s="4">
        <v>9.3196499999999996E-14</v>
      </c>
      <c r="I1037" s="5">
        <v>2.3704599999999999E-15</v>
      </c>
      <c r="O1037" s="5"/>
      <c r="U1037" s="5">
        <v>8.7332699999999998E-16</v>
      </c>
      <c r="AA1037" s="5"/>
    </row>
    <row r="1038" spans="3:27" x14ac:dyDescent="0.25">
      <c r="C1038" s="7">
        <v>6.8618599999999998E-15</v>
      </c>
      <c r="D1038" s="5">
        <v>8.58356E-14</v>
      </c>
      <c r="E1038" s="4">
        <v>8.7831799999999994E-14</v>
      </c>
      <c r="F1038" s="4">
        <v>9.2198399999999999E-14</v>
      </c>
      <c r="I1038" s="5">
        <v>2.3704599999999999E-15</v>
      </c>
      <c r="O1038" s="5"/>
      <c r="U1038" s="5">
        <v>8.7332699999999998E-16</v>
      </c>
      <c r="AA1038" s="5"/>
    </row>
    <row r="1039" spans="3:27" x14ac:dyDescent="0.25">
      <c r="C1039" s="7">
        <v>6.8618599999999998E-15</v>
      </c>
      <c r="D1039" s="5">
        <v>8.5211800000000001E-14</v>
      </c>
      <c r="E1039" s="4">
        <v>8.7582199999999999E-14</v>
      </c>
      <c r="F1039" s="4">
        <v>9.2198399999999999E-14</v>
      </c>
      <c r="I1039" s="5">
        <v>2.3704599999999999E-15</v>
      </c>
      <c r="O1039" s="5"/>
      <c r="U1039" s="5">
        <v>8.7332699999999998E-16</v>
      </c>
      <c r="AA1039" s="5"/>
    </row>
    <row r="1040" spans="3:27" x14ac:dyDescent="0.25">
      <c r="C1040" s="7">
        <v>6.8618599999999998E-15</v>
      </c>
      <c r="D1040" s="5">
        <v>8.5087000000000004E-14</v>
      </c>
      <c r="E1040" s="4">
        <v>8.7332699999999999E-14</v>
      </c>
      <c r="F1040" s="4">
        <v>9.1699399999999997E-14</v>
      </c>
      <c r="I1040" s="5">
        <v>2.3704599999999999E-15</v>
      </c>
      <c r="O1040" s="5"/>
      <c r="U1040" s="5">
        <v>8.7332699999999998E-16</v>
      </c>
      <c r="AA1040" s="5"/>
    </row>
    <row r="1041" spans="3:27" x14ac:dyDescent="0.25">
      <c r="C1041" s="7">
        <v>6.7370999999999998E-15</v>
      </c>
      <c r="D1041" s="5">
        <v>8.4962300000000001E-14</v>
      </c>
      <c r="E1041" s="4">
        <v>8.69584E-14</v>
      </c>
      <c r="F1041" s="4">
        <v>9.15746E-14</v>
      </c>
      <c r="I1041" s="5">
        <v>2.3704599999999999E-15</v>
      </c>
      <c r="O1041" s="5"/>
      <c r="U1041" s="5">
        <v>8.7332699999999998E-16</v>
      </c>
      <c r="AA1041" s="5"/>
    </row>
    <row r="1042" spans="3:27" x14ac:dyDescent="0.25">
      <c r="C1042" s="7">
        <v>6.7370999999999998E-15</v>
      </c>
      <c r="D1042" s="5">
        <v>8.4837500000000003E-14</v>
      </c>
      <c r="E1042" s="4">
        <v>8.6584199999999997E-14</v>
      </c>
      <c r="F1042" s="4">
        <v>9.1449800000000002E-14</v>
      </c>
      <c r="I1042" s="5">
        <v>2.3704599999999999E-15</v>
      </c>
      <c r="O1042" s="5"/>
      <c r="U1042" s="5">
        <v>8.7332699999999998E-16</v>
      </c>
      <c r="AA1042" s="5"/>
    </row>
    <row r="1043" spans="3:27" x14ac:dyDescent="0.25">
      <c r="C1043" s="7">
        <v>6.7370999999999998E-15</v>
      </c>
      <c r="D1043" s="5">
        <v>8.4463200000000005E-14</v>
      </c>
      <c r="E1043" s="4">
        <v>8.5087000000000004E-14</v>
      </c>
      <c r="F1043" s="4">
        <v>9.07013E-14</v>
      </c>
      <c r="I1043" s="5">
        <v>2.3704599999999999E-15</v>
      </c>
      <c r="O1043" s="5"/>
      <c r="U1043" s="5">
        <v>7.4856599999999998E-16</v>
      </c>
      <c r="AA1043" s="5"/>
    </row>
    <row r="1044" spans="3:27" x14ac:dyDescent="0.25">
      <c r="C1044" s="7">
        <v>6.7370999999999998E-15</v>
      </c>
      <c r="D1044" s="5">
        <v>8.4338500000000002E-14</v>
      </c>
      <c r="E1044" s="4">
        <v>8.4088899999999994E-14</v>
      </c>
      <c r="F1044" s="4">
        <v>9.04518E-14</v>
      </c>
      <c r="I1044" s="5">
        <v>2.3704599999999999E-15</v>
      </c>
      <c r="O1044" s="5"/>
      <c r="U1044" s="5">
        <v>7.4856599999999998E-16</v>
      </c>
      <c r="AA1044" s="5"/>
    </row>
    <row r="1045" spans="3:27" x14ac:dyDescent="0.25">
      <c r="C1045" s="7">
        <v>6.7370999999999998E-15</v>
      </c>
      <c r="D1045" s="5">
        <v>8.4213700000000004E-14</v>
      </c>
      <c r="E1045" s="4">
        <v>8.3964200000000004E-14</v>
      </c>
      <c r="F1045" s="4">
        <v>9.0327000000000002E-14</v>
      </c>
      <c r="I1045" s="5">
        <v>2.3704599999999999E-15</v>
      </c>
      <c r="O1045" s="5"/>
      <c r="U1045" s="5">
        <v>7.4856599999999998E-16</v>
      </c>
      <c r="AA1045" s="5"/>
    </row>
    <row r="1046" spans="3:27" x14ac:dyDescent="0.25">
      <c r="C1046" s="7">
        <v>6.6123299999999999E-15</v>
      </c>
      <c r="D1046" s="5">
        <v>8.4088899999999994E-14</v>
      </c>
      <c r="E1046" s="4">
        <v>8.3964200000000004E-14</v>
      </c>
      <c r="F1046" s="4">
        <v>9.0327000000000002E-14</v>
      </c>
      <c r="I1046" s="5">
        <v>2.3704599999999999E-15</v>
      </c>
      <c r="O1046" s="5"/>
      <c r="U1046" s="5">
        <v>7.4856599999999998E-16</v>
      </c>
      <c r="AA1046" s="5"/>
    </row>
    <row r="1047" spans="3:27" x14ac:dyDescent="0.25">
      <c r="C1047" s="7">
        <v>6.4875699999999998E-15</v>
      </c>
      <c r="D1047" s="5">
        <v>8.3589900000000006E-14</v>
      </c>
      <c r="E1047" s="4">
        <v>8.3839400000000006E-14</v>
      </c>
      <c r="F1047" s="4">
        <v>8.8455600000000006E-14</v>
      </c>
      <c r="I1047" s="5">
        <v>2.3704599999999999E-15</v>
      </c>
      <c r="O1047" s="5"/>
      <c r="U1047" s="5">
        <v>7.4856599999999998E-16</v>
      </c>
      <c r="AA1047" s="5"/>
    </row>
    <row r="1048" spans="3:27" x14ac:dyDescent="0.25">
      <c r="C1048" s="7">
        <v>6.4875699999999998E-15</v>
      </c>
      <c r="D1048" s="5">
        <v>8.3465099999999995E-14</v>
      </c>
      <c r="E1048" s="4">
        <v>8.3839400000000006E-14</v>
      </c>
      <c r="F1048" s="4">
        <v>8.7956499999999997E-14</v>
      </c>
      <c r="I1048" s="5">
        <v>2.2457000000000002E-15</v>
      </c>
      <c r="O1048" s="5"/>
      <c r="U1048" s="5">
        <v>7.4856599999999998E-16</v>
      </c>
      <c r="AA1048" s="5"/>
    </row>
    <row r="1049" spans="3:27" x14ac:dyDescent="0.25">
      <c r="C1049" s="7">
        <v>6.4875699999999998E-15</v>
      </c>
      <c r="D1049" s="5">
        <v>8.3215599999999995E-14</v>
      </c>
      <c r="E1049" s="4">
        <v>8.3215599999999995E-14</v>
      </c>
      <c r="F1049" s="4">
        <v>8.7706999999999997E-14</v>
      </c>
      <c r="I1049" s="5">
        <v>2.2457000000000002E-15</v>
      </c>
      <c r="O1049" s="5"/>
      <c r="U1049" s="5">
        <v>7.4856599999999998E-16</v>
      </c>
      <c r="AA1049" s="5"/>
    </row>
    <row r="1050" spans="3:27" x14ac:dyDescent="0.25">
      <c r="C1050" s="7">
        <v>6.4875699999999998E-15</v>
      </c>
      <c r="D1050" s="5">
        <v>8.3090900000000004E-14</v>
      </c>
      <c r="E1050" s="4">
        <v>8.3090900000000004E-14</v>
      </c>
      <c r="F1050" s="4">
        <v>8.7332699999999999E-14</v>
      </c>
      <c r="I1050" s="5">
        <v>2.2457000000000002E-15</v>
      </c>
      <c r="O1050" s="5"/>
      <c r="U1050" s="5">
        <v>7.4856599999999998E-16</v>
      </c>
      <c r="AA1050" s="5"/>
    </row>
    <row r="1051" spans="3:27" x14ac:dyDescent="0.25">
      <c r="C1051" s="7">
        <v>6.4875699999999998E-15</v>
      </c>
      <c r="D1051" s="5">
        <v>8.2966099999999994E-14</v>
      </c>
      <c r="E1051" s="4">
        <v>8.2966099999999994E-14</v>
      </c>
      <c r="F1051" s="4">
        <v>8.7332699999999999E-14</v>
      </c>
      <c r="I1051" s="5">
        <v>2.2457000000000002E-15</v>
      </c>
      <c r="O1051" s="5"/>
      <c r="U1051" s="5">
        <v>7.4856599999999998E-16</v>
      </c>
      <c r="AA1051" s="5"/>
    </row>
    <row r="1052" spans="3:27" x14ac:dyDescent="0.25">
      <c r="C1052" s="7">
        <v>6.4875699999999998E-15</v>
      </c>
      <c r="D1052" s="5">
        <v>8.2466999999999998E-14</v>
      </c>
      <c r="E1052" s="4">
        <v>8.2841299999999997E-14</v>
      </c>
      <c r="F1052" s="4">
        <v>8.69584E-14</v>
      </c>
      <c r="I1052" s="5">
        <v>2.2457000000000002E-15</v>
      </c>
      <c r="O1052" s="5"/>
      <c r="U1052" s="5">
        <v>7.4856599999999998E-16</v>
      </c>
      <c r="AA1052" s="5"/>
    </row>
    <row r="1053" spans="3:27" x14ac:dyDescent="0.25">
      <c r="C1053" s="7">
        <v>6.3628099999999997E-15</v>
      </c>
      <c r="D1053" s="5">
        <v>8.2217499999999998E-14</v>
      </c>
      <c r="E1053" s="4">
        <v>8.2466999999999998E-14</v>
      </c>
      <c r="F1053" s="4">
        <v>8.55861E-14</v>
      </c>
      <c r="I1053" s="5">
        <v>2.2457000000000002E-15</v>
      </c>
      <c r="O1053" s="5"/>
      <c r="U1053" s="5">
        <v>7.4856599999999998E-16</v>
      </c>
      <c r="AA1053" s="5"/>
    </row>
    <row r="1054" spans="3:27" x14ac:dyDescent="0.25">
      <c r="C1054" s="7">
        <v>6.3628099999999997E-15</v>
      </c>
      <c r="D1054" s="5">
        <v>8.1718499999999997E-14</v>
      </c>
      <c r="E1054" s="4">
        <v>8.2342299999999995E-14</v>
      </c>
      <c r="F1054" s="4">
        <v>8.4338500000000002E-14</v>
      </c>
      <c r="I1054" s="5">
        <v>2.2457000000000002E-15</v>
      </c>
      <c r="O1054" s="5"/>
      <c r="U1054" s="5">
        <v>7.4856599999999998E-16</v>
      </c>
      <c r="AA1054" s="5"/>
    </row>
    <row r="1055" spans="3:27" x14ac:dyDescent="0.25">
      <c r="C1055" s="7">
        <v>6.3628099999999997E-15</v>
      </c>
      <c r="D1055" s="5">
        <v>8.1344199999999998E-14</v>
      </c>
      <c r="E1055" s="4">
        <v>8.2092799999999995E-14</v>
      </c>
      <c r="F1055" s="4">
        <v>8.3090900000000004E-14</v>
      </c>
      <c r="I1055" s="5">
        <v>2.2457000000000002E-15</v>
      </c>
      <c r="O1055" s="5"/>
      <c r="U1055" s="5">
        <v>7.4856599999999998E-16</v>
      </c>
      <c r="AA1055" s="5"/>
    </row>
    <row r="1056" spans="3:27" x14ac:dyDescent="0.25">
      <c r="C1056" s="7">
        <v>6.3628099999999997E-15</v>
      </c>
      <c r="D1056" s="4">
        <v>8.1219400000000001E-14</v>
      </c>
      <c r="E1056" s="4">
        <v>8.1967999999999997E-14</v>
      </c>
      <c r="F1056" s="4">
        <v>8.2841299999999997E-14</v>
      </c>
      <c r="I1056" s="5">
        <v>2.2457000000000002E-15</v>
      </c>
      <c r="O1056" s="5"/>
      <c r="U1056" s="5">
        <v>7.4856599999999998E-16</v>
      </c>
      <c r="AA1056" s="5"/>
    </row>
    <row r="1057" spans="3:27" x14ac:dyDescent="0.25">
      <c r="C1057" s="7">
        <v>6.2380499999999997E-15</v>
      </c>
      <c r="D1057" s="4">
        <v>8.09699E-14</v>
      </c>
      <c r="E1057" s="4">
        <v>8.1718499999999997E-14</v>
      </c>
      <c r="F1057" s="4">
        <v>8.1468999999999996E-14</v>
      </c>
      <c r="I1057" s="5">
        <v>2.2457000000000002E-15</v>
      </c>
      <c r="O1057" s="5"/>
      <c r="U1057" s="5">
        <v>7.4856599999999998E-16</v>
      </c>
      <c r="AA1057" s="5"/>
    </row>
    <row r="1058" spans="3:27" x14ac:dyDescent="0.25">
      <c r="C1058" s="7">
        <v>6.2380499999999997E-15</v>
      </c>
      <c r="D1058" s="4">
        <v>7.9971800000000003E-14</v>
      </c>
      <c r="E1058" s="4">
        <v>8.0346100000000001E-14</v>
      </c>
      <c r="F1058" s="4">
        <v>8.0470899999999999E-14</v>
      </c>
      <c r="I1058" s="5">
        <v>2.2457000000000002E-15</v>
      </c>
      <c r="O1058" s="5"/>
      <c r="U1058" s="5">
        <v>7.4856599999999998E-16</v>
      </c>
      <c r="AA1058" s="5"/>
    </row>
    <row r="1059" spans="3:27" x14ac:dyDescent="0.25">
      <c r="C1059" s="7">
        <v>6.2380499999999997E-15</v>
      </c>
      <c r="D1059" s="4">
        <v>7.9971800000000003E-14</v>
      </c>
      <c r="E1059" s="4">
        <v>7.98471E-14</v>
      </c>
      <c r="F1059" s="4">
        <v>8.0221300000000004E-14</v>
      </c>
      <c r="I1059" s="5">
        <v>2.2457000000000002E-15</v>
      </c>
      <c r="O1059" s="5"/>
      <c r="U1059" s="5">
        <v>7.4856599999999998E-16</v>
      </c>
      <c r="AA1059" s="5"/>
    </row>
    <row r="1060" spans="3:27" x14ac:dyDescent="0.25">
      <c r="C1060" s="7">
        <v>6.2380499999999997E-15</v>
      </c>
      <c r="D1060" s="4">
        <v>7.9597500000000005E-14</v>
      </c>
      <c r="E1060" s="4">
        <v>7.9722300000000003E-14</v>
      </c>
      <c r="F1060" s="4">
        <v>8.0096600000000001E-14</v>
      </c>
      <c r="I1060" s="5">
        <v>2.2457000000000002E-15</v>
      </c>
      <c r="O1060" s="5"/>
      <c r="U1060" s="5">
        <v>7.4856599999999998E-16</v>
      </c>
      <c r="AA1060" s="5"/>
    </row>
    <row r="1061" spans="3:27" x14ac:dyDescent="0.25">
      <c r="C1061" s="7">
        <v>6.1132900000000004E-15</v>
      </c>
      <c r="D1061" s="4">
        <v>7.9597500000000005E-14</v>
      </c>
      <c r="E1061" s="4">
        <v>7.9722300000000003E-14</v>
      </c>
      <c r="F1061" s="4">
        <v>7.98471E-14</v>
      </c>
      <c r="I1061" s="5">
        <v>2.2457000000000002E-15</v>
      </c>
      <c r="O1061" s="5"/>
      <c r="U1061" s="5">
        <v>7.4856599999999998E-16</v>
      </c>
      <c r="AA1061" s="5"/>
    </row>
    <row r="1062" spans="3:27" x14ac:dyDescent="0.25">
      <c r="C1062" s="7">
        <v>6.1132900000000004E-15</v>
      </c>
      <c r="D1062" s="4">
        <v>7.8973700000000006E-14</v>
      </c>
      <c r="E1062" s="4">
        <v>7.9098500000000004E-14</v>
      </c>
      <c r="F1062" s="4">
        <v>7.9722300000000003E-14</v>
      </c>
      <c r="I1062" s="5">
        <v>2.2457000000000002E-15</v>
      </c>
      <c r="O1062" s="5"/>
      <c r="U1062" s="5">
        <v>7.4856599999999998E-16</v>
      </c>
      <c r="AA1062" s="5"/>
    </row>
    <row r="1063" spans="3:27" x14ac:dyDescent="0.25">
      <c r="C1063" s="7">
        <v>6.1132900000000004E-15</v>
      </c>
      <c r="D1063" s="4">
        <v>7.8849000000000003E-14</v>
      </c>
      <c r="E1063" s="4">
        <v>7.8973700000000006E-14</v>
      </c>
      <c r="F1063" s="4">
        <v>7.9348000000000004E-14</v>
      </c>
      <c r="I1063" s="5">
        <v>2.2457000000000002E-15</v>
      </c>
      <c r="O1063" s="5"/>
      <c r="U1063" s="5">
        <v>7.4856599999999998E-16</v>
      </c>
      <c r="AA1063" s="5"/>
    </row>
    <row r="1064" spans="3:27" x14ac:dyDescent="0.25">
      <c r="C1064" s="7">
        <v>5.9885300000000003E-15</v>
      </c>
      <c r="D1064" s="4">
        <v>7.8599500000000002E-14</v>
      </c>
      <c r="E1064" s="4">
        <v>7.8724200000000005E-14</v>
      </c>
      <c r="F1064" s="4">
        <v>7.9223300000000001E-14</v>
      </c>
      <c r="I1064" s="5">
        <v>2.1209400000000001E-15</v>
      </c>
      <c r="O1064" s="5"/>
      <c r="U1064" s="5">
        <v>7.4856599999999998E-16</v>
      </c>
      <c r="AA1064" s="5"/>
    </row>
    <row r="1065" spans="3:27" x14ac:dyDescent="0.25">
      <c r="C1065" s="7">
        <v>5.9885300000000003E-15</v>
      </c>
      <c r="D1065" s="4">
        <v>7.8474700000000005E-14</v>
      </c>
      <c r="E1065" s="4">
        <v>7.8599500000000002E-14</v>
      </c>
      <c r="F1065" s="4">
        <v>7.8973700000000006E-14</v>
      </c>
      <c r="I1065" s="5">
        <v>2.1209400000000001E-15</v>
      </c>
      <c r="O1065" s="5"/>
      <c r="U1065" s="5">
        <v>7.4856599999999998E-16</v>
      </c>
      <c r="AA1065" s="5"/>
    </row>
    <row r="1066" spans="3:27" x14ac:dyDescent="0.25">
      <c r="C1066" s="7">
        <v>5.9885300000000003E-15</v>
      </c>
      <c r="D1066" s="4">
        <v>7.8349899999999995E-14</v>
      </c>
      <c r="E1066" s="4">
        <v>7.7975599999999996E-14</v>
      </c>
      <c r="F1066" s="4">
        <v>7.8849000000000003E-14</v>
      </c>
      <c r="I1066" s="5">
        <v>2.1209400000000001E-15</v>
      </c>
      <c r="O1066" s="5"/>
      <c r="U1066" s="5">
        <v>7.4856599999999998E-16</v>
      </c>
      <c r="AA1066" s="5"/>
    </row>
    <row r="1067" spans="3:27" x14ac:dyDescent="0.25">
      <c r="C1067" s="7">
        <v>5.9885300000000003E-15</v>
      </c>
      <c r="D1067" s="4">
        <v>7.8100399999999994E-14</v>
      </c>
      <c r="E1067" s="4">
        <v>7.7227099999999995E-14</v>
      </c>
      <c r="F1067" s="4">
        <v>7.8849000000000003E-14</v>
      </c>
      <c r="I1067" s="5">
        <v>2.1209400000000001E-15</v>
      </c>
      <c r="O1067" s="5"/>
      <c r="U1067" s="5">
        <v>7.4856599999999998E-16</v>
      </c>
      <c r="AA1067" s="5"/>
    </row>
    <row r="1068" spans="3:27" x14ac:dyDescent="0.25">
      <c r="C1068" s="7">
        <v>5.9885300000000003E-15</v>
      </c>
      <c r="D1068" s="4">
        <v>7.7601400000000005E-14</v>
      </c>
      <c r="E1068" s="4">
        <v>7.6852799999999996E-14</v>
      </c>
      <c r="F1068" s="4">
        <v>7.8349899999999995E-14</v>
      </c>
      <c r="I1068" s="5">
        <v>2.1209400000000001E-15</v>
      </c>
      <c r="O1068" s="5"/>
      <c r="U1068" s="5">
        <v>7.4856599999999998E-16</v>
      </c>
      <c r="AA1068" s="5"/>
    </row>
    <row r="1069" spans="3:27" x14ac:dyDescent="0.25">
      <c r="C1069" s="7">
        <v>5.9885300000000003E-15</v>
      </c>
      <c r="D1069" s="4">
        <v>7.7476599999999995E-14</v>
      </c>
      <c r="E1069" s="4">
        <v>7.6603299999999996E-14</v>
      </c>
      <c r="F1069" s="4">
        <v>7.7975599999999996E-14</v>
      </c>
      <c r="I1069" s="5">
        <v>2.1209400000000001E-15</v>
      </c>
      <c r="O1069" s="5"/>
      <c r="U1069" s="5">
        <v>7.4856599999999998E-16</v>
      </c>
      <c r="AA1069" s="5"/>
    </row>
    <row r="1070" spans="3:27" x14ac:dyDescent="0.25">
      <c r="C1070" s="7">
        <v>5.9885300000000003E-15</v>
      </c>
      <c r="D1070" s="4">
        <v>7.7227099999999995E-14</v>
      </c>
      <c r="E1070" s="4">
        <v>7.6353799999999995E-14</v>
      </c>
      <c r="F1070" s="4">
        <v>7.7476599999999995E-14</v>
      </c>
      <c r="I1070" s="5">
        <v>2.1209400000000001E-15</v>
      </c>
      <c r="O1070" s="5"/>
      <c r="U1070" s="5">
        <v>7.4856599999999998E-16</v>
      </c>
      <c r="AA1070" s="5"/>
    </row>
    <row r="1071" spans="3:27" x14ac:dyDescent="0.25">
      <c r="C1071" s="7">
        <v>5.9885300000000003E-15</v>
      </c>
      <c r="D1071" s="4">
        <v>7.6603299999999996E-14</v>
      </c>
      <c r="E1071" s="4">
        <v>7.5480400000000001E-14</v>
      </c>
      <c r="F1071" s="4">
        <v>7.7476599999999995E-14</v>
      </c>
      <c r="I1071" s="5">
        <v>2.1209400000000001E-15</v>
      </c>
      <c r="O1071" s="5"/>
      <c r="U1071" s="5">
        <v>7.4856599999999998E-16</v>
      </c>
      <c r="AA1071" s="5"/>
    </row>
    <row r="1072" spans="3:27" x14ac:dyDescent="0.25">
      <c r="C1072" s="7">
        <v>5.8637700000000002E-15</v>
      </c>
      <c r="D1072" s="4">
        <v>7.5854699999999999E-14</v>
      </c>
      <c r="E1072" s="4">
        <v>7.5355699999999998E-14</v>
      </c>
      <c r="F1072" s="4">
        <v>7.7102299999999997E-14</v>
      </c>
      <c r="I1072" s="5">
        <v>2.1209400000000001E-15</v>
      </c>
      <c r="O1072" s="5"/>
      <c r="U1072" s="5">
        <v>7.4856599999999998E-16</v>
      </c>
      <c r="AA1072" s="5"/>
    </row>
    <row r="1073" spans="3:27" x14ac:dyDescent="0.25">
      <c r="C1073" s="7">
        <v>5.8637700000000002E-15</v>
      </c>
      <c r="D1073" s="4">
        <v>7.5605199999999999E-14</v>
      </c>
      <c r="E1073" s="4">
        <v>7.5230900000000001E-14</v>
      </c>
      <c r="F1073" s="4">
        <v>7.6977599999999994E-14</v>
      </c>
      <c r="I1073" s="5">
        <v>2.1209400000000001E-15</v>
      </c>
      <c r="O1073" s="5"/>
      <c r="U1073" s="5">
        <v>7.4856599999999998E-16</v>
      </c>
      <c r="AA1073" s="5"/>
    </row>
    <row r="1074" spans="3:27" x14ac:dyDescent="0.25">
      <c r="C1074" s="7">
        <v>5.8637700000000002E-15</v>
      </c>
      <c r="D1074" s="4">
        <v>7.5106100000000003E-14</v>
      </c>
      <c r="E1074" s="4">
        <v>7.4108100000000001E-14</v>
      </c>
      <c r="F1074" s="4">
        <v>7.6603299999999996E-14</v>
      </c>
      <c r="I1074" s="5">
        <v>2.1209400000000001E-15</v>
      </c>
      <c r="O1074" s="5"/>
      <c r="U1074" s="5">
        <v>7.4856599999999998E-16</v>
      </c>
      <c r="AA1074" s="5"/>
    </row>
    <row r="1075" spans="3:27" x14ac:dyDescent="0.25">
      <c r="C1075" s="7">
        <v>5.8637700000000002E-15</v>
      </c>
      <c r="D1075" s="4">
        <v>7.4856600000000002E-14</v>
      </c>
      <c r="E1075" s="4">
        <v>7.3983300000000003E-14</v>
      </c>
      <c r="F1075" s="4">
        <v>7.6603299999999996E-14</v>
      </c>
      <c r="I1075" s="5">
        <v>2.1209400000000001E-15</v>
      </c>
      <c r="O1075" s="5"/>
      <c r="U1075" s="5">
        <v>7.4856599999999998E-16</v>
      </c>
      <c r="AA1075" s="5"/>
    </row>
    <row r="1076" spans="3:27" x14ac:dyDescent="0.25">
      <c r="C1076" s="7">
        <v>5.8637700000000002E-15</v>
      </c>
      <c r="D1076" s="4">
        <v>7.4482300000000004E-14</v>
      </c>
      <c r="E1076" s="4">
        <v>7.3983300000000003E-14</v>
      </c>
      <c r="F1076" s="4">
        <v>7.6353799999999995E-14</v>
      </c>
      <c r="I1076" s="5">
        <v>2.1209400000000001E-15</v>
      </c>
      <c r="O1076" s="5"/>
      <c r="U1076" s="5">
        <v>7.4856599999999998E-16</v>
      </c>
      <c r="AA1076" s="5"/>
    </row>
    <row r="1077" spans="3:27" x14ac:dyDescent="0.25">
      <c r="C1077" s="7">
        <v>5.8637700000000002E-15</v>
      </c>
      <c r="D1077" s="4">
        <v>7.4357600000000001E-14</v>
      </c>
      <c r="E1077" s="4">
        <v>7.3858500000000005E-14</v>
      </c>
      <c r="F1077" s="4">
        <v>7.5605199999999999E-14</v>
      </c>
      <c r="I1077" s="5">
        <v>2.1209400000000001E-15</v>
      </c>
      <c r="O1077" s="5"/>
      <c r="U1077" s="5">
        <v>6.2380499999999999E-16</v>
      </c>
      <c r="AA1077" s="5"/>
    </row>
    <row r="1078" spans="3:27" x14ac:dyDescent="0.25">
      <c r="C1078" s="7">
        <v>5.8637700000000002E-15</v>
      </c>
      <c r="D1078" s="4">
        <v>7.4357600000000001E-14</v>
      </c>
      <c r="E1078" s="4">
        <v>7.3733800000000002E-14</v>
      </c>
      <c r="F1078" s="4">
        <v>7.5605199999999999E-14</v>
      </c>
      <c r="I1078" s="5">
        <v>2.1209400000000001E-15</v>
      </c>
      <c r="O1078" s="5"/>
      <c r="U1078" s="5">
        <v>6.2380499999999999E-16</v>
      </c>
      <c r="AA1078" s="5"/>
    </row>
    <row r="1079" spans="3:27" x14ac:dyDescent="0.25">
      <c r="C1079" s="7">
        <v>5.8637700000000002E-15</v>
      </c>
      <c r="D1079" s="4">
        <v>7.4357600000000001E-14</v>
      </c>
      <c r="E1079" s="4">
        <v>7.3484300000000002E-14</v>
      </c>
      <c r="F1079" s="4">
        <v>7.5605199999999999E-14</v>
      </c>
      <c r="I1079" s="5">
        <v>2.1209400000000001E-15</v>
      </c>
      <c r="O1079" s="5"/>
      <c r="U1079" s="5">
        <v>6.2380499999999999E-16</v>
      </c>
      <c r="AA1079" s="5"/>
    </row>
    <row r="1080" spans="3:27" x14ac:dyDescent="0.25">
      <c r="C1080" s="7">
        <v>5.8637700000000002E-15</v>
      </c>
      <c r="D1080" s="4">
        <v>7.4108100000000001E-14</v>
      </c>
      <c r="E1080" s="4">
        <v>7.3234699999999994E-14</v>
      </c>
      <c r="F1080" s="4">
        <v>7.5480400000000001E-14</v>
      </c>
      <c r="I1080" s="5">
        <v>2.1209400000000001E-15</v>
      </c>
      <c r="O1080" s="5"/>
      <c r="U1080" s="5">
        <v>6.2380499999999999E-16</v>
      </c>
      <c r="AA1080" s="5"/>
    </row>
    <row r="1081" spans="3:27" x14ac:dyDescent="0.25">
      <c r="C1081" s="7">
        <v>5.7390100000000001E-15</v>
      </c>
      <c r="D1081" s="4">
        <v>7.4108100000000001E-14</v>
      </c>
      <c r="E1081" s="4">
        <v>7.2361399999999994E-14</v>
      </c>
      <c r="F1081" s="4">
        <v>7.5355699999999998E-14</v>
      </c>
      <c r="I1081" s="5">
        <v>2.1209400000000001E-15</v>
      </c>
      <c r="O1081" s="5"/>
      <c r="U1081" s="5">
        <v>6.2380499999999999E-16</v>
      </c>
      <c r="AA1081" s="5"/>
    </row>
    <row r="1082" spans="3:27" x14ac:dyDescent="0.25">
      <c r="C1082" s="7">
        <v>5.7390100000000001E-15</v>
      </c>
      <c r="D1082" s="4">
        <v>7.4108100000000001E-14</v>
      </c>
      <c r="E1082" s="4">
        <v>7.2361399999999994E-14</v>
      </c>
      <c r="F1082" s="4">
        <v>7.49814E-14</v>
      </c>
      <c r="I1082" s="5">
        <v>1.99618E-15</v>
      </c>
      <c r="O1082" s="5"/>
      <c r="U1082" s="5">
        <v>6.2380499999999999E-16</v>
      </c>
      <c r="AA1082" s="5"/>
    </row>
    <row r="1083" spans="3:27" x14ac:dyDescent="0.25">
      <c r="C1083" s="7">
        <v>5.7390100000000001E-15</v>
      </c>
      <c r="D1083" s="4">
        <v>7.3733800000000002E-14</v>
      </c>
      <c r="E1083" s="4">
        <v>7.2236599999999997E-14</v>
      </c>
      <c r="F1083" s="4">
        <v>7.4856600000000002E-14</v>
      </c>
      <c r="I1083" s="5">
        <v>1.99618E-15</v>
      </c>
      <c r="O1083" s="5"/>
      <c r="U1083" s="5">
        <v>6.2380499999999999E-16</v>
      </c>
      <c r="AA1083" s="5"/>
    </row>
    <row r="1084" spans="3:27" x14ac:dyDescent="0.25">
      <c r="C1084" s="7">
        <v>5.7390100000000001E-15</v>
      </c>
      <c r="D1084" s="4">
        <v>7.2111899999999994E-14</v>
      </c>
      <c r="E1084" s="4">
        <v>7.1488099999999995E-14</v>
      </c>
      <c r="F1084" s="4">
        <v>7.4108100000000001E-14</v>
      </c>
      <c r="I1084" s="5">
        <v>1.99618E-15</v>
      </c>
      <c r="O1084" s="5"/>
      <c r="U1084" s="5">
        <v>6.2380499999999999E-16</v>
      </c>
      <c r="AA1084" s="5"/>
    </row>
    <row r="1085" spans="3:27" x14ac:dyDescent="0.25">
      <c r="C1085" s="7">
        <v>5.7390100000000001E-15</v>
      </c>
      <c r="D1085" s="4">
        <v>7.1862400000000006E-14</v>
      </c>
      <c r="E1085" s="4">
        <v>7.1238599999999994E-14</v>
      </c>
      <c r="F1085" s="4">
        <v>7.3983300000000003E-14</v>
      </c>
      <c r="I1085" s="5">
        <v>1.99618E-15</v>
      </c>
      <c r="O1085" s="5"/>
      <c r="U1085" s="5">
        <v>6.2380499999999999E-16</v>
      </c>
      <c r="AA1085" s="5"/>
    </row>
    <row r="1086" spans="3:27" x14ac:dyDescent="0.25">
      <c r="C1086" s="7">
        <v>5.6142500000000001E-15</v>
      </c>
      <c r="D1086" s="4">
        <v>7.1737599999999996E-14</v>
      </c>
      <c r="E1086" s="4">
        <v>7.0614700000000001E-14</v>
      </c>
      <c r="F1086" s="4">
        <v>7.3609000000000005E-14</v>
      </c>
      <c r="I1086" s="5">
        <v>1.99618E-15</v>
      </c>
      <c r="O1086" s="5"/>
      <c r="U1086" s="5">
        <v>6.2380499999999999E-16</v>
      </c>
      <c r="AA1086" s="5"/>
    </row>
    <row r="1087" spans="3:27" x14ac:dyDescent="0.25">
      <c r="C1087" s="7">
        <v>5.6142500000000001E-15</v>
      </c>
      <c r="D1087" s="4">
        <v>7.1612799999999998E-14</v>
      </c>
      <c r="E1087" s="4">
        <v>7.0614700000000001E-14</v>
      </c>
      <c r="F1087" s="4">
        <v>7.3609000000000005E-14</v>
      </c>
      <c r="I1087" s="5">
        <v>1.99618E-15</v>
      </c>
      <c r="O1087" s="5"/>
      <c r="U1087" s="5">
        <v>6.2380499999999999E-16</v>
      </c>
      <c r="AA1087" s="5"/>
    </row>
    <row r="1088" spans="3:27" x14ac:dyDescent="0.25">
      <c r="C1088" s="7">
        <v>5.6142500000000001E-15</v>
      </c>
      <c r="D1088" s="4">
        <v>7.1113799999999997E-14</v>
      </c>
      <c r="E1088" s="4">
        <v>7.0489999999999998E-14</v>
      </c>
      <c r="F1088" s="4">
        <v>7.3359500000000004E-14</v>
      </c>
      <c r="I1088" s="5">
        <v>1.99618E-15</v>
      </c>
      <c r="O1088" s="5"/>
      <c r="U1088" s="5">
        <v>6.2380499999999999E-16</v>
      </c>
      <c r="AA1088" s="5"/>
    </row>
    <row r="1089" spans="3:27" x14ac:dyDescent="0.25">
      <c r="C1089" s="7">
        <v>5.6142500000000001E-15</v>
      </c>
      <c r="D1089" s="4">
        <v>7.0864299999999996E-14</v>
      </c>
      <c r="E1089" s="4">
        <v>6.9616699999999999E-14</v>
      </c>
      <c r="F1089" s="4">
        <v>7.3110000000000004E-14</v>
      </c>
      <c r="I1089" s="5">
        <v>1.99618E-15</v>
      </c>
      <c r="O1089" s="5"/>
      <c r="U1089" s="5">
        <v>6.2380499999999999E-16</v>
      </c>
      <c r="AA1089" s="5"/>
    </row>
    <row r="1090" spans="3:27" x14ac:dyDescent="0.25">
      <c r="C1090" s="7">
        <v>5.6142500000000001E-15</v>
      </c>
      <c r="D1090" s="4">
        <v>6.9741400000000002E-14</v>
      </c>
      <c r="E1090" s="4">
        <v>6.9491900000000001E-14</v>
      </c>
      <c r="F1090" s="4">
        <v>7.2486200000000005E-14</v>
      </c>
      <c r="I1090" s="5">
        <v>1.99618E-15</v>
      </c>
      <c r="O1090" s="5"/>
      <c r="U1090" s="5">
        <v>6.2380499999999999E-16</v>
      </c>
      <c r="AA1090" s="5"/>
    </row>
    <row r="1091" spans="3:27" x14ac:dyDescent="0.25">
      <c r="C1091" s="7">
        <v>5.6142500000000001E-15</v>
      </c>
      <c r="D1091" s="4">
        <v>6.9616699999999999E-14</v>
      </c>
      <c r="E1091" s="4">
        <v>6.8743300000000005E-14</v>
      </c>
      <c r="F1091" s="4">
        <v>7.2486200000000005E-14</v>
      </c>
      <c r="I1091" s="5">
        <v>1.99618E-15</v>
      </c>
      <c r="O1091" s="5"/>
      <c r="U1091" s="5">
        <v>6.2380499999999999E-16</v>
      </c>
      <c r="AA1091" s="5"/>
    </row>
    <row r="1092" spans="3:27" x14ac:dyDescent="0.25">
      <c r="C1092" s="7">
        <v>5.6142500000000001E-15</v>
      </c>
      <c r="D1092" s="4">
        <v>6.9616699999999999E-14</v>
      </c>
      <c r="E1092" s="4">
        <v>6.8743300000000005E-14</v>
      </c>
      <c r="F1092" s="4">
        <v>7.2486200000000005E-14</v>
      </c>
      <c r="I1092" s="5">
        <v>1.99618E-15</v>
      </c>
      <c r="O1092" s="5"/>
      <c r="U1092" s="5">
        <v>6.2380499999999999E-16</v>
      </c>
      <c r="AA1092" s="5"/>
    </row>
    <row r="1093" spans="3:27" x14ac:dyDescent="0.25">
      <c r="C1093" s="7">
        <v>5.6142500000000001E-15</v>
      </c>
      <c r="D1093" s="4">
        <v>6.8368999999999994E-14</v>
      </c>
      <c r="E1093" s="4">
        <v>6.8493800000000004E-14</v>
      </c>
      <c r="F1093" s="4">
        <v>7.1612799999999998E-14</v>
      </c>
      <c r="I1093" s="5">
        <v>1.99618E-15</v>
      </c>
      <c r="O1093" s="5"/>
      <c r="U1093" s="5">
        <v>6.2380499999999999E-16</v>
      </c>
      <c r="AA1093" s="5"/>
    </row>
    <row r="1094" spans="3:27" x14ac:dyDescent="0.25">
      <c r="C1094" s="7">
        <v>5.6142500000000001E-15</v>
      </c>
      <c r="D1094" s="4">
        <v>6.8368999999999994E-14</v>
      </c>
      <c r="E1094" s="4">
        <v>6.8368999999999994E-14</v>
      </c>
      <c r="F1094" s="4">
        <v>7.0988999999999999E-14</v>
      </c>
      <c r="I1094" s="5">
        <v>1.99618E-15</v>
      </c>
      <c r="O1094" s="5"/>
      <c r="U1094" s="5">
        <v>6.2380499999999999E-16</v>
      </c>
      <c r="AA1094" s="5"/>
    </row>
    <row r="1095" spans="3:27" x14ac:dyDescent="0.25">
      <c r="C1095" s="7">
        <v>5.6142500000000001E-15</v>
      </c>
      <c r="D1095" s="4">
        <v>6.8244300000000003E-14</v>
      </c>
      <c r="E1095" s="4">
        <v>6.7745199999999995E-14</v>
      </c>
      <c r="F1095" s="4">
        <v>7.0489999999999998E-14</v>
      </c>
      <c r="I1095" s="5">
        <v>1.99618E-15</v>
      </c>
      <c r="O1095" s="5"/>
      <c r="U1095" s="5">
        <v>6.2380499999999999E-16</v>
      </c>
      <c r="AA1095" s="5"/>
    </row>
    <row r="1096" spans="3:27" x14ac:dyDescent="0.25">
      <c r="C1096" s="7">
        <v>5.48949E-15</v>
      </c>
      <c r="D1096" s="4">
        <v>6.7745199999999995E-14</v>
      </c>
      <c r="E1096" s="4">
        <v>6.7620500000000005E-14</v>
      </c>
      <c r="F1096" s="4">
        <v>6.9616699999999999E-14</v>
      </c>
      <c r="I1096" s="5">
        <v>1.99618E-15</v>
      </c>
      <c r="O1096" s="5"/>
      <c r="U1096" s="5">
        <v>6.2380499999999999E-16</v>
      </c>
      <c r="AA1096" s="5"/>
    </row>
    <row r="1097" spans="3:27" x14ac:dyDescent="0.25">
      <c r="C1097" s="7">
        <v>5.48949E-15</v>
      </c>
      <c r="D1097" s="4">
        <v>6.7620500000000005E-14</v>
      </c>
      <c r="E1097" s="4">
        <v>6.7246199999999994E-14</v>
      </c>
      <c r="F1097" s="4">
        <v>6.9367100000000003E-14</v>
      </c>
      <c r="I1097" s="5">
        <v>1.99618E-15</v>
      </c>
      <c r="O1097" s="5"/>
      <c r="U1097" s="5">
        <v>6.2380499999999999E-16</v>
      </c>
      <c r="AA1097" s="5"/>
    </row>
    <row r="1098" spans="3:27" x14ac:dyDescent="0.25">
      <c r="C1098" s="7">
        <v>5.48949E-15</v>
      </c>
      <c r="D1098" s="4">
        <v>6.7371000000000004E-14</v>
      </c>
      <c r="E1098" s="4">
        <v>6.6996700000000006E-14</v>
      </c>
      <c r="F1098" s="4">
        <v>6.9367100000000003E-14</v>
      </c>
      <c r="I1098" s="5">
        <v>1.99618E-15</v>
      </c>
      <c r="O1098" s="5"/>
      <c r="U1098" s="5">
        <v>6.2380499999999999E-16</v>
      </c>
      <c r="AA1098" s="5"/>
    </row>
    <row r="1099" spans="3:27" x14ac:dyDescent="0.25">
      <c r="C1099" s="7">
        <v>5.48949E-15</v>
      </c>
      <c r="D1099" s="4">
        <v>6.6871899999999995E-14</v>
      </c>
      <c r="E1099" s="4">
        <v>6.6372899999999994E-14</v>
      </c>
      <c r="F1099" s="4">
        <v>6.92424E-14</v>
      </c>
      <c r="I1099" s="5">
        <v>1.99618E-15</v>
      </c>
      <c r="O1099" s="5"/>
      <c r="U1099" s="5">
        <v>6.2380499999999999E-16</v>
      </c>
      <c r="AA1099" s="5"/>
    </row>
    <row r="1100" spans="3:27" x14ac:dyDescent="0.25">
      <c r="C1100" s="7">
        <v>5.48949E-15</v>
      </c>
      <c r="D1100" s="4">
        <v>6.6497599999999997E-14</v>
      </c>
      <c r="E1100" s="4">
        <v>6.6372899999999994E-14</v>
      </c>
      <c r="F1100" s="4">
        <v>6.9117600000000003E-14</v>
      </c>
      <c r="I1100" s="5">
        <v>1.99618E-15</v>
      </c>
      <c r="O1100" s="5"/>
      <c r="U1100" s="5">
        <v>6.2380499999999999E-16</v>
      </c>
      <c r="AA1100" s="5"/>
    </row>
    <row r="1101" spans="3:27" x14ac:dyDescent="0.25">
      <c r="C1101" s="7">
        <v>5.48949E-15</v>
      </c>
      <c r="D1101" s="4">
        <v>6.6248099999999997E-14</v>
      </c>
      <c r="E1101" s="4">
        <v>6.6248099999999997E-14</v>
      </c>
      <c r="F1101" s="4">
        <v>6.8868100000000002E-14</v>
      </c>
      <c r="I1101" s="5">
        <v>1.99618E-15</v>
      </c>
      <c r="O1101" s="5"/>
      <c r="U1101" s="5">
        <v>6.2380499999999999E-16</v>
      </c>
      <c r="AA1101" s="5"/>
    </row>
    <row r="1102" spans="3:27" x14ac:dyDescent="0.25">
      <c r="C1102" s="7">
        <v>5.48949E-15</v>
      </c>
      <c r="D1102" s="4">
        <v>6.54995E-14</v>
      </c>
      <c r="E1102" s="4">
        <v>6.5873799999999998E-14</v>
      </c>
      <c r="F1102" s="4">
        <v>6.8368999999999994E-14</v>
      </c>
      <c r="I1102" s="5">
        <v>1.8714100000000002E-15</v>
      </c>
      <c r="O1102" s="5"/>
      <c r="U1102" s="5">
        <v>6.2380499999999999E-16</v>
      </c>
      <c r="AA1102" s="5"/>
    </row>
    <row r="1103" spans="3:27" x14ac:dyDescent="0.25">
      <c r="C1103" s="7">
        <v>5.48949E-15</v>
      </c>
      <c r="D1103" s="4">
        <v>6.5000499999999999E-14</v>
      </c>
      <c r="E1103" s="4">
        <v>6.54995E-14</v>
      </c>
      <c r="F1103" s="4">
        <v>6.7994800000000003E-14</v>
      </c>
      <c r="I1103" s="5">
        <v>1.8714100000000002E-15</v>
      </c>
      <c r="O1103" s="5"/>
      <c r="U1103" s="5">
        <v>6.2380499999999999E-16</v>
      </c>
      <c r="AA1103" s="5"/>
    </row>
    <row r="1104" spans="3:27" x14ac:dyDescent="0.25">
      <c r="C1104" s="7">
        <v>5.48949E-15</v>
      </c>
      <c r="D1104" s="4">
        <v>6.4501499999999998E-14</v>
      </c>
      <c r="E1104" s="4">
        <v>6.5000499999999999E-14</v>
      </c>
      <c r="F1104" s="4">
        <v>6.7121399999999996E-14</v>
      </c>
      <c r="I1104" s="5">
        <v>1.8714100000000002E-15</v>
      </c>
      <c r="O1104" s="5"/>
      <c r="U1104" s="5">
        <v>6.2380499999999999E-16</v>
      </c>
      <c r="AA1104" s="5"/>
    </row>
    <row r="1105" spans="3:27" x14ac:dyDescent="0.25">
      <c r="C1105" s="7">
        <v>5.3647200000000001E-15</v>
      </c>
      <c r="D1105" s="4">
        <v>6.41272E-14</v>
      </c>
      <c r="E1105" s="4">
        <v>6.4501499999999998E-14</v>
      </c>
      <c r="F1105" s="4">
        <v>6.7121399999999996E-14</v>
      </c>
      <c r="I1105" s="5">
        <v>1.8714100000000002E-15</v>
      </c>
      <c r="O1105" s="5"/>
      <c r="U1105" s="5">
        <v>6.2380499999999999E-16</v>
      </c>
      <c r="AA1105" s="5"/>
    </row>
    <row r="1106" spans="3:27" x14ac:dyDescent="0.25">
      <c r="C1106" s="7">
        <v>5.3647200000000001E-15</v>
      </c>
      <c r="D1106" s="4">
        <v>6.3877699999999999E-14</v>
      </c>
      <c r="E1106" s="4">
        <v>6.3877699999999999E-14</v>
      </c>
      <c r="F1106" s="4">
        <v>6.6747200000000005E-14</v>
      </c>
      <c r="I1106" s="5">
        <v>1.8714100000000002E-15</v>
      </c>
      <c r="O1106" s="5"/>
      <c r="U1106" s="5">
        <v>6.2380499999999999E-16</v>
      </c>
      <c r="AA1106" s="5"/>
    </row>
    <row r="1107" spans="3:27" x14ac:dyDescent="0.25">
      <c r="C1107" s="7">
        <v>5.3647200000000001E-15</v>
      </c>
      <c r="D1107" s="4">
        <v>6.3752900000000001E-14</v>
      </c>
      <c r="E1107" s="4">
        <v>6.3628100000000004E-14</v>
      </c>
      <c r="F1107" s="4">
        <v>6.5998599999999996E-14</v>
      </c>
      <c r="I1107" s="5">
        <v>1.8714100000000002E-15</v>
      </c>
      <c r="O1107" s="5"/>
      <c r="U1107" s="5">
        <v>6.2380499999999999E-16</v>
      </c>
      <c r="AA1107" s="5"/>
    </row>
    <row r="1108" spans="3:27" x14ac:dyDescent="0.25">
      <c r="C1108" s="7">
        <v>5.3647200000000001E-15</v>
      </c>
      <c r="D1108" s="4">
        <v>6.3628100000000004E-14</v>
      </c>
      <c r="E1108" s="4">
        <v>6.3129100000000003E-14</v>
      </c>
      <c r="F1108" s="4">
        <v>6.54995E-14</v>
      </c>
      <c r="I1108" s="5">
        <v>1.8714100000000002E-15</v>
      </c>
      <c r="O1108" s="5"/>
      <c r="U1108" s="5">
        <v>6.2380499999999999E-16</v>
      </c>
      <c r="AA1108" s="5"/>
    </row>
    <row r="1109" spans="3:27" x14ac:dyDescent="0.25">
      <c r="C1109" s="7">
        <v>5.3647200000000001E-15</v>
      </c>
      <c r="D1109" s="4">
        <v>6.2879600000000002E-14</v>
      </c>
      <c r="E1109" s="4">
        <v>6.2754800000000004E-14</v>
      </c>
      <c r="F1109" s="4">
        <v>6.4501499999999998E-14</v>
      </c>
      <c r="I1109" s="5">
        <v>1.8714100000000002E-15</v>
      </c>
      <c r="O1109" s="5"/>
      <c r="U1109" s="5">
        <v>6.2380499999999999E-16</v>
      </c>
      <c r="AA1109" s="5"/>
    </row>
    <row r="1110" spans="3:27" x14ac:dyDescent="0.25">
      <c r="C1110" s="7">
        <v>5.3647200000000001E-15</v>
      </c>
      <c r="D1110" s="4">
        <v>6.2629999999999994E-14</v>
      </c>
      <c r="E1110" s="4">
        <v>6.2006199999999995E-14</v>
      </c>
      <c r="F1110" s="4">
        <v>6.4501499999999998E-14</v>
      </c>
      <c r="I1110" s="5">
        <v>1.8714100000000002E-15</v>
      </c>
      <c r="O1110" s="5"/>
      <c r="U1110" s="5">
        <v>4.9904399999999999E-16</v>
      </c>
      <c r="AA1110" s="5"/>
    </row>
    <row r="1111" spans="3:27" x14ac:dyDescent="0.25">
      <c r="C1111" s="7">
        <v>5.3647200000000001E-15</v>
      </c>
      <c r="D1111" s="4">
        <v>6.2380500000000006E-14</v>
      </c>
      <c r="E1111" s="4">
        <v>6.1632000000000004E-14</v>
      </c>
      <c r="F1111" s="4">
        <v>6.4501499999999998E-14</v>
      </c>
      <c r="I1111" s="5">
        <v>1.8714100000000002E-15</v>
      </c>
      <c r="O1111" s="5"/>
      <c r="U1111" s="5">
        <v>4.9904399999999999E-16</v>
      </c>
      <c r="AA1111" s="5"/>
    </row>
    <row r="1112" spans="3:27" x14ac:dyDescent="0.25">
      <c r="C1112" s="7">
        <v>5.3647200000000001E-15</v>
      </c>
      <c r="D1112" s="4">
        <v>6.1257700000000006E-14</v>
      </c>
      <c r="E1112" s="4">
        <v>6.1382399999999997E-14</v>
      </c>
      <c r="F1112" s="4">
        <v>6.3253800000000006E-14</v>
      </c>
      <c r="I1112" s="5">
        <v>1.8714100000000002E-15</v>
      </c>
      <c r="O1112" s="5"/>
      <c r="U1112" s="5">
        <v>4.9904399999999999E-16</v>
      </c>
      <c r="AA1112" s="5"/>
    </row>
    <row r="1113" spans="3:27" x14ac:dyDescent="0.25">
      <c r="C1113" s="7">
        <v>5.3647200000000001E-15</v>
      </c>
      <c r="D1113" s="4">
        <v>6.0633899999999995E-14</v>
      </c>
      <c r="E1113" s="4">
        <v>6.1132899999999996E-14</v>
      </c>
      <c r="F1113" s="4">
        <v>6.2131000000000006E-14</v>
      </c>
      <c r="I1113" s="5">
        <v>1.8714100000000002E-15</v>
      </c>
      <c r="O1113" s="5"/>
      <c r="U1113" s="5">
        <v>4.9904399999999999E-16</v>
      </c>
      <c r="AA1113" s="5"/>
    </row>
    <row r="1114" spans="3:27" x14ac:dyDescent="0.25">
      <c r="C1114" s="7">
        <v>5.2399600000000001E-15</v>
      </c>
      <c r="D1114" s="4">
        <v>6.0509099999999997E-14</v>
      </c>
      <c r="E1114" s="4">
        <v>6.0384299999999999E-14</v>
      </c>
      <c r="F1114" s="4">
        <v>6.1756699999999995E-14</v>
      </c>
      <c r="I1114" s="5">
        <v>1.8714100000000002E-15</v>
      </c>
      <c r="O1114" s="5"/>
      <c r="U1114" s="5">
        <v>4.9904399999999999E-16</v>
      </c>
      <c r="AA1114" s="5"/>
    </row>
    <row r="1115" spans="3:27" x14ac:dyDescent="0.25">
      <c r="C1115" s="7">
        <v>5.2399600000000001E-15</v>
      </c>
      <c r="D1115" s="4">
        <v>6.0259599999999996E-14</v>
      </c>
      <c r="E1115" s="4">
        <v>6.0134799999999999E-14</v>
      </c>
      <c r="F1115" s="4">
        <v>6.1756699999999995E-14</v>
      </c>
      <c r="I1115" s="5">
        <v>1.8714100000000002E-15</v>
      </c>
      <c r="O1115" s="5"/>
      <c r="U1115" s="5">
        <v>4.9904399999999999E-16</v>
      </c>
      <c r="AA1115" s="5"/>
    </row>
    <row r="1116" spans="3:27" x14ac:dyDescent="0.25">
      <c r="C1116" s="7">
        <v>5.2399600000000001E-15</v>
      </c>
      <c r="D1116" s="4">
        <v>6.0010099999999996E-14</v>
      </c>
      <c r="E1116" s="4">
        <v>5.9511E-14</v>
      </c>
      <c r="F1116" s="4">
        <v>6.1257700000000006E-14</v>
      </c>
      <c r="I1116" s="5">
        <v>1.8714100000000002E-15</v>
      </c>
      <c r="O1116" s="5"/>
      <c r="U1116" s="5">
        <v>4.9904399999999999E-16</v>
      </c>
      <c r="AA1116" s="5"/>
    </row>
    <row r="1117" spans="3:27" x14ac:dyDescent="0.25">
      <c r="C1117" s="7">
        <v>5.2399600000000001E-15</v>
      </c>
      <c r="D1117" s="4">
        <v>5.9885299999999998E-14</v>
      </c>
      <c r="E1117" s="4">
        <v>5.9136700000000002E-14</v>
      </c>
      <c r="F1117" s="4">
        <v>6.1008099999999998E-14</v>
      </c>
      <c r="I1117" s="5">
        <v>1.8714100000000002E-15</v>
      </c>
      <c r="O1117" s="5"/>
      <c r="U1117" s="5">
        <v>4.9904399999999999E-16</v>
      </c>
      <c r="AA1117" s="5"/>
    </row>
    <row r="1118" spans="3:27" x14ac:dyDescent="0.25">
      <c r="C1118" s="7">
        <v>5.2399600000000001E-15</v>
      </c>
      <c r="D1118" s="4">
        <v>5.8512900000000003E-14</v>
      </c>
      <c r="E1118" s="4">
        <v>5.9011999999999999E-14</v>
      </c>
      <c r="F1118" s="4">
        <v>6.1008099999999998E-14</v>
      </c>
      <c r="I1118" s="5">
        <v>1.8714100000000002E-15</v>
      </c>
      <c r="O1118" s="5"/>
      <c r="U1118" s="5">
        <v>4.9904399999999999E-16</v>
      </c>
      <c r="AA1118" s="5"/>
    </row>
    <row r="1119" spans="3:27" x14ac:dyDescent="0.25">
      <c r="C1119" s="7">
        <v>5.2399600000000001E-15</v>
      </c>
      <c r="D1119" s="4">
        <v>5.7140600000000002E-14</v>
      </c>
      <c r="E1119" s="4">
        <v>5.8887200000000001E-14</v>
      </c>
      <c r="F1119" s="4">
        <v>6.0633899999999995E-14</v>
      </c>
      <c r="I1119" s="5">
        <v>1.8714100000000002E-15</v>
      </c>
      <c r="O1119" s="5"/>
      <c r="U1119" s="5">
        <v>4.9904399999999999E-16</v>
      </c>
      <c r="AA1119" s="5"/>
    </row>
    <row r="1120" spans="3:27" x14ac:dyDescent="0.25">
      <c r="C1120" s="7">
        <v>5.2399600000000001E-15</v>
      </c>
      <c r="D1120" s="4">
        <v>5.7015800000000005E-14</v>
      </c>
      <c r="E1120" s="4">
        <v>5.8263400000000002E-14</v>
      </c>
      <c r="F1120" s="4">
        <v>5.9885299999999998E-14</v>
      </c>
      <c r="I1120" s="5">
        <v>1.8714100000000002E-15</v>
      </c>
      <c r="O1120" s="5"/>
      <c r="U1120" s="5">
        <v>4.9904399999999999E-16</v>
      </c>
      <c r="AA1120" s="5"/>
    </row>
    <row r="1121" spans="3:27" x14ac:dyDescent="0.25">
      <c r="C1121" s="7">
        <v>5.1152E-15</v>
      </c>
      <c r="D1121" s="4">
        <v>5.6766299999999998E-14</v>
      </c>
      <c r="E1121" s="4">
        <v>5.8138600000000005E-14</v>
      </c>
      <c r="F1121" s="4">
        <v>5.9885299999999998E-14</v>
      </c>
      <c r="I1121" s="5">
        <v>1.8714100000000002E-15</v>
      </c>
      <c r="O1121" s="5"/>
      <c r="U1121" s="5">
        <v>4.9904399999999999E-16</v>
      </c>
      <c r="AA1121" s="5"/>
    </row>
    <row r="1122" spans="3:27" x14ac:dyDescent="0.25">
      <c r="C1122" s="7">
        <v>5.1152E-15</v>
      </c>
      <c r="D1122" s="4">
        <v>5.6516700000000003E-14</v>
      </c>
      <c r="E1122" s="4">
        <v>5.7764400000000001E-14</v>
      </c>
      <c r="F1122" s="4">
        <v>5.9011999999999999E-14</v>
      </c>
      <c r="I1122" s="5">
        <v>1.8714100000000002E-15</v>
      </c>
      <c r="O1122" s="5"/>
      <c r="U1122" s="5">
        <v>4.9904399999999999E-16</v>
      </c>
      <c r="AA1122" s="5"/>
    </row>
    <row r="1123" spans="3:27" x14ac:dyDescent="0.25">
      <c r="C1123" s="7">
        <v>5.1152E-15</v>
      </c>
      <c r="D1123" s="4">
        <v>5.6392E-14</v>
      </c>
      <c r="E1123" s="4">
        <v>5.6516700000000003E-14</v>
      </c>
      <c r="F1123" s="4">
        <v>5.8637700000000001E-14</v>
      </c>
      <c r="I1123" s="5">
        <v>1.8714100000000002E-15</v>
      </c>
      <c r="O1123" s="5"/>
      <c r="U1123" s="5">
        <v>4.9904399999999999E-16</v>
      </c>
      <c r="AA1123" s="5"/>
    </row>
    <row r="1124" spans="3:27" x14ac:dyDescent="0.25">
      <c r="C1124" s="7">
        <v>5.1152E-15</v>
      </c>
      <c r="D1124" s="4">
        <v>5.6392E-14</v>
      </c>
      <c r="E1124" s="4">
        <v>5.6516700000000003E-14</v>
      </c>
      <c r="F1124" s="4">
        <v>5.8263400000000002E-14</v>
      </c>
      <c r="I1124" s="5">
        <v>1.8714100000000002E-15</v>
      </c>
      <c r="O1124" s="5"/>
      <c r="U1124" s="5">
        <v>4.9904399999999999E-16</v>
      </c>
      <c r="AA1124" s="5"/>
    </row>
    <row r="1125" spans="3:27" x14ac:dyDescent="0.25">
      <c r="C1125" s="7">
        <v>5.1152E-15</v>
      </c>
      <c r="D1125" s="4">
        <v>5.6392E-14</v>
      </c>
      <c r="E1125" s="4">
        <v>5.6017700000000001E-14</v>
      </c>
      <c r="F1125" s="4">
        <v>5.8138600000000005E-14</v>
      </c>
      <c r="I1125" s="5">
        <v>1.8714100000000002E-15</v>
      </c>
      <c r="O1125" s="5"/>
      <c r="U1125" s="5">
        <v>4.9904399999999999E-16</v>
      </c>
      <c r="AA1125" s="5"/>
    </row>
    <row r="1126" spans="3:27" x14ac:dyDescent="0.25">
      <c r="C1126" s="7">
        <v>5.1152E-15</v>
      </c>
      <c r="D1126" s="4">
        <v>5.6017700000000001E-14</v>
      </c>
      <c r="E1126" s="4">
        <v>5.5643399999999997E-14</v>
      </c>
      <c r="F1126" s="4">
        <v>5.7639600000000004E-14</v>
      </c>
      <c r="I1126" s="5">
        <v>1.8714100000000002E-15</v>
      </c>
      <c r="O1126" s="5"/>
      <c r="U1126" s="5">
        <v>4.9904399999999999E-16</v>
      </c>
      <c r="AA1126" s="5"/>
    </row>
    <row r="1127" spans="3:27" x14ac:dyDescent="0.25">
      <c r="C1127" s="7">
        <v>5.1152E-15</v>
      </c>
      <c r="D1127" s="4">
        <v>5.5892899999999998E-14</v>
      </c>
      <c r="E1127" s="4">
        <v>5.55187E-14</v>
      </c>
      <c r="F1127" s="4">
        <v>5.6766299999999998E-14</v>
      </c>
      <c r="I1127" s="5">
        <v>1.8714100000000002E-15</v>
      </c>
      <c r="O1127" s="5"/>
      <c r="U1127" s="5">
        <v>4.9904399999999999E-16</v>
      </c>
      <c r="AA1127" s="5"/>
    </row>
    <row r="1128" spans="3:27" x14ac:dyDescent="0.25">
      <c r="C1128" s="7">
        <v>5.1152E-15</v>
      </c>
      <c r="D1128" s="4">
        <v>5.5892899999999998E-14</v>
      </c>
      <c r="E1128" s="4">
        <v>5.4770099999999998E-14</v>
      </c>
      <c r="F1128" s="4">
        <v>5.6267200000000002E-14</v>
      </c>
      <c r="I1128" s="5">
        <v>1.8714100000000002E-15</v>
      </c>
      <c r="O1128" s="5"/>
      <c r="U1128" s="5">
        <v>4.9904399999999999E-16</v>
      </c>
      <c r="AA1128" s="5"/>
    </row>
    <row r="1129" spans="3:27" x14ac:dyDescent="0.25">
      <c r="C1129" s="7">
        <v>5.1152E-15</v>
      </c>
      <c r="D1129" s="4">
        <v>5.55187E-14</v>
      </c>
      <c r="E1129" s="4">
        <v>5.4520599999999997E-14</v>
      </c>
      <c r="F1129" s="4">
        <v>5.6017700000000001E-14</v>
      </c>
      <c r="I1129" s="5">
        <v>1.8714100000000002E-15</v>
      </c>
      <c r="O1129" s="5"/>
      <c r="U1129" s="5">
        <v>4.9904399999999999E-16</v>
      </c>
      <c r="AA1129" s="5"/>
    </row>
    <row r="1130" spans="3:27" x14ac:dyDescent="0.25">
      <c r="C1130" s="7">
        <v>5.1152E-15</v>
      </c>
      <c r="D1130" s="4">
        <v>5.5019599999999998E-14</v>
      </c>
      <c r="E1130" s="4">
        <v>5.4146299999999999E-14</v>
      </c>
      <c r="F1130" s="4">
        <v>5.5643399999999997E-14</v>
      </c>
      <c r="I1130" s="5">
        <v>1.7466500000000001E-15</v>
      </c>
      <c r="O1130" s="5"/>
      <c r="U1130" s="5">
        <v>4.9904399999999999E-16</v>
      </c>
      <c r="AA1130" s="5"/>
    </row>
    <row r="1131" spans="3:27" x14ac:dyDescent="0.25">
      <c r="C1131" s="7">
        <v>4.9904399999999999E-15</v>
      </c>
      <c r="D1131" s="4">
        <v>5.4894900000000001E-14</v>
      </c>
      <c r="E1131" s="4">
        <v>5.4146299999999999E-14</v>
      </c>
      <c r="F1131" s="4">
        <v>5.5269099999999999E-14</v>
      </c>
      <c r="I1131" s="5">
        <v>1.7466500000000001E-15</v>
      </c>
      <c r="O1131" s="5"/>
      <c r="U1131" s="5">
        <v>4.9904399999999999E-16</v>
      </c>
      <c r="AA1131" s="5"/>
    </row>
    <row r="1132" spans="3:27" x14ac:dyDescent="0.25">
      <c r="C1132" s="7">
        <v>4.9904399999999999E-15</v>
      </c>
      <c r="D1132" s="4">
        <v>5.46453E-14</v>
      </c>
      <c r="E1132" s="4">
        <v>5.4021500000000001E-14</v>
      </c>
      <c r="F1132" s="4">
        <v>5.5144400000000002E-14</v>
      </c>
      <c r="I1132" s="5">
        <v>1.7466500000000001E-15</v>
      </c>
      <c r="O1132" s="5"/>
      <c r="U1132" s="5">
        <v>4.9904399999999999E-16</v>
      </c>
      <c r="AA1132" s="5"/>
    </row>
    <row r="1133" spans="3:27" x14ac:dyDescent="0.25">
      <c r="C1133" s="7">
        <v>4.9904399999999999E-15</v>
      </c>
      <c r="D1133" s="4">
        <v>5.4520599999999997E-14</v>
      </c>
      <c r="E1133" s="4">
        <v>5.3896799999999998E-14</v>
      </c>
      <c r="F1133" s="4">
        <v>5.5144400000000002E-14</v>
      </c>
      <c r="I1133" s="5">
        <v>1.7466500000000001E-15</v>
      </c>
      <c r="O1133" s="5"/>
      <c r="U1133" s="5">
        <v>4.9904399999999999E-16</v>
      </c>
      <c r="AA1133" s="5"/>
    </row>
    <row r="1134" spans="3:27" x14ac:dyDescent="0.25">
      <c r="C1134" s="7">
        <v>4.9904399999999999E-15</v>
      </c>
      <c r="D1134" s="4">
        <v>5.4021500000000001E-14</v>
      </c>
      <c r="E1134" s="4">
        <v>5.3272999999999999E-14</v>
      </c>
      <c r="F1134" s="4">
        <v>5.5019599999999998E-14</v>
      </c>
      <c r="I1134" s="5">
        <v>1.7466500000000001E-15</v>
      </c>
      <c r="O1134" s="5"/>
      <c r="U1134" s="5">
        <v>4.9904399999999999E-16</v>
      </c>
      <c r="AA1134" s="5"/>
    </row>
    <row r="1135" spans="3:27" x14ac:dyDescent="0.25">
      <c r="C1135" s="7">
        <v>4.9904399999999999E-15</v>
      </c>
      <c r="D1135" s="4">
        <v>5.3896799999999998E-14</v>
      </c>
      <c r="E1135" s="4">
        <v>5.3272999999999999E-14</v>
      </c>
      <c r="F1135" s="4">
        <v>5.4770099999999998E-14</v>
      </c>
      <c r="I1135" s="5">
        <v>1.7466500000000001E-15</v>
      </c>
      <c r="O1135" s="5"/>
      <c r="U1135" s="5">
        <v>4.9904399999999999E-16</v>
      </c>
      <c r="AA1135" s="5"/>
    </row>
    <row r="1136" spans="3:27" x14ac:dyDescent="0.25">
      <c r="C1136" s="7">
        <v>4.8656799999999998E-15</v>
      </c>
      <c r="D1136" s="4">
        <v>5.3647200000000003E-14</v>
      </c>
      <c r="E1136" s="4">
        <v>5.2399599999999999E-14</v>
      </c>
      <c r="F1136" s="4">
        <v>5.4520599999999997E-14</v>
      </c>
      <c r="I1136" s="5">
        <v>1.7466500000000001E-15</v>
      </c>
      <c r="O1136" s="5"/>
      <c r="U1136" s="5">
        <v>4.9904399999999999E-16</v>
      </c>
      <c r="AA1136" s="5"/>
    </row>
    <row r="1137" spans="3:27" x14ac:dyDescent="0.25">
      <c r="C1137" s="7">
        <v>4.8656799999999998E-15</v>
      </c>
      <c r="D1137" s="4">
        <v>5.3272999999999999E-14</v>
      </c>
      <c r="E1137" s="4">
        <v>5.2150099999999998E-14</v>
      </c>
      <c r="F1137" s="4">
        <v>5.4395799999999999E-14</v>
      </c>
      <c r="I1137" s="5">
        <v>1.7466500000000001E-15</v>
      </c>
      <c r="O1137" s="5"/>
      <c r="U1137" s="5">
        <v>4.9904399999999999E-16</v>
      </c>
      <c r="AA1137" s="5"/>
    </row>
    <row r="1138" spans="3:27" x14ac:dyDescent="0.25">
      <c r="C1138" s="7">
        <v>4.8656799999999998E-15</v>
      </c>
      <c r="D1138" s="4">
        <v>5.3148200000000002E-14</v>
      </c>
      <c r="E1138" s="4">
        <v>5.1900599999999998E-14</v>
      </c>
      <c r="F1138" s="4">
        <v>5.3896799999999998E-14</v>
      </c>
      <c r="I1138" s="5">
        <v>1.7466500000000001E-15</v>
      </c>
      <c r="O1138" s="5"/>
      <c r="U1138" s="5">
        <v>4.9904399999999999E-16</v>
      </c>
      <c r="AA1138" s="5"/>
    </row>
    <row r="1139" spans="3:27" x14ac:dyDescent="0.25">
      <c r="C1139" s="7">
        <v>4.8656799999999998E-15</v>
      </c>
      <c r="D1139" s="4">
        <v>5.26492E-14</v>
      </c>
      <c r="E1139" s="4">
        <v>5.1900599999999998E-14</v>
      </c>
      <c r="F1139" s="4">
        <v>5.3397700000000002E-14</v>
      </c>
      <c r="I1139" s="5">
        <v>1.7466500000000001E-15</v>
      </c>
      <c r="O1139" s="5"/>
      <c r="U1139" s="5">
        <v>4.9904399999999999E-16</v>
      </c>
      <c r="AA1139" s="5"/>
    </row>
    <row r="1140" spans="3:27" x14ac:dyDescent="0.25">
      <c r="C1140" s="7">
        <v>4.8656799999999998E-15</v>
      </c>
      <c r="D1140" s="4">
        <v>5.2524400000000003E-14</v>
      </c>
      <c r="E1140" s="4">
        <v>5.17758E-14</v>
      </c>
      <c r="F1140" s="4">
        <v>5.3272999999999999E-14</v>
      </c>
      <c r="I1140" s="5">
        <v>1.7466500000000001E-15</v>
      </c>
      <c r="O1140" s="5"/>
      <c r="U1140" s="5">
        <v>4.9904399999999999E-16</v>
      </c>
      <c r="AA1140" s="5"/>
    </row>
    <row r="1141" spans="3:27" x14ac:dyDescent="0.25">
      <c r="C1141" s="7">
        <v>4.8656799999999998E-15</v>
      </c>
      <c r="D1141" s="4">
        <v>5.1651099999999997E-14</v>
      </c>
      <c r="E1141" s="4">
        <v>5.1152000000000001E-14</v>
      </c>
      <c r="F1141" s="4">
        <v>5.26492E-14</v>
      </c>
      <c r="I1141" s="5">
        <v>1.7466500000000001E-15</v>
      </c>
      <c r="O1141" s="5"/>
      <c r="U1141" s="5">
        <v>4.9904399999999999E-16</v>
      </c>
      <c r="AA1141" s="5"/>
    </row>
    <row r="1142" spans="3:27" x14ac:dyDescent="0.25">
      <c r="C1142" s="7">
        <v>4.8656799999999998E-15</v>
      </c>
      <c r="D1142" s="4">
        <v>5.15263E-14</v>
      </c>
      <c r="E1142" s="4">
        <v>5.0902500000000001E-14</v>
      </c>
      <c r="F1142" s="4">
        <v>5.2399599999999999E-14</v>
      </c>
      <c r="I1142" s="5">
        <v>1.7466500000000001E-15</v>
      </c>
      <c r="O1142" s="5"/>
      <c r="U1142" s="5">
        <v>4.9904399999999999E-16</v>
      </c>
      <c r="AA1142" s="5"/>
    </row>
    <row r="1143" spans="3:27" x14ac:dyDescent="0.25">
      <c r="C1143" s="7">
        <v>4.8656799999999998E-15</v>
      </c>
      <c r="D1143" s="4">
        <v>5.1276799999999999E-14</v>
      </c>
      <c r="E1143" s="4">
        <v>5.0528200000000002E-14</v>
      </c>
      <c r="F1143" s="4">
        <v>5.15263E-14</v>
      </c>
      <c r="I1143" s="5">
        <v>1.7466500000000001E-15</v>
      </c>
      <c r="O1143" s="5"/>
      <c r="U1143" s="5">
        <v>4.9904399999999999E-16</v>
      </c>
      <c r="AA1143" s="5"/>
    </row>
    <row r="1144" spans="3:27" x14ac:dyDescent="0.25">
      <c r="C1144" s="7">
        <v>4.7409199999999997E-15</v>
      </c>
      <c r="D1144" s="4">
        <v>5.1027299999999998E-14</v>
      </c>
      <c r="E1144" s="4">
        <v>5.0153899999999998E-14</v>
      </c>
      <c r="F1144" s="4">
        <v>5.15263E-14</v>
      </c>
      <c r="I1144" s="5">
        <v>1.7466500000000001E-15</v>
      </c>
      <c r="O1144" s="5"/>
      <c r="U1144" s="5">
        <v>4.9904399999999999E-16</v>
      </c>
      <c r="AA1144" s="5"/>
    </row>
    <row r="1145" spans="3:27" x14ac:dyDescent="0.25">
      <c r="C1145" s="7">
        <v>4.7409199999999997E-15</v>
      </c>
      <c r="D1145" s="4">
        <v>5.0902500000000001E-14</v>
      </c>
      <c r="E1145" s="4">
        <v>4.9530099999999999E-14</v>
      </c>
      <c r="F1145" s="4">
        <v>5.1401500000000002E-14</v>
      </c>
      <c r="I1145" s="5">
        <v>1.7466500000000001E-15</v>
      </c>
      <c r="O1145" s="5"/>
      <c r="U1145" s="5">
        <v>4.9904399999999999E-16</v>
      </c>
      <c r="AA1145" s="5"/>
    </row>
    <row r="1146" spans="3:27" x14ac:dyDescent="0.25">
      <c r="C1146" s="7">
        <v>4.7409199999999997E-15</v>
      </c>
      <c r="D1146" s="4">
        <v>5.0403499999999999E-14</v>
      </c>
      <c r="E1146" s="4">
        <v>4.9280599999999999E-14</v>
      </c>
      <c r="F1146" s="4">
        <v>5.1276799999999999E-14</v>
      </c>
      <c r="I1146" s="5">
        <v>1.7466500000000001E-15</v>
      </c>
      <c r="O1146" s="5"/>
      <c r="U1146" s="5">
        <v>4.9904399999999999E-16</v>
      </c>
      <c r="AA1146" s="5"/>
    </row>
    <row r="1147" spans="3:27" x14ac:dyDescent="0.25">
      <c r="C1147" s="7">
        <v>4.7409199999999997E-15</v>
      </c>
      <c r="D1147" s="4">
        <v>4.9904399999999997E-14</v>
      </c>
      <c r="E1147" s="4">
        <v>4.9155800000000001E-14</v>
      </c>
      <c r="F1147" s="4">
        <v>5.1152000000000001E-14</v>
      </c>
      <c r="I1147" s="5">
        <v>1.7466500000000001E-15</v>
      </c>
      <c r="O1147" s="5"/>
      <c r="U1147" s="5">
        <v>4.9904399999999999E-16</v>
      </c>
      <c r="AA1147" s="5"/>
    </row>
    <row r="1148" spans="3:27" x14ac:dyDescent="0.25">
      <c r="C1148" s="7">
        <v>4.7409199999999997E-15</v>
      </c>
      <c r="D1148" s="4">
        <v>4.9530099999999999E-14</v>
      </c>
      <c r="E1148" s="4">
        <v>4.9155800000000001E-14</v>
      </c>
      <c r="F1148" s="4">
        <v>5.1027299999999998E-14</v>
      </c>
      <c r="I1148" s="5">
        <v>1.7466500000000001E-15</v>
      </c>
      <c r="O1148" s="5"/>
      <c r="U1148" s="5">
        <v>4.9904399999999999E-16</v>
      </c>
      <c r="AA1148" s="5"/>
    </row>
    <row r="1149" spans="3:27" x14ac:dyDescent="0.25">
      <c r="C1149" s="7">
        <v>4.7409199999999997E-15</v>
      </c>
      <c r="D1149" s="4">
        <v>4.9530099999999999E-14</v>
      </c>
      <c r="E1149" s="4">
        <v>4.9031099999999998E-14</v>
      </c>
      <c r="F1149" s="4">
        <v>5.0777700000000003E-14</v>
      </c>
      <c r="I1149" s="5">
        <v>1.7466500000000001E-15</v>
      </c>
      <c r="O1149" s="5"/>
      <c r="U1149" s="5">
        <v>4.9904399999999999E-16</v>
      </c>
      <c r="AA1149" s="5"/>
    </row>
    <row r="1150" spans="3:27" x14ac:dyDescent="0.25">
      <c r="C1150" s="7">
        <v>4.7409199999999997E-15</v>
      </c>
      <c r="D1150" s="4">
        <v>4.9530099999999999E-14</v>
      </c>
      <c r="E1150" s="4">
        <v>4.9031099999999998E-14</v>
      </c>
      <c r="F1150" s="4">
        <v>5.0777700000000003E-14</v>
      </c>
      <c r="I1150" s="5">
        <v>1.7466500000000001E-15</v>
      </c>
      <c r="O1150" s="5"/>
      <c r="U1150" s="5">
        <v>4.9904399999999999E-16</v>
      </c>
      <c r="AA1150" s="5"/>
    </row>
    <row r="1151" spans="3:27" x14ac:dyDescent="0.25">
      <c r="C1151" s="7">
        <v>4.7409199999999997E-15</v>
      </c>
      <c r="D1151" s="4">
        <v>4.9031099999999998E-14</v>
      </c>
      <c r="E1151" s="4">
        <v>4.89063E-14</v>
      </c>
      <c r="F1151" s="4">
        <v>5.0528200000000002E-14</v>
      </c>
      <c r="I1151" s="5">
        <v>1.7466500000000001E-15</v>
      </c>
      <c r="O1151" s="5"/>
      <c r="U1151" s="5">
        <v>4.9904399999999999E-16</v>
      </c>
      <c r="AA1151" s="5"/>
    </row>
    <row r="1152" spans="3:27" x14ac:dyDescent="0.25">
      <c r="C1152" s="7">
        <v>4.7409199999999997E-15</v>
      </c>
      <c r="D1152" s="4">
        <v>4.8157799999999999E-14</v>
      </c>
      <c r="E1152" s="4">
        <v>4.89063E-14</v>
      </c>
      <c r="F1152" s="4">
        <v>4.9155800000000001E-14</v>
      </c>
      <c r="I1152" s="5">
        <v>1.7466500000000001E-15</v>
      </c>
      <c r="O1152" s="5"/>
      <c r="U1152" s="5">
        <v>4.9904399999999999E-16</v>
      </c>
      <c r="AA1152" s="5"/>
    </row>
    <row r="1153" spans="3:27" x14ac:dyDescent="0.25">
      <c r="C1153" s="7">
        <v>4.7409199999999997E-15</v>
      </c>
      <c r="D1153" s="4">
        <v>4.8157799999999999E-14</v>
      </c>
      <c r="E1153" s="4">
        <v>4.86568E-14</v>
      </c>
      <c r="F1153" s="4">
        <v>4.89063E-14</v>
      </c>
      <c r="I1153" s="5">
        <v>1.7466500000000001E-15</v>
      </c>
      <c r="O1153" s="5"/>
      <c r="U1153" s="5">
        <v>4.9904399999999999E-16</v>
      </c>
      <c r="AA1153" s="5"/>
    </row>
    <row r="1154" spans="3:27" x14ac:dyDescent="0.25">
      <c r="C1154" s="7">
        <v>4.6161599999999997E-15</v>
      </c>
      <c r="D1154" s="4">
        <v>4.7908199999999997E-14</v>
      </c>
      <c r="E1154" s="4">
        <v>4.86568E-14</v>
      </c>
      <c r="F1154" s="4">
        <v>4.8407299999999999E-14</v>
      </c>
      <c r="I1154" s="5">
        <v>1.7466500000000001E-15</v>
      </c>
      <c r="O1154" s="5"/>
      <c r="U1154" s="5">
        <v>4.9904399999999999E-16</v>
      </c>
      <c r="AA1154" s="5"/>
    </row>
    <row r="1155" spans="3:27" x14ac:dyDescent="0.25">
      <c r="C1155" s="7">
        <v>4.6161599999999997E-15</v>
      </c>
      <c r="D1155" s="4">
        <v>4.77835E-14</v>
      </c>
      <c r="E1155" s="4">
        <v>4.8157799999999999E-14</v>
      </c>
      <c r="F1155" s="4">
        <v>4.8033000000000001E-14</v>
      </c>
      <c r="I1155" s="5">
        <v>1.7466500000000001E-15</v>
      </c>
      <c r="O1155" s="5"/>
      <c r="U1155" s="5">
        <v>4.9904399999999999E-16</v>
      </c>
      <c r="AA1155" s="5"/>
    </row>
    <row r="1156" spans="3:27" x14ac:dyDescent="0.25">
      <c r="C1156" s="7">
        <v>4.6161599999999997E-15</v>
      </c>
      <c r="D1156" s="4">
        <v>4.7409200000000002E-14</v>
      </c>
      <c r="E1156" s="4">
        <v>4.77835E-14</v>
      </c>
      <c r="F1156" s="4">
        <v>4.7908199999999997E-14</v>
      </c>
      <c r="I1156" s="5">
        <v>1.7466500000000001E-15</v>
      </c>
      <c r="O1156" s="5"/>
      <c r="U1156" s="5">
        <v>4.9904399999999999E-16</v>
      </c>
      <c r="AA1156" s="5"/>
    </row>
    <row r="1157" spans="3:27" x14ac:dyDescent="0.25">
      <c r="C1157" s="7">
        <v>4.6161599999999997E-15</v>
      </c>
      <c r="D1157" s="4">
        <v>4.6411099999999999E-14</v>
      </c>
      <c r="E1157" s="4">
        <v>4.77835E-14</v>
      </c>
      <c r="F1157" s="4">
        <v>4.7908199999999997E-14</v>
      </c>
      <c r="I1157" s="5">
        <v>1.7466500000000001E-15</v>
      </c>
      <c r="O1157" s="5"/>
      <c r="U1157" s="5">
        <v>4.9904399999999999E-16</v>
      </c>
      <c r="AA1157" s="5"/>
    </row>
    <row r="1158" spans="3:27" x14ac:dyDescent="0.25">
      <c r="C1158" s="7">
        <v>4.6161599999999997E-15</v>
      </c>
      <c r="D1158" s="4">
        <v>4.6411099999999999E-14</v>
      </c>
      <c r="E1158" s="4">
        <v>4.77835E-14</v>
      </c>
      <c r="F1158" s="4">
        <v>4.7908199999999997E-14</v>
      </c>
      <c r="I1158" s="5">
        <v>1.7466500000000001E-15</v>
      </c>
      <c r="O1158" s="5"/>
      <c r="U1158" s="5">
        <v>4.9904399999999999E-16</v>
      </c>
      <c r="AA1158" s="5"/>
    </row>
    <row r="1159" spans="3:27" x14ac:dyDescent="0.25">
      <c r="C1159" s="7">
        <v>4.6161599999999997E-15</v>
      </c>
      <c r="D1159" s="4">
        <v>4.6161599999999998E-14</v>
      </c>
      <c r="E1159" s="4">
        <v>4.7534E-14</v>
      </c>
      <c r="F1159" s="4">
        <v>4.7409200000000002E-14</v>
      </c>
      <c r="I1159" s="5">
        <v>1.7466500000000001E-15</v>
      </c>
      <c r="O1159" s="5"/>
      <c r="U1159" s="5">
        <v>4.9904399999999999E-16</v>
      </c>
      <c r="AA1159" s="5"/>
    </row>
    <row r="1160" spans="3:27" x14ac:dyDescent="0.25">
      <c r="C1160" s="7">
        <v>4.6161599999999997E-15</v>
      </c>
      <c r="D1160" s="4">
        <v>4.6036800000000001E-14</v>
      </c>
      <c r="E1160" s="4">
        <v>4.7159700000000001E-14</v>
      </c>
      <c r="F1160" s="4">
        <v>4.7409200000000002E-14</v>
      </c>
      <c r="I1160" s="5">
        <v>1.62189E-15</v>
      </c>
      <c r="O1160" s="5"/>
      <c r="U1160" s="5">
        <v>4.9904399999999999E-16</v>
      </c>
      <c r="AA1160" s="5"/>
    </row>
    <row r="1161" spans="3:27" x14ac:dyDescent="0.25">
      <c r="C1161" s="7">
        <v>4.6161599999999997E-15</v>
      </c>
      <c r="D1161" s="4">
        <v>4.5912099999999998E-14</v>
      </c>
      <c r="E1161" s="4">
        <v>4.6411099999999999E-14</v>
      </c>
      <c r="F1161" s="4">
        <v>4.7284399999999998E-14</v>
      </c>
      <c r="I1161" s="5">
        <v>1.62189E-15</v>
      </c>
      <c r="O1161" s="5"/>
      <c r="U1161" s="5">
        <v>4.9904399999999999E-16</v>
      </c>
      <c r="AA1161" s="5"/>
    </row>
    <row r="1162" spans="3:27" x14ac:dyDescent="0.25">
      <c r="C1162" s="7">
        <v>4.4914000000000004E-15</v>
      </c>
      <c r="D1162" s="4">
        <v>4.5537799999999999E-14</v>
      </c>
      <c r="E1162" s="4">
        <v>4.6411099999999999E-14</v>
      </c>
      <c r="F1162" s="4">
        <v>4.7159700000000001E-14</v>
      </c>
      <c r="I1162" s="5">
        <v>1.62189E-15</v>
      </c>
      <c r="O1162" s="5"/>
      <c r="U1162" s="5">
        <v>4.9904399999999999E-16</v>
      </c>
      <c r="AA1162" s="5"/>
    </row>
    <row r="1163" spans="3:27" x14ac:dyDescent="0.25">
      <c r="C1163" s="7">
        <v>4.4914000000000004E-15</v>
      </c>
      <c r="D1163" s="4">
        <v>4.5163500000000001E-14</v>
      </c>
      <c r="E1163" s="4">
        <v>4.6161599999999998E-14</v>
      </c>
      <c r="F1163" s="4">
        <v>4.7159700000000001E-14</v>
      </c>
      <c r="I1163" s="5">
        <v>1.62189E-15</v>
      </c>
      <c r="O1163" s="5"/>
      <c r="U1163" s="5">
        <v>4.9904399999999999E-16</v>
      </c>
      <c r="AA1163" s="5"/>
    </row>
    <row r="1164" spans="3:27" x14ac:dyDescent="0.25">
      <c r="C1164" s="7">
        <v>4.4914000000000004E-15</v>
      </c>
      <c r="D1164" s="4">
        <v>4.40406E-14</v>
      </c>
      <c r="E1164" s="4">
        <v>4.6161599999999998E-14</v>
      </c>
      <c r="F1164" s="4">
        <v>4.6411099999999999E-14</v>
      </c>
      <c r="I1164" s="5">
        <v>1.62189E-15</v>
      </c>
      <c r="O1164" s="5"/>
      <c r="U1164" s="5">
        <v>4.9904399999999999E-16</v>
      </c>
      <c r="AA1164" s="5"/>
    </row>
    <row r="1165" spans="3:27" x14ac:dyDescent="0.25">
      <c r="C1165" s="7">
        <v>4.4914000000000004E-15</v>
      </c>
      <c r="D1165" s="4">
        <v>4.3915899999999997E-14</v>
      </c>
      <c r="E1165" s="4">
        <v>4.5288299999999999E-14</v>
      </c>
      <c r="F1165" s="4">
        <v>4.6286300000000001E-14</v>
      </c>
      <c r="I1165" s="5">
        <v>1.62189E-15</v>
      </c>
      <c r="O1165" s="5"/>
      <c r="U1165" s="5">
        <v>4.9904399999999999E-16</v>
      </c>
      <c r="AA1165" s="5"/>
    </row>
    <row r="1166" spans="3:27" x14ac:dyDescent="0.25">
      <c r="C1166" s="7">
        <v>4.4914000000000004E-15</v>
      </c>
      <c r="D1166" s="4">
        <v>4.3666400000000003E-14</v>
      </c>
      <c r="E1166" s="4">
        <v>4.5288299999999999E-14</v>
      </c>
      <c r="F1166" s="4">
        <v>4.5912099999999998E-14</v>
      </c>
      <c r="I1166" s="5">
        <v>1.62189E-15</v>
      </c>
      <c r="O1166" s="5"/>
      <c r="U1166" s="5">
        <v>4.9904399999999999E-16</v>
      </c>
      <c r="AA1166" s="5"/>
    </row>
    <row r="1167" spans="3:27" x14ac:dyDescent="0.25">
      <c r="C1167" s="7">
        <v>4.4914000000000004E-15</v>
      </c>
      <c r="D1167" s="4">
        <v>4.3541599999999999E-14</v>
      </c>
      <c r="E1167" s="4">
        <v>4.5288299999999999E-14</v>
      </c>
      <c r="F1167" s="4">
        <v>4.57873E-14</v>
      </c>
      <c r="I1167" s="5">
        <v>1.62189E-15</v>
      </c>
      <c r="O1167" s="5"/>
      <c r="U1167" s="5">
        <v>4.9904399999999999E-16</v>
      </c>
      <c r="AA1167" s="5"/>
    </row>
    <row r="1168" spans="3:27" x14ac:dyDescent="0.25">
      <c r="C1168" s="7">
        <v>4.4914000000000004E-15</v>
      </c>
      <c r="D1168" s="4">
        <v>4.3292099999999998E-14</v>
      </c>
      <c r="E1168" s="4">
        <v>4.46645E-14</v>
      </c>
      <c r="F1168" s="4">
        <v>4.5413000000000002E-14</v>
      </c>
      <c r="I1168" s="5">
        <v>1.62189E-15</v>
      </c>
      <c r="O1168" s="5"/>
      <c r="U1168" s="5">
        <v>3.7428299999999999E-16</v>
      </c>
      <c r="AA1168" s="5"/>
    </row>
    <row r="1169" spans="3:27" x14ac:dyDescent="0.25">
      <c r="C1169" s="7">
        <v>4.3666400000000003E-15</v>
      </c>
      <c r="D1169" s="4">
        <v>4.3167300000000001E-14</v>
      </c>
      <c r="E1169" s="4">
        <v>4.3915899999999997E-14</v>
      </c>
      <c r="F1169" s="4">
        <v>4.5163500000000001E-14</v>
      </c>
      <c r="I1169" s="5">
        <v>1.62189E-15</v>
      </c>
      <c r="O1169" s="5"/>
      <c r="U1169" s="5">
        <v>3.7428299999999999E-16</v>
      </c>
      <c r="AA1169" s="5"/>
    </row>
    <row r="1170" spans="3:27" x14ac:dyDescent="0.25">
      <c r="C1170" s="7">
        <v>4.3666400000000003E-15</v>
      </c>
      <c r="D1170" s="4">
        <v>4.1794899999999999E-14</v>
      </c>
      <c r="E1170" s="4">
        <v>4.3416800000000001E-14</v>
      </c>
      <c r="F1170" s="4">
        <v>4.4914000000000001E-14</v>
      </c>
      <c r="I1170" s="5">
        <v>1.62189E-15</v>
      </c>
      <c r="O1170" s="5"/>
      <c r="U1170" s="5">
        <v>3.7428299999999999E-16</v>
      </c>
      <c r="AA1170" s="5"/>
    </row>
    <row r="1171" spans="3:27" x14ac:dyDescent="0.25">
      <c r="C1171" s="7">
        <v>4.3666400000000003E-15</v>
      </c>
      <c r="D1171" s="4">
        <v>4.1670200000000003E-14</v>
      </c>
      <c r="E1171" s="4">
        <v>4.3167300000000001E-14</v>
      </c>
      <c r="F1171" s="4">
        <v>4.4789200000000003E-14</v>
      </c>
      <c r="I1171" s="5">
        <v>1.62189E-15</v>
      </c>
      <c r="O1171" s="5"/>
      <c r="U1171" s="5">
        <v>3.7428299999999999E-16</v>
      </c>
      <c r="AA1171" s="5"/>
    </row>
    <row r="1172" spans="3:27" x14ac:dyDescent="0.25">
      <c r="C1172" s="7">
        <v>4.3666400000000003E-15</v>
      </c>
      <c r="D1172" s="4">
        <v>4.09216E-14</v>
      </c>
      <c r="E1172" s="4">
        <v>4.3167300000000001E-14</v>
      </c>
      <c r="F1172" s="4">
        <v>4.4539700000000002E-14</v>
      </c>
      <c r="I1172" s="5">
        <v>1.62189E-15</v>
      </c>
      <c r="O1172" s="5"/>
      <c r="U1172" s="5">
        <v>3.7428299999999999E-16</v>
      </c>
      <c r="AA1172" s="5"/>
    </row>
    <row r="1173" spans="3:27" x14ac:dyDescent="0.25">
      <c r="C1173" s="7">
        <v>4.3666400000000003E-15</v>
      </c>
      <c r="D1173" s="4">
        <v>4.0422599999999999E-14</v>
      </c>
      <c r="E1173" s="4">
        <v>4.1794899999999999E-14</v>
      </c>
      <c r="F1173" s="4">
        <v>4.40406E-14</v>
      </c>
      <c r="I1173" s="5">
        <v>1.62189E-15</v>
      </c>
      <c r="O1173" s="5"/>
      <c r="U1173" s="5">
        <v>3.7428299999999999E-16</v>
      </c>
      <c r="AA1173" s="5"/>
    </row>
    <row r="1174" spans="3:27" x14ac:dyDescent="0.25">
      <c r="C1174" s="7">
        <v>4.3666400000000003E-15</v>
      </c>
      <c r="D1174" s="4">
        <v>4.0422599999999999E-14</v>
      </c>
      <c r="E1174" s="4">
        <v>4.1670200000000003E-14</v>
      </c>
      <c r="F1174" s="4">
        <v>4.3292099999999998E-14</v>
      </c>
      <c r="I1174" s="5">
        <v>1.62189E-15</v>
      </c>
      <c r="O1174" s="5"/>
      <c r="U1174" s="5">
        <v>3.7428299999999999E-16</v>
      </c>
      <c r="AA1174" s="5"/>
    </row>
    <row r="1175" spans="3:27" x14ac:dyDescent="0.25">
      <c r="C1175" s="7">
        <v>4.3666400000000003E-15</v>
      </c>
      <c r="D1175" s="4">
        <v>4.00483E-14</v>
      </c>
      <c r="E1175" s="4">
        <v>4.1420700000000002E-14</v>
      </c>
      <c r="F1175" s="4">
        <v>4.3167300000000001E-14</v>
      </c>
      <c r="I1175" s="5">
        <v>1.62189E-15</v>
      </c>
      <c r="O1175" s="5"/>
      <c r="U1175" s="5">
        <v>3.7428299999999999E-16</v>
      </c>
      <c r="AA1175" s="5"/>
    </row>
    <row r="1176" spans="3:27" x14ac:dyDescent="0.25">
      <c r="C1176" s="7">
        <v>4.3666400000000003E-15</v>
      </c>
      <c r="D1176" s="4">
        <v>3.9424500000000002E-14</v>
      </c>
      <c r="E1176" s="4">
        <v>4.1295899999999998E-14</v>
      </c>
      <c r="F1176" s="4">
        <v>4.3042599999999998E-14</v>
      </c>
      <c r="I1176" s="5">
        <v>1.62189E-15</v>
      </c>
      <c r="O1176" s="5"/>
      <c r="U1176" s="5">
        <v>3.7428299999999999E-16</v>
      </c>
      <c r="AA1176" s="5"/>
    </row>
    <row r="1177" spans="3:27" x14ac:dyDescent="0.25">
      <c r="C1177" s="7">
        <v>4.3666400000000003E-15</v>
      </c>
      <c r="D1177" s="4">
        <v>3.9424500000000002E-14</v>
      </c>
      <c r="E1177" s="4">
        <v>4.11711E-14</v>
      </c>
      <c r="F1177" s="4">
        <v>4.26683E-14</v>
      </c>
      <c r="I1177" s="5">
        <v>1.62189E-15</v>
      </c>
      <c r="O1177" s="5"/>
      <c r="U1177" s="5">
        <v>3.7428299999999999E-16</v>
      </c>
      <c r="AA1177" s="5"/>
    </row>
    <row r="1178" spans="3:27" x14ac:dyDescent="0.25">
      <c r="C1178" s="7">
        <v>4.2418800000000002E-15</v>
      </c>
      <c r="D1178" s="4">
        <v>3.9299699999999998E-14</v>
      </c>
      <c r="E1178" s="4">
        <v>4.11711E-14</v>
      </c>
      <c r="F1178" s="4">
        <v>4.2543500000000002E-14</v>
      </c>
      <c r="I1178" s="5">
        <v>1.62189E-15</v>
      </c>
      <c r="O1178" s="5"/>
      <c r="U1178" s="5">
        <v>3.7428299999999999E-16</v>
      </c>
      <c r="AA1178" s="5"/>
    </row>
    <row r="1179" spans="3:27" x14ac:dyDescent="0.25">
      <c r="C1179" s="7">
        <v>4.2418800000000002E-15</v>
      </c>
      <c r="D1179" s="4">
        <v>3.9299699999999998E-14</v>
      </c>
      <c r="E1179" s="4">
        <v>4.1046399999999997E-14</v>
      </c>
      <c r="F1179" s="4">
        <v>4.2294000000000001E-14</v>
      </c>
      <c r="I1179" s="5">
        <v>1.62189E-15</v>
      </c>
      <c r="O1179" s="5"/>
      <c r="U1179" s="5">
        <v>3.7428299999999999E-16</v>
      </c>
      <c r="AA1179" s="5"/>
    </row>
    <row r="1180" spans="3:27" x14ac:dyDescent="0.25">
      <c r="C1180" s="7">
        <v>4.2418800000000002E-15</v>
      </c>
      <c r="D1180" s="4">
        <v>3.8675899999999999E-14</v>
      </c>
      <c r="E1180" s="4">
        <v>4.1046399999999997E-14</v>
      </c>
      <c r="F1180" s="4">
        <v>4.1670200000000003E-14</v>
      </c>
      <c r="I1180" s="5">
        <v>1.62189E-15</v>
      </c>
      <c r="O1180" s="5"/>
      <c r="U1180" s="5">
        <v>3.7428299999999999E-16</v>
      </c>
      <c r="AA1180" s="5"/>
    </row>
    <row r="1181" spans="3:27" x14ac:dyDescent="0.25">
      <c r="C1181" s="7">
        <v>4.2418800000000002E-15</v>
      </c>
      <c r="D1181" s="4">
        <v>3.8675899999999999E-14</v>
      </c>
      <c r="E1181" s="4">
        <v>4.0672099999999999E-14</v>
      </c>
      <c r="F1181" s="4">
        <v>4.1420700000000002E-14</v>
      </c>
      <c r="I1181" s="5">
        <v>1.62189E-15</v>
      </c>
      <c r="O1181" s="5"/>
      <c r="U1181" s="5">
        <v>3.7428299999999999E-16</v>
      </c>
      <c r="AA1181" s="5"/>
    </row>
    <row r="1182" spans="3:27" x14ac:dyDescent="0.25">
      <c r="C1182" s="7">
        <v>4.2418800000000002E-15</v>
      </c>
      <c r="D1182" s="4">
        <v>3.8426399999999998E-14</v>
      </c>
      <c r="E1182" s="4">
        <v>3.97988E-14</v>
      </c>
      <c r="F1182" s="4">
        <v>4.1046399999999997E-14</v>
      </c>
      <c r="I1182" s="5">
        <v>1.62189E-15</v>
      </c>
      <c r="O1182" s="5"/>
      <c r="U1182" s="5">
        <v>3.7428299999999999E-16</v>
      </c>
      <c r="AA1182" s="5"/>
    </row>
    <row r="1183" spans="3:27" x14ac:dyDescent="0.25">
      <c r="C1183" s="7">
        <v>4.2418800000000002E-15</v>
      </c>
      <c r="D1183" s="4">
        <v>3.80521E-14</v>
      </c>
      <c r="E1183" s="4">
        <v>3.9549199999999998E-14</v>
      </c>
      <c r="F1183" s="4">
        <v>4.0547300000000002E-14</v>
      </c>
      <c r="I1183" s="5">
        <v>1.62189E-15</v>
      </c>
      <c r="O1183" s="5"/>
      <c r="U1183" s="5">
        <v>3.7428299999999999E-16</v>
      </c>
      <c r="AA1183" s="5"/>
    </row>
    <row r="1184" spans="3:27" x14ac:dyDescent="0.25">
      <c r="C1184" s="7">
        <v>4.2418800000000002E-15</v>
      </c>
      <c r="D1184" s="4">
        <v>3.7677800000000002E-14</v>
      </c>
      <c r="E1184" s="4">
        <v>3.9424500000000002E-14</v>
      </c>
      <c r="F1184" s="4">
        <v>4.0547300000000002E-14</v>
      </c>
      <c r="I1184" s="5">
        <v>1.62189E-15</v>
      </c>
      <c r="O1184" s="5"/>
      <c r="U1184" s="5">
        <v>3.7428299999999999E-16</v>
      </c>
      <c r="AA1184" s="5"/>
    </row>
    <row r="1185" spans="3:27" x14ac:dyDescent="0.25">
      <c r="C1185" s="7">
        <v>4.2418800000000002E-15</v>
      </c>
      <c r="D1185" s="4">
        <v>3.7553099999999999E-14</v>
      </c>
      <c r="E1185" s="4">
        <v>3.9424500000000002E-14</v>
      </c>
      <c r="F1185" s="4">
        <v>4.0422599999999999E-14</v>
      </c>
      <c r="I1185" s="5">
        <v>1.62189E-15</v>
      </c>
      <c r="O1185" s="5"/>
      <c r="U1185" s="5">
        <v>3.7428299999999999E-16</v>
      </c>
      <c r="AA1185" s="5"/>
    </row>
    <row r="1186" spans="3:27" x14ac:dyDescent="0.25">
      <c r="C1186" s="7">
        <v>4.2418800000000002E-15</v>
      </c>
      <c r="D1186" s="4">
        <v>3.7428300000000001E-14</v>
      </c>
      <c r="E1186" s="4">
        <v>3.9299699999999998E-14</v>
      </c>
      <c r="F1186" s="4">
        <v>3.97988E-14</v>
      </c>
      <c r="I1186" s="5">
        <v>1.62189E-15</v>
      </c>
      <c r="O1186" s="5"/>
      <c r="U1186" s="5">
        <v>3.7428299999999999E-16</v>
      </c>
      <c r="AA1186" s="5"/>
    </row>
    <row r="1187" spans="3:27" x14ac:dyDescent="0.25">
      <c r="C1187" s="7">
        <v>4.2418800000000002E-15</v>
      </c>
      <c r="D1187" s="4">
        <v>3.7054000000000003E-14</v>
      </c>
      <c r="E1187" s="4">
        <v>3.9050199999999997E-14</v>
      </c>
      <c r="F1187" s="4">
        <v>3.8800700000000003E-14</v>
      </c>
      <c r="I1187" s="5">
        <v>1.4971299999999999E-15</v>
      </c>
      <c r="O1187" s="5"/>
      <c r="U1187" s="5">
        <v>3.7428299999999999E-16</v>
      </c>
      <c r="AA1187" s="5"/>
    </row>
    <row r="1188" spans="3:27" x14ac:dyDescent="0.25">
      <c r="C1188" s="7">
        <v>4.1171100000000004E-15</v>
      </c>
      <c r="D1188" s="4">
        <v>3.69293E-14</v>
      </c>
      <c r="E1188" s="4">
        <v>3.8800700000000003E-14</v>
      </c>
      <c r="F1188" s="4">
        <v>3.8551200000000002E-14</v>
      </c>
      <c r="I1188" s="5">
        <v>1.4971299999999999E-15</v>
      </c>
      <c r="O1188" s="5"/>
      <c r="U1188" s="5">
        <v>3.7428299999999999E-16</v>
      </c>
      <c r="AA1188" s="5"/>
    </row>
    <row r="1189" spans="3:27" x14ac:dyDescent="0.25">
      <c r="C1189" s="7">
        <v>4.1171100000000004E-15</v>
      </c>
      <c r="D1189" s="4">
        <v>3.69293E-14</v>
      </c>
      <c r="E1189" s="4">
        <v>3.8551200000000002E-14</v>
      </c>
      <c r="F1189" s="4">
        <v>3.8301600000000001E-14</v>
      </c>
      <c r="I1189" s="5">
        <v>1.4971299999999999E-15</v>
      </c>
      <c r="O1189" s="5"/>
      <c r="U1189" s="5">
        <v>3.7428299999999999E-16</v>
      </c>
      <c r="AA1189" s="5"/>
    </row>
    <row r="1190" spans="3:27" x14ac:dyDescent="0.25">
      <c r="C1190" s="7">
        <v>4.1171100000000004E-15</v>
      </c>
      <c r="D1190" s="4">
        <v>3.6804500000000002E-14</v>
      </c>
      <c r="E1190" s="4">
        <v>3.8426399999999998E-14</v>
      </c>
      <c r="F1190" s="4">
        <v>3.7927399999999997E-14</v>
      </c>
      <c r="I1190" s="5">
        <v>1.4971299999999999E-15</v>
      </c>
      <c r="O1190" s="5"/>
      <c r="U1190" s="5">
        <v>3.7428299999999999E-16</v>
      </c>
      <c r="AA1190" s="5"/>
    </row>
    <row r="1191" spans="3:27" x14ac:dyDescent="0.25">
      <c r="C1191" s="7">
        <v>4.1171100000000004E-15</v>
      </c>
      <c r="D1191" s="4">
        <v>3.6679699999999998E-14</v>
      </c>
      <c r="E1191" s="4">
        <v>3.7927399999999997E-14</v>
      </c>
      <c r="F1191" s="4">
        <v>3.7802599999999999E-14</v>
      </c>
      <c r="I1191" s="5">
        <v>1.4971299999999999E-15</v>
      </c>
      <c r="O1191" s="5"/>
      <c r="U1191" s="5">
        <v>3.7428299999999999E-16</v>
      </c>
      <c r="AA1191" s="5"/>
    </row>
    <row r="1192" spans="3:27" x14ac:dyDescent="0.25">
      <c r="C1192" s="7">
        <v>4.1171100000000004E-15</v>
      </c>
      <c r="D1192" s="4">
        <v>3.6555000000000002E-14</v>
      </c>
      <c r="E1192" s="4">
        <v>3.7303599999999998E-14</v>
      </c>
      <c r="F1192" s="4">
        <v>3.7553099999999999E-14</v>
      </c>
      <c r="I1192" s="5">
        <v>1.4971299999999999E-15</v>
      </c>
      <c r="O1192" s="5"/>
      <c r="U1192" s="5">
        <v>3.7428299999999999E-16</v>
      </c>
      <c r="AA1192" s="5"/>
    </row>
    <row r="1193" spans="3:27" x14ac:dyDescent="0.25">
      <c r="C1193" s="7">
        <v>4.1171100000000004E-15</v>
      </c>
      <c r="D1193" s="4">
        <v>3.6180699999999997E-14</v>
      </c>
      <c r="E1193" s="4">
        <v>3.69293E-14</v>
      </c>
      <c r="F1193" s="4">
        <v>3.7553099999999999E-14</v>
      </c>
      <c r="I1193" s="5">
        <v>1.4971299999999999E-15</v>
      </c>
      <c r="O1193" s="5"/>
      <c r="U1193" s="5">
        <v>3.7428299999999999E-16</v>
      </c>
      <c r="AA1193" s="5"/>
    </row>
    <row r="1194" spans="3:27" x14ac:dyDescent="0.25">
      <c r="C1194" s="7">
        <v>4.1171100000000004E-15</v>
      </c>
      <c r="D1194" s="4">
        <v>3.60559E-14</v>
      </c>
      <c r="E1194" s="4">
        <v>3.6305500000000001E-14</v>
      </c>
      <c r="F1194" s="4">
        <v>3.69293E-14</v>
      </c>
      <c r="I1194" s="5">
        <v>1.4971299999999999E-15</v>
      </c>
      <c r="O1194" s="5"/>
      <c r="U1194" s="5">
        <v>3.7428299999999999E-16</v>
      </c>
      <c r="AA1194" s="5"/>
    </row>
    <row r="1195" spans="3:27" x14ac:dyDescent="0.25">
      <c r="C1195" s="7">
        <v>4.1171100000000004E-15</v>
      </c>
      <c r="D1195" s="4">
        <v>3.60559E-14</v>
      </c>
      <c r="E1195" s="4">
        <v>3.5307399999999998E-14</v>
      </c>
      <c r="F1195" s="4">
        <v>3.60559E-14</v>
      </c>
      <c r="I1195" s="5">
        <v>1.4971299999999999E-15</v>
      </c>
      <c r="O1195" s="5"/>
      <c r="U1195" s="5">
        <v>3.7428299999999999E-16</v>
      </c>
      <c r="AA1195" s="5"/>
    </row>
    <row r="1196" spans="3:27" x14ac:dyDescent="0.25">
      <c r="C1196" s="7">
        <v>4.1171100000000004E-15</v>
      </c>
      <c r="D1196" s="4">
        <v>3.5931200000000003E-14</v>
      </c>
      <c r="E1196" s="4">
        <v>3.5057899999999997E-14</v>
      </c>
      <c r="F1196" s="4">
        <v>3.5806399999999999E-14</v>
      </c>
      <c r="I1196" s="5">
        <v>1.4971299999999999E-15</v>
      </c>
      <c r="O1196" s="5"/>
      <c r="U1196" s="5">
        <v>3.7428299999999999E-16</v>
      </c>
      <c r="AA1196" s="5"/>
    </row>
    <row r="1197" spans="3:27" x14ac:dyDescent="0.25">
      <c r="C1197" s="7">
        <v>4.1171100000000004E-15</v>
      </c>
      <c r="D1197" s="4">
        <v>3.5307399999999998E-14</v>
      </c>
      <c r="E1197" s="4">
        <v>3.49331E-14</v>
      </c>
      <c r="F1197" s="4">
        <v>3.5681700000000002E-14</v>
      </c>
      <c r="I1197" s="5">
        <v>1.4971299999999999E-15</v>
      </c>
      <c r="O1197" s="5"/>
      <c r="U1197" s="5">
        <v>3.7428299999999999E-16</v>
      </c>
      <c r="AA1197" s="5"/>
    </row>
    <row r="1198" spans="3:27" x14ac:dyDescent="0.25">
      <c r="C1198" s="7">
        <v>4.1171100000000004E-15</v>
      </c>
      <c r="D1198" s="4">
        <v>3.51826E-14</v>
      </c>
      <c r="E1198" s="4">
        <v>3.49331E-14</v>
      </c>
      <c r="F1198" s="4">
        <v>3.5057899999999997E-14</v>
      </c>
      <c r="I1198" s="5">
        <v>1.4971299999999999E-15</v>
      </c>
      <c r="O1198" s="5"/>
      <c r="U1198" s="5">
        <v>3.7428299999999999E-16</v>
      </c>
      <c r="AA1198" s="5"/>
    </row>
    <row r="1199" spans="3:27" x14ac:dyDescent="0.25">
      <c r="C1199" s="7">
        <v>4.1171100000000004E-15</v>
      </c>
      <c r="D1199" s="4">
        <v>3.5057899999999997E-14</v>
      </c>
      <c r="E1199" s="4">
        <v>3.4683599999999999E-14</v>
      </c>
      <c r="F1199" s="4">
        <v>3.5057899999999997E-14</v>
      </c>
      <c r="I1199" s="5">
        <v>1.4971299999999999E-15</v>
      </c>
      <c r="O1199" s="5"/>
      <c r="U1199" s="5">
        <v>3.7428299999999999E-16</v>
      </c>
      <c r="AA1199" s="5"/>
    </row>
    <row r="1200" spans="3:27" x14ac:dyDescent="0.25">
      <c r="C1200" s="7">
        <v>3.9923500000000003E-15</v>
      </c>
      <c r="D1200" s="4">
        <v>3.5057899999999997E-14</v>
      </c>
      <c r="E1200" s="4">
        <v>3.4683599999999999E-14</v>
      </c>
      <c r="F1200" s="4">
        <v>3.5057899999999997E-14</v>
      </c>
      <c r="I1200" s="5">
        <v>1.4971299999999999E-15</v>
      </c>
      <c r="O1200" s="5"/>
      <c r="U1200" s="5">
        <v>3.7428299999999999E-16</v>
      </c>
      <c r="AA1200" s="5"/>
    </row>
    <row r="1201" spans="3:27" x14ac:dyDescent="0.25">
      <c r="C1201" s="7">
        <v>3.9923500000000003E-15</v>
      </c>
      <c r="D1201" s="4">
        <v>3.4808300000000002E-14</v>
      </c>
      <c r="E1201" s="4">
        <v>3.4558800000000001E-14</v>
      </c>
      <c r="F1201" s="4">
        <v>3.5057899999999997E-14</v>
      </c>
      <c r="I1201" s="5">
        <v>1.4971299999999999E-15</v>
      </c>
      <c r="O1201" s="5"/>
      <c r="U1201" s="5">
        <v>3.7428299999999999E-16</v>
      </c>
      <c r="AA1201" s="5"/>
    </row>
    <row r="1202" spans="3:27" x14ac:dyDescent="0.25">
      <c r="C1202" s="7">
        <v>3.9923500000000003E-15</v>
      </c>
      <c r="D1202" s="4">
        <v>3.4808300000000002E-14</v>
      </c>
      <c r="E1202" s="4">
        <v>3.4558800000000001E-14</v>
      </c>
      <c r="F1202" s="4">
        <v>3.49331E-14</v>
      </c>
      <c r="I1202" s="5">
        <v>1.4971299999999999E-15</v>
      </c>
      <c r="O1202" s="5"/>
      <c r="U1202" s="5">
        <v>3.7428299999999999E-16</v>
      </c>
      <c r="AA1202" s="5"/>
    </row>
    <row r="1203" spans="3:27" x14ac:dyDescent="0.25">
      <c r="C1203" s="7">
        <v>3.9923500000000003E-15</v>
      </c>
      <c r="D1203" s="4">
        <v>3.4683599999999999E-14</v>
      </c>
      <c r="E1203" s="4">
        <v>3.4309300000000001E-14</v>
      </c>
      <c r="F1203" s="4">
        <v>3.4808300000000002E-14</v>
      </c>
      <c r="I1203" s="5">
        <v>1.4971299999999999E-15</v>
      </c>
      <c r="O1203" s="5"/>
      <c r="U1203" s="5">
        <v>3.7428299999999999E-16</v>
      </c>
      <c r="AA1203" s="5"/>
    </row>
    <row r="1204" spans="3:27" x14ac:dyDescent="0.25">
      <c r="C1204" s="7">
        <v>3.9923500000000003E-15</v>
      </c>
      <c r="D1204" s="4">
        <v>3.4433999999999997E-14</v>
      </c>
      <c r="E1204" s="4">
        <v>3.4309300000000001E-14</v>
      </c>
      <c r="F1204" s="4">
        <v>3.4808300000000002E-14</v>
      </c>
      <c r="I1204" s="5">
        <v>1.4971299999999999E-15</v>
      </c>
      <c r="O1204" s="5"/>
      <c r="U1204" s="5">
        <v>3.7428299999999999E-16</v>
      </c>
      <c r="AA1204" s="5"/>
    </row>
    <row r="1205" spans="3:27" x14ac:dyDescent="0.25">
      <c r="C1205" s="7">
        <v>3.9923500000000003E-15</v>
      </c>
      <c r="D1205" s="4">
        <v>3.4184499999999997E-14</v>
      </c>
      <c r="E1205" s="4">
        <v>3.4309300000000001E-14</v>
      </c>
      <c r="F1205" s="4">
        <v>3.4683599999999999E-14</v>
      </c>
      <c r="I1205" s="5">
        <v>1.4971299999999999E-15</v>
      </c>
      <c r="O1205" s="5"/>
      <c r="U1205" s="5">
        <v>3.7428299999999999E-16</v>
      </c>
      <c r="AA1205" s="5"/>
    </row>
    <row r="1206" spans="3:27" x14ac:dyDescent="0.25">
      <c r="C1206" s="7">
        <v>3.8675900000000002E-15</v>
      </c>
      <c r="D1206" s="4">
        <v>3.4184499999999997E-14</v>
      </c>
      <c r="E1206" s="4">
        <v>3.40598E-14</v>
      </c>
      <c r="F1206" s="4">
        <v>3.3935000000000003E-14</v>
      </c>
      <c r="I1206" s="5">
        <v>1.4971299999999999E-15</v>
      </c>
      <c r="O1206" s="5"/>
      <c r="U1206" s="5">
        <v>3.7428299999999999E-16</v>
      </c>
      <c r="AA1206" s="5"/>
    </row>
    <row r="1207" spans="3:27" x14ac:dyDescent="0.25">
      <c r="C1207" s="7">
        <v>3.8675900000000002E-15</v>
      </c>
      <c r="D1207" s="4">
        <v>3.3810199999999999E-14</v>
      </c>
      <c r="E1207" s="4">
        <v>3.3935000000000003E-14</v>
      </c>
      <c r="F1207" s="4">
        <v>3.3685500000000002E-14</v>
      </c>
      <c r="I1207" s="5">
        <v>1.4971299999999999E-15</v>
      </c>
      <c r="O1207" s="5"/>
      <c r="U1207" s="5">
        <v>3.7428299999999999E-16</v>
      </c>
      <c r="AA1207" s="5"/>
    </row>
    <row r="1208" spans="3:27" x14ac:dyDescent="0.25">
      <c r="C1208" s="7">
        <v>3.8675900000000002E-15</v>
      </c>
      <c r="D1208" s="4">
        <v>3.2562600000000001E-14</v>
      </c>
      <c r="E1208" s="4">
        <v>3.3685500000000002E-14</v>
      </c>
      <c r="F1208" s="4">
        <v>3.3560699999999998E-14</v>
      </c>
      <c r="I1208" s="5">
        <v>1.4971299999999999E-15</v>
      </c>
      <c r="O1208" s="5"/>
      <c r="U1208" s="5">
        <v>3.7428299999999999E-16</v>
      </c>
      <c r="AA1208" s="5"/>
    </row>
    <row r="1209" spans="3:27" x14ac:dyDescent="0.25">
      <c r="C1209" s="7">
        <v>3.8675900000000002E-15</v>
      </c>
      <c r="D1209" s="4">
        <v>3.20636E-14</v>
      </c>
      <c r="E1209" s="4">
        <v>3.3311199999999997E-14</v>
      </c>
      <c r="F1209" s="4">
        <v>3.3436000000000001E-14</v>
      </c>
      <c r="I1209" s="5">
        <v>1.4971299999999999E-15</v>
      </c>
      <c r="O1209" s="5"/>
      <c r="U1209" s="5">
        <v>3.7428299999999999E-16</v>
      </c>
      <c r="AA1209" s="5"/>
    </row>
    <row r="1210" spans="3:27" x14ac:dyDescent="0.25">
      <c r="C1210" s="7">
        <v>3.8675900000000002E-15</v>
      </c>
      <c r="D1210" s="4">
        <v>3.1814099999999999E-14</v>
      </c>
      <c r="E1210" s="4">
        <v>3.3061699999999997E-14</v>
      </c>
      <c r="F1210" s="4">
        <v>3.3311199999999997E-14</v>
      </c>
      <c r="I1210" s="5">
        <v>1.4971299999999999E-15</v>
      </c>
      <c r="O1210" s="5"/>
      <c r="U1210" s="5">
        <v>3.7428299999999999E-16</v>
      </c>
      <c r="AA1210" s="5"/>
    </row>
    <row r="1211" spans="3:27" x14ac:dyDescent="0.25">
      <c r="C1211" s="7">
        <v>3.8675900000000002E-15</v>
      </c>
      <c r="D1211" s="4">
        <v>3.1689300000000002E-14</v>
      </c>
      <c r="E1211" s="4">
        <v>3.2562600000000001E-14</v>
      </c>
      <c r="F1211" s="4">
        <v>3.31864E-14</v>
      </c>
      <c r="I1211" s="5">
        <v>1.4971299999999999E-15</v>
      </c>
      <c r="O1211" s="5"/>
      <c r="U1211" s="5">
        <v>3.7428299999999999E-16</v>
      </c>
      <c r="AA1211" s="5"/>
    </row>
    <row r="1212" spans="3:27" x14ac:dyDescent="0.25">
      <c r="C1212" s="7">
        <v>3.8675900000000002E-15</v>
      </c>
      <c r="D1212" s="4">
        <v>3.1689300000000002E-14</v>
      </c>
      <c r="E1212" s="4">
        <v>3.2437899999999998E-14</v>
      </c>
      <c r="F1212" s="4">
        <v>3.2687399999999999E-14</v>
      </c>
      <c r="I1212" s="5">
        <v>1.3723700000000001E-15</v>
      </c>
      <c r="O1212" s="5"/>
      <c r="U1212" s="5">
        <v>3.7428299999999999E-16</v>
      </c>
      <c r="AA1212" s="5"/>
    </row>
    <row r="1213" spans="3:27" x14ac:dyDescent="0.25">
      <c r="C1213" s="7">
        <v>3.7428300000000001E-15</v>
      </c>
      <c r="D1213" s="4">
        <v>3.11903E-14</v>
      </c>
      <c r="E1213" s="4">
        <v>3.1938800000000002E-14</v>
      </c>
      <c r="F1213" s="4">
        <v>3.2188300000000003E-14</v>
      </c>
      <c r="I1213" s="5">
        <v>1.3723700000000001E-15</v>
      </c>
      <c r="O1213" s="5"/>
      <c r="U1213" s="5">
        <v>3.7428299999999999E-16</v>
      </c>
      <c r="AA1213" s="5"/>
    </row>
    <row r="1214" spans="3:27" x14ac:dyDescent="0.25">
      <c r="C1214" s="7">
        <v>3.7428300000000001E-15</v>
      </c>
      <c r="D1214" s="4">
        <v>3.11903E-14</v>
      </c>
      <c r="E1214" s="4">
        <v>3.1814099999999999E-14</v>
      </c>
      <c r="F1214" s="4">
        <v>3.2188300000000003E-14</v>
      </c>
      <c r="I1214" s="5">
        <v>1.3723700000000001E-15</v>
      </c>
      <c r="O1214" s="5"/>
      <c r="U1214" s="5">
        <v>3.7428299999999999E-16</v>
      </c>
      <c r="AA1214" s="5"/>
    </row>
    <row r="1215" spans="3:27" x14ac:dyDescent="0.25">
      <c r="C1215" s="7">
        <v>3.7428300000000001E-15</v>
      </c>
      <c r="D1215" s="4">
        <v>3.11903E-14</v>
      </c>
      <c r="E1215" s="4">
        <v>3.1814099999999999E-14</v>
      </c>
      <c r="F1215" s="4">
        <v>3.1938800000000002E-14</v>
      </c>
      <c r="I1215" s="5">
        <v>1.3723700000000001E-15</v>
      </c>
      <c r="O1215" s="5"/>
      <c r="U1215" s="5">
        <v>3.7428299999999999E-16</v>
      </c>
      <c r="AA1215" s="5"/>
    </row>
    <row r="1216" spans="3:27" x14ac:dyDescent="0.25">
      <c r="C1216" s="7">
        <v>3.7428300000000001E-15</v>
      </c>
      <c r="D1216" s="4">
        <v>3.0816000000000002E-14</v>
      </c>
      <c r="E1216" s="4">
        <v>3.1689300000000002E-14</v>
      </c>
      <c r="F1216" s="4">
        <v>3.1814099999999999E-14</v>
      </c>
      <c r="I1216" s="5">
        <v>1.3723700000000001E-15</v>
      </c>
      <c r="O1216" s="5"/>
      <c r="U1216" s="5">
        <v>3.7428299999999999E-16</v>
      </c>
      <c r="AA1216" s="5"/>
    </row>
    <row r="1217" spans="3:27" x14ac:dyDescent="0.25">
      <c r="C1217" s="7">
        <v>3.61807E-15</v>
      </c>
      <c r="D1217" s="4">
        <v>3.0816000000000002E-14</v>
      </c>
      <c r="E1217" s="4">
        <v>3.1564499999999998E-14</v>
      </c>
      <c r="F1217" s="4">
        <v>3.1314999999999997E-14</v>
      </c>
      <c r="I1217" s="5">
        <v>1.3723700000000001E-15</v>
      </c>
      <c r="O1217" s="5"/>
      <c r="U1217" s="5">
        <v>3.7428299999999999E-16</v>
      </c>
      <c r="AA1217" s="5"/>
    </row>
    <row r="1218" spans="3:27" x14ac:dyDescent="0.25">
      <c r="C1218" s="7">
        <v>3.61807E-15</v>
      </c>
      <c r="D1218" s="4">
        <v>3.0192199999999997E-14</v>
      </c>
      <c r="E1218" s="4">
        <v>3.11903E-14</v>
      </c>
      <c r="F1218" s="4">
        <v>3.11903E-14</v>
      </c>
      <c r="I1218" s="5">
        <v>1.3723700000000001E-15</v>
      </c>
      <c r="O1218" s="5"/>
      <c r="U1218" s="5">
        <v>3.7428299999999999E-16</v>
      </c>
      <c r="AA1218" s="5"/>
    </row>
    <row r="1219" spans="3:27" x14ac:dyDescent="0.25">
      <c r="C1219" s="7">
        <v>3.61807E-15</v>
      </c>
      <c r="D1219" s="4">
        <v>2.9568399999999998E-14</v>
      </c>
      <c r="E1219" s="4">
        <v>3.11903E-14</v>
      </c>
      <c r="F1219" s="4">
        <v>3.1065500000000003E-14</v>
      </c>
      <c r="I1219" s="5">
        <v>1.3723700000000001E-15</v>
      </c>
      <c r="O1219" s="5"/>
      <c r="U1219" s="5">
        <v>3.7428299999999999E-16</v>
      </c>
      <c r="AA1219" s="5"/>
    </row>
    <row r="1220" spans="3:27" x14ac:dyDescent="0.25">
      <c r="C1220" s="7">
        <v>3.61807E-15</v>
      </c>
      <c r="D1220" s="4">
        <v>2.9318800000000003E-14</v>
      </c>
      <c r="E1220" s="4">
        <v>2.9693100000000001E-14</v>
      </c>
      <c r="F1220" s="4">
        <v>3.0940699999999999E-14</v>
      </c>
      <c r="I1220" s="5">
        <v>1.3723700000000001E-15</v>
      </c>
      <c r="O1220" s="5"/>
      <c r="U1220" s="5">
        <v>3.7428299999999999E-16</v>
      </c>
      <c r="AA1220" s="5"/>
    </row>
    <row r="1221" spans="3:27" x14ac:dyDescent="0.25">
      <c r="C1221" s="7">
        <v>3.61807E-15</v>
      </c>
      <c r="D1221" s="4">
        <v>2.91941E-14</v>
      </c>
      <c r="E1221" s="4">
        <v>2.9443600000000001E-14</v>
      </c>
      <c r="F1221" s="4">
        <v>3.0940699999999999E-14</v>
      </c>
      <c r="I1221" s="5">
        <v>1.3723700000000001E-15</v>
      </c>
      <c r="O1221" s="5"/>
      <c r="U1221" s="5">
        <v>3.7428299999999999E-16</v>
      </c>
      <c r="AA1221" s="5"/>
    </row>
    <row r="1222" spans="3:27" x14ac:dyDescent="0.25">
      <c r="C1222" s="7">
        <v>3.61807E-15</v>
      </c>
      <c r="D1222" s="4">
        <v>2.8819800000000002E-14</v>
      </c>
      <c r="E1222" s="4">
        <v>2.91941E-14</v>
      </c>
      <c r="F1222" s="4">
        <v>3.0566500000000002E-14</v>
      </c>
      <c r="I1222" s="5">
        <v>1.3723700000000001E-15</v>
      </c>
      <c r="O1222" s="5"/>
      <c r="U1222" s="5">
        <v>3.7428299999999999E-16</v>
      </c>
    </row>
    <row r="1223" spans="3:27" x14ac:dyDescent="0.25">
      <c r="C1223" s="7">
        <v>3.61807E-15</v>
      </c>
      <c r="D1223" s="4">
        <v>2.8819800000000002E-14</v>
      </c>
      <c r="E1223" s="4">
        <v>2.8944599999999999E-14</v>
      </c>
      <c r="F1223" s="4">
        <v>3.0566500000000002E-14</v>
      </c>
      <c r="I1223" s="5">
        <v>1.3723700000000001E-15</v>
      </c>
      <c r="O1223" s="5"/>
      <c r="U1223" s="5">
        <v>3.7428299999999999E-16</v>
      </c>
    </row>
    <row r="1224" spans="3:27" x14ac:dyDescent="0.25">
      <c r="C1224" s="7">
        <v>3.61807E-15</v>
      </c>
      <c r="D1224" s="4">
        <v>2.8694999999999998E-14</v>
      </c>
      <c r="E1224" s="4">
        <v>2.8320800000000001E-14</v>
      </c>
      <c r="F1224" s="4">
        <v>3.0441699999999998E-14</v>
      </c>
      <c r="I1224" s="5">
        <v>1.3723700000000001E-15</v>
      </c>
      <c r="O1224" s="5"/>
      <c r="U1224" s="5">
        <v>3.7428299999999999E-16</v>
      </c>
    </row>
    <row r="1225" spans="3:27" x14ac:dyDescent="0.25">
      <c r="C1225" s="7">
        <v>3.61807E-15</v>
      </c>
      <c r="D1225" s="4">
        <v>2.8694999999999998E-14</v>
      </c>
      <c r="E1225" s="4">
        <v>2.8196E-14</v>
      </c>
      <c r="F1225" s="4">
        <v>3.0192199999999997E-14</v>
      </c>
      <c r="I1225" s="5">
        <v>1.3723700000000001E-15</v>
      </c>
      <c r="O1225" s="5"/>
      <c r="U1225" s="5">
        <v>3.7428299999999999E-16</v>
      </c>
    </row>
    <row r="1226" spans="3:27" x14ac:dyDescent="0.25">
      <c r="C1226" s="7">
        <v>3.61807E-15</v>
      </c>
      <c r="D1226" s="4">
        <v>2.8320800000000001E-14</v>
      </c>
      <c r="E1226" s="4">
        <v>2.7946499999999999E-14</v>
      </c>
      <c r="F1226" s="4">
        <v>2.9942600000000002E-14</v>
      </c>
      <c r="I1226" s="5">
        <v>1.3723700000000001E-15</v>
      </c>
      <c r="O1226" s="5"/>
      <c r="U1226" s="5">
        <v>3.7428299999999999E-16</v>
      </c>
    </row>
    <row r="1227" spans="3:27" x14ac:dyDescent="0.25">
      <c r="C1227" s="7">
        <v>3.61807E-15</v>
      </c>
      <c r="D1227" s="4">
        <v>2.74474E-14</v>
      </c>
      <c r="E1227" s="4">
        <v>2.7821699999999998E-14</v>
      </c>
      <c r="F1227" s="4">
        <v>2.9817899999999999E-14</v>
      </c>
      <c r="I1227" s="5">
        <v>1.3723700000000001E-15</v>
      </c>
      <c r="O1227" s="5"/>
      <c r="U1227" s="5">
        <v>3.7428299999999999E-16</v>
      </c>
    </row>
    <row r="1228" spans="3:27" x14ac:dyDescent="0.25">
      <c r="C1228" s="7">
        <v>3.49331E-15</v>
      </c>
      <c r="D1228" s="4">
        <v>2.73227E-14</v>
      </c>
      <c r="E1228" s="4">
        <v>2.7821699999999998E-14</v>
      </c>
      <c r="F1228" s="4">
        <v>2.9443600000000001E-14</v>
      </c>
      <c r="I1228" s="5">
        <v>1.3723700000000001E-15</v>
      </c>
      <c r="O1228" s="5"/>
      <c r="U1228" s="5">
        <v>3.7428299999999999E-16</v>
      </c>
    </row>
    <row r="1229" spans="3:27" x14ac:dyDescent="0.25">
      <c r="C1229" s="7">
        <v>3.49331E-15</v>
      </c>
      <c r="D1229" s="4">
        <v>2.6823600000000001E-14</v>
      </c>
      <c r="E1229" s="4">
        <v>2.7696999999999999E-14</v>
      </c>
      <c r="F1229" s="4">
        <v>2.8944599999999999E-14</v>
      </c>
      <c r="I1229" s="5">
        <v>1.3723700000000001E-15</v>
      </c>
      <c r="O1229" s="5"/>
      <c r="U1229" s="5">
        <v>3.7428299999999999E-16</v>
      </c>
    </row>
    <row r="1230" spans="3:27" x14ac:dyDescent="0.25">
      <c r="C1230" s="7">
        <v>3.49331E-15</v>
      </c>
      <c r="D1230" s="4">
        <v>2.6823600000000001E-14</v>
      </c>
      <c r="E1230" s="4">
        <v>2.73227E-14</v>
      </c>
      <c r="F1230" s="4">
        <v>2.8196E-14</v>
      </c>
      <c r="I1230" s="5">
        <v>1.3723700000000001E-15</v>
      </c>
      <c r="O1230" s="5"/>
      <c r="U1230" s="5">
        <v>2.4952199999999999E-16</v>
      </c>
    </row>
    <row r="1231" spans="3:27" x14ac:dyDescent="0.25">
      <c r="C1231" s="7">
        <v>3.49331E-15</v>
      </c>
      <c r="D1231" s="4">
        <v>2.6698899999999998E-14</v>
      </c>
      <c r="E1231" s="4">
        <v>2.6823600000000001E-14</v>
      </c>
      <c r="F1231" s="4">
        <v>2.8196E-14</v>
      </c>
      <c r="I1231" s="5">
        <v>1.3723700000000001E-15</v>
      </c>
      <c r="O1231" s="5"/>
      <c r="U1231" s="5">
        <v>2.4952199999999999E-16</v>
      </c>
    </row>
    <row r="1232" spans="3:27" x14ac:dyDescent="0.25">
      <c r="C1232" s="7">
        <v>3.49331E-15</v>
      </c>
      <c r="D1232" s="4">
        <v>2.6698899999999998E-14</v>
      </c>
      <c r="E1232" s="4">
        <v>2.6698899999999998E-14</v>
      </c>
      <c r="F1232" s="4">
        <v>2.74474E-14</v>
      </c>
      <c r="I1232" s="5">
        <v>1.3723700000000001E-15</v>
      </c>
      <c r="O1232" s="5"/>
      <c r="U1232" s="5">
        <v>2.4952199999999999E-16</v>
      </c>
    </row>
    <row r="1233" spans="3:21" x14ac:dyDescent="0.25">
      <c r="C1233" s="7">
        <v>3.49331E-15</v>
      </c>
      <c r="D1233" s="4">
        <v>2.63246E-14</v>
      </c>
      <c r="E1233" s="4">
        <v>2.63246E-14</v>
      </c>
      <c r="F1233" s="4">
        <v>2.74474E-14</v>
      </c>
      <c r="I1233" s="5">
        <v>1.3723700000000001E-15</v>
      </c>
      <c r="O1233" s="5"/>
      <c r="U1233" s="5">
        <v>2.4952199999999999E-16</v>
      </c>
    </row>
    <row r="1234" spans="3:21" x14ac:dyDescent="0.25">
      <c r="C1234" s="7">
        <v>3.49331E-15</v>
      </c>
      <c r="D1234" s="4">
        <v>2.6199799999999999E-14</v>
      </c>
      <c r="E1234" s="4">
        <v>2.6199799999999999E-14</v>
      </c>
      <c r="F1234" s="4">
        <v>2.74474E-14</v>
      </c>
      <c r="I1234" s="5">
        <v>1.3723700000000001E-15</v>
      </c>
      <c r="O1234" s="5"/>
      <c r="U1234" s="5">
        <v>2.4952199999999999E-16</v>
      </c>
    </row>
    <row r="1235" spans="3:21" x14ac:dyDescent="0.25">
      <c r="C1235" s="7">
        <v>3.3685499999999999E-15</v>
      </c>
      <c r="D1235" s="4">
        <v>2.5950299999999999E-14</v>
      </c>
      <c r="E1235" s="4">
        <v>2.5950299999999999E-14</v>
      </c>
      <c r="F1235" s="4">
        <v>2.73227E-14</v>
      </c>
      <c r="I1235" s="5">
        <v>1.3723700000000001E-15</v>
      </c>
      <c r="O1235" s="5"/>
      <c r="U1235" s="5">
        <v>2.4952199999999999E-16</v>
      </c>
    </row>
    <row r="1236" spans="3:21" x14ac:dyDescent="0.25">
      <c r="C1236" s="7">
        <v>3.3685499999999999E-15</v>
      </c>
      <c r="D1236" s="4">
        <v>2.5825500000000001E-14</v>
      </c>
      <c r="E1236" s="4">
        <v>2.5825500000000001E-14</v>
      </c>
      <c r="F1236" s="4">
        <v>2.71979E-14</v>
      </c>
      <c r="I1236" s="5">
        <v>1.3723700000000001E-15</v>
      </c>
      <c r="O1236" s="5"/>
      <c r="U1236" s="5">
        <v>2.4952199999999999E-16</v>
      </c>
    </row>
    <row r="1237" spans="3:21" x14ac:dyDescent="0.25">
      <c r="C1237" s="7">
        <v>3.3685499999999999E-15</v>
      </c>
      <c r="D1237" s="4">
        <v>2.5201699999999999E-14</v>
      </c>
      <c r="E1237" s="4">
        <v>2.5825500000000001E-14</v>
      </c>
      <c r="F1237" s="4">
        <v>2.7073099999999999E-14</v>
      </c>
      <c r="I1237" s="5">
        <v>1.3723700000000001E-15</v>
      </c>
      <c r="O1237" s="5"/>
      <c r="U1237" s="5">
        <v>2.4952199999999999E-16</v>
      </c>
    </row>
    <row r="1238" spans="3:21" x14ac:dyDescent="0.25">
      <c r="C1238" s="7">
        <v>3.3685499999999999E-15</v>
      </c>
      <c r="D1238" s="4">
        <v>2.5201699999999999E-14</v>
      </c>
      <c r="E1238" s="4">
        <v>2.5576000000000001E-14</v>
      </c>
      <c r="F1238" s="4">
        <v>2.7073099999999999E-14</v>
      </c>
      <c r="I1238" s="5">
        <v>1.3723700000000001E-15</v>
      </c>
      <c r="O1238" s="5"/>
      <c r="U1238" s="5">
        <v>2.4952199999999999E-16</v>
      </c>
    </row>
    <row r="1239" spans="3:21" x14ac:dyDescent="0.25">
      <c r="C1239" s="7">
        <v>3.3685499999999999E-15</v>
      </c>
      <c r="D1239" s="4">
        <v>2.5076999999999999E-14</v>
      </c>
      <c r="E1239" s="4">
        <v>2.53265E-14</v>
      </c>
      <c r="F1239" s="4">
        <v>2.7073099999999999E-14</v>
      </c>
      <c r="I1239" s="5">
        <v>1.3723700000000001E-15</v>
      </c>
      <c r="O1239" s="5"/>
      <c r="U1239" s="5">
        <v>2.4952199999999999E-16</v>
      </c>
    </row>
    <row r="1240" spans="3:21" x14ac:dyDescent="0.25">
      <c r="C1240" s="7">
        <v>3.3685499999999999E-15</v>
      </c>
      <c r="D1240" s="4">
        <v>2.4952199999999999E-14</v>
      </c>
      <c r="E1240" s="4">
        <v>2.53265E-14</v>
      </c>
      <c r="F1240" s="4">
        <v>2.6823600000000001E-14</v>
      </c>
      <c r="I1240" s="5">
        <v>1.3723700000000001E-15</v>
      </c>
      <c r="O1240" s="5"/>
      <c r="U1240" s="5">
        <v>2.4952199999999999E-16</v>
      </c>
    </row>
    <row r="1241" spans="3:21" x14ac:dyDescent="0.25">
      <c r="C1241" s="7">
        <v>3.3685499999999999E-15</v>
      </c>
      <c r="D1241" s="4">
        <v>2.4827400000000001E-14</v>
      </c>
      <c r="E1241" s="4">
        <v>2.4952199999999999E-14</v>
      </c>
      <c r="F1241" s="4">
        <v>2.6823600000000001E-14</v>
      </c>
      <c r="I1241" s="5">
        <v>1.3723700000000001E-15</v>
      </c>
      <c r="O1241" s="5"/>
      <c r="U1241" s="5">
        <v>2.4952199999999999E-16</v>
      </c>
    </row>
    <row r="1242" spans="3:21" x14ac:dyDescent="0.25">
      <c r="C1242" s="7">
        <v>3.2437900000000002E-15</v>
      </c>
      <c r="D1242" s="4">
        <v>2.4702700000000001E-14</v>
      </c>
      <c r="E1242" s="4">
        <v>2.45779E-14</v>
      </c>
      <c r="F1242" s="4">
        <v>2.6574100000000001E-14</v>
      </c>
      <c r="I1242" s="5">
        <v>1.3723700000000001E-15</v>
      </c>
      <c r="O1242" s="5"/>
      <c r="U1242" s="5">
        <v>2.4952199999999999E-16</v>
      </c>
    </row>
    <row r="1243" spans="3:21" x14ac:dyDescent="0.25">
      <c r="C1243" s="7">
        <v>3.2437900000000002E-15</v>
      </c>
      <c r="D1243" s="4">
        <v>2.4702700000000001E-14</v>
      </c>
      <c r="E1243" s="4">
        <v>2.43284E-14</v>
      </c>
      <c r="F1243" s="4">
        <v>2.64493E-14</v>
      </c>
      <c r="I1243" s="5">
        <v>1.24761E-15</v>
      </c>
      <c r="O1243" s="5"/>
      <c r="U1243" s="5">
        <v>2.4952199999999999E-16</v>
      </c>
    </row>
    <row r="1244" spans="3:21" x14ac:dyDescent="0.25">
      <c r="C1244" s="7">
        <v>3.2437900000000002E-15</v>
      </c>
      <c r="D1244" s="4">
        <v>2.4453200000000001E-14</v>
      </c>
      <c r="E1244" s="4">
        <v>2.43284E-14</v>
      </c>
      <c r="F1244" s="4">
        <v>2.64493E-14</v>
      </c>
      <c r="I1244" s="5">
        <v>1.24761E-15</v>
      </c>
      <c r="O1244" s="5"/>
      <c r="U1244" s="5">
        <v>2.4952199999999999E-16</v>
      </c>
    </row>
    <row r="1245" spans="3:21" x14ac:dyDescent="0.25">
      <c r="C1245" s="7">
        <v>3.2437900000000002E-15</v>
      </c>
      <c r="D1245" s="4">
        <v>2.43284E-14</v>
      </c>
      <c r="E1245" s="4">
        <v>2.4203599999999999E-14</v>
      </c>
      <c r="F1245" s="4">
        <v>2.6199799999999999E-14</v>
      </c>
      <c r="I1245" s="5">
        <v>1.24761E-15</v>
      </c>
      <c r="O1245" s="5"/>
      <c r="U1245" s="5">
        <v>2.4952199999999999E-16</v>
      </c>
    </row>
    <row r="1246" spans="3:21" x14ac:dyDescent="0.25">
      <c r="C1246" s="7">
        <v>3.2437900000000002E-15</v>
      </c>
      <c r="D1246" s="4">
        <v>2.43284E-14</v>
      </c>
      <c r="E1246" s="4">
        <v>2.4078899999999999E-14</v>
      </c>
      <c r="F1246" s="4">
        <v>2.6199799999999999E-14</v>
      </c>
      <c r="I1246" s="5">
        <v>1.24761E-15</v>
      </c>
      <c r="O1246" s="5"/>
      <c r="U1246" s="5">
        <v>2.4952199999999999E-16</v>
      </c>
    </row>
    <row r="1247" spans="3:21" x14ac:dyDescent="0.25">
      <c r="C1247" s="7">
        <v>3.2437900000000002E-15</v>
      </c>
      <c r="D1247" s="4">
        <v>2.3829399999999999E-14</v>
      </c>
      <c r="E1247" s="4">
        <v>2.34551E-14</v>
      </c>
      <c r="F1247" s="4">
        <v>2.5825500000000001E-14</v>
      </c>
      <c r="I1247" s="5">
        <v>1.24761E-15</v>
      </c>
      <c r="O1247" s="5"/>
      <c r="U1247" s="5">
        <v>2.4952199999999999E-16</v>
      </c>
    </row>
    <row r="1248" spans="3:21" x14ac:dyDescent="0.25">
      <c r="C1248" s="7">
        <v>3.2437900000000002E-15</v>
      </c>
      <c r="D1248" s="4">
        <v>2.32056E-14</v>
      </c>
      <c r="E1248" s="4">
        <v>2.33303E-14</v>
      </c>
      <c r="F1248" s="4">
        <v>2.4453200000000001E-14</v>
      </c>
      <c r="I1248" s="5">
        <v>1.24761E-15</v>
      </c>
      <c r="O1248" s="5"/>
      <c r="U1248" s="5">
        <v>2.4952199999999999E-16</v>
      </c>
    </row>
    <row r="1249" spans="3:21" x14ac:dyDescent="0.25">
      <c r="C1249" s="7">
        <v>3.2437900000000002E-15</v>
      </c>
      <c r="D1249" s="4">
        <v>2.2831299999999998E-14</v>
      </c>
      <c r="E1249" s="4">
        <v>2.3080799999999999E-14</v>
      </c>
      <c r="F1249" s="4">
        <v>2.4078899999999999E-14</v>
      </c>
      <c r="I1249" s="5">
        <v>1.24761E-15</v>
      </c>
      <c r="O1249" s="5"/>
      <c r="U1249" s="5">
        <v>2.4952199999999999E-16</v>
      </c>
    </row>
    <row r="1250" spans="3:21" x14ac:dyDescent="0.25">
      <c r="C1250" s="7">
        <v>3.2437900000000002E-15</v>
      </c>
      <c r="D1250" s="4">
        <v>2.2706500000000001E-14</v>
      </c>
      <c r="E1250" s="4">
        <v>2.2956000000000001E-14</v>
      </c>
      <c r="F1250" s="4">
        <v>2.3954099999999998E-14</v>
      </c>
      <c r="I1250" s="5">
        <v>1.24761E-15</v>
      </c>
      <c r="O1250" s="5"/>
      <c r="U1250" s="5">
        <v>2.4952199999999999E-16</v>
      </c>
    </row>
    <row r="1251" spans="3:21" x14ac:dyDescent="0.25">
      <c r="C1251" s="7">
        <v>3.2437900000000002E-15</v>
      </c>
      <c r="D1251" s="4">
        <v>2.2706500000000001E-14</v>
      </c>
      <c r="E1251" s="4">
        <v>2.2457E-14</v>
      </c>
      <c r="F1251" s="4">
        <v>2.3829399999999999E-14</v>
      </c>
      <c r="I1251" s="5">
        <v>1.24761E-15</v>
      </c>
      <c r="O1251" s="5"/>
      <c r="U1251" s="5">
        <v>2.4952199999999999E-16</v>
      </c>
    </row>
    <row r="1252" spans="3:21" x14ac:dyDescent="0.25">
      <c r="C1252" s="7">
        <v>3.1190300000000001E-15</v>
      </c>
      <c r="D1252" s="4">
        <v>2.2706500000000001E-14</v>
      </c>
      <c r="E1252" s="4">
        <v>2.2332199999999999E-14</v>
      </c>
      <c r="F1252" s="4">
        <v>2.2831299999999998E-14</v>
      </c>
      <c r="I1252" s="5">
        <v>1.24761E-15</v>
      </c>
      <c r="O1252" s="5"/>
      <c r="U1252" s="5">
        <v>2.4952199999999999E-16</v>
      </c>
    </row>
    <row r="1253" spans="3:21" x14ac:dyDescent="0.25">
      <c r="C1253" s="7">
        <v>3.1190300000000001E-15</v>
      </c>
      <c r="D1253" s="4">
        <v>2.2082699999999999E-14</v>
      </c>
      <c r="E1253" s="4">
        <v>2.22075E-14</v>
      </c>
      <c r="F1253" s="4">
        <v>2.2831299999999998E-14</v>
      </c>
      <c r="I1253" s="5">
        <v>1.24761E-15</v>
      </c>
      <c r="O1253" s="5"/>
      <c r="U1253" s="5">
        <v>2.4952199999999999E-16</v>
      </c>
    </row>
    <row r="1254" spans="3:21" x14ac:dyDescent="0.25">
      <c r="C1254" s="7">
        <v>3.1190300000000001E-15</v>
      </c>
      <c r="D1254" s="4">
        <v>2.1833200000000001E-14</v>
      </c>
      <c r="E1254" s="4">
        <v>2.22075E-14</v>
      </c>
      <c r="F1254" s="4">
        <v>2.25817E-14</v>
      </c>
      <c r="I1254" s="5">
        <v>1.24761E-15</v>
      </c>
      <c r="O1254" s="5"/>
      <c r="U1254" s="5">
        <v>2.4952199999999999E-16</v>
      </c>
    </row>
    <row r="1255" spans="3:21" x14ac:dyDescent="0.25">
      <c r="C1255" s="7">
        <v>3.1190300000000001E-15</v>
      </c>
      <c r="D1255" s="4">
        <v>2.1833200000000001E-14</v>
      </c>
      <c r="E1255" s="4">
        <v>2.22075E-14</v>
      </c>
      <c r="F1255" s="4">
        <v>2.2457E-14</v>
      </c>
      <c r="I1255" s="5">
        <v>1.24761E-15</v>
      </c>
      <c r="O1255" s="5"/>
      <c r="U1255" s="5">
        <v>2.4952199999999999E-16</v>
      </c>
    </row>
    <row r="1256" spans="3:21" x14ac:dyDescent="0.25">
      <c r="C1256" s="7">
        <v>3.1190300000000001E-15</v>
      </c>
      <c r="D1256" s="4">
        <v>2.1708400000000001E-14</v>
      </c>
      <c r="E1256" s="4">
        <v>2.2082699999999999E-14</v>
      </c>
      <c r="F1256" s="4">
        <v>2.2457E-14</v>
      </c>
      <c r="I1256" s="5">
        <v>1.24761E-15</v>
      </c>
      <c r="O1256" s="5"/>
      <c r="U1256" s="5">
        <v>2.4952199999999999E-16</v>
      </c>
    </row>
    <row r="1257" spans="3:21" x14ac:dyDescent="0.25">
      <c r="C1257" s="7">
        <v>3.1190300000000001E-15</v>
      </c>
      <c r="D1257" s="4">
        <v>2.1708400000000001E-14</v>
      </c>
      <c r="E1257" s="4">
        <v>2.1334099999999999E-14</v>
      </c>
      <c r="F1257" s="4">
        <v>2.2332199999999999E-14</v>
      </c>
      <c r="I1257" s="5">
        <v>1.24761E-15</v>
      </c>
      <c r="O1257" s="5"/>
      <c r="U1257" s="5">
        <v>2.4952199999999999E-16</v>
      </c>
    </row>
    <row r="1258" spans="3:21" x14ac:dyDescent="0.25">
      <c r="C1258" s="7">
        <v>3.1190300000000001E-15</v>
      </c>
      <c r="D1258" s="4">
        <v>2.1209399999999999E-14</v>
      </c>
      <c r="E1258" s="4">
        <v>2.1209399999999999E-14</v>
      </c>
      <c r="F1258" s="4">
        <v>2.22075E-14</v>
      </c>
      <c r="I1258" s="5">
        <v>1.24761E-15</v>
      </c>
      <c r="O1258" s="5"/>
      <c r="U1258" s="5">
        <v>2.4952199999999999E-16</v>
      </c>
    </row>
    <row r="1259" spans="3:21" x14ac:dyDescent="0.25">
      <c r="C1259" s="7">
        <v>3.1190300000000001E-15</v>
      </c>
      <c r="D1259" s="4">
        <v>2.1209399999999999E-14</v>
      </c>
      <c r="E1259" s="4">
        <v>2.1209399999999999E-14</v>
      </c>
      <c r="F1259" s="4">
        <v>2.1708400000000001E-14</v>
      </c>
      <c r="I1259" s="5">
        <v>1.24761E-15</v>
      </c>
      <c r="O1259" s="5"/>
      <c r="U1259" s="5">
        <v>2.4952199999999999E-16</v>
      </c>
    </row>
    <row r="1260" spans="3:21" x14ac:dyDescent="0.25">
      <c r="C1260" s="7">
        <v>3.1190300000000001E-15</v>
      </c>
      <c r="D1260" s="4">
        <v>2.1084599999999999E-14</v>
      </c>
      <c r="E1260" s="4">
        <v>2.1209399999999999E-14</v>
      </c>
      <c r="F1260" s="4">
        <v>2.14589E-14</v>
      </c>
      <c r="I1260" s="5">
        <v>1.24761E-15</v>
      </c>
      <c r="O1260" s="5"/>
      <c r="U1260" s="5">
        <v>2.4952199999999999E-16</v>
      </c>
    </row>
    <row r="1261" spans="3:21" x14ac:dyDescent="0.25">
      <c r="C1261" s="7">
        <v>3.1190300000000001E-15</v>
      </c>
      <c r="D1261" s="4">
        <v>2.0959899999999999E-14</v>
      </c>
      <c r="E1261" s="4">
        <v>2.1084599999999999E-14</v>
      </c>
      <c r="F1261" s="4">
        <v>2.1334099999999999E-14</v>
      </c>
      <c r="I1261" s="5">
        <v>1.24761E-15</v>
      </c>
      <c r="O1261" s="5"/>
      <c r="U1261" s="5">
        <v>2.4952199999999999E-16</v>
      </c>
    </row>
    <row r="1262" spans="3:21" x14ac:dyDescent="0.25">
      <c r="C1262" s="7">
        <v>2.9942599999999999E-15</v>
      </c>
      <c r="D1262" s="4">
        <v>2.0585600000000001E-14</v>
      </c>
      <c r="E1262" s="4">
        <v>2.0959899999999999E-14</v>
      </c>
      <c r="F1262" s="4">
        <v>2.1209399999999999E-14</v>
      </c>
      <c r="I1262" s="5">
        <v>1.24761E-15</v>
      </c>
      <c r="O1262" s="5"/>
      <c r="U1262" s="5">
        <v>2.4952199999999999E-16</v>
      </c>
    </row>
    <row r="1263" spans="3:21" x14ac:dyDescent="0.25">
      <c r="C1263" s="7">
        <v>2.9942599999999999E-15</v>
      </c>
      <c r="D1263" s="4">
        <v>2.0585600000000001E-14</v>
      </c>
      <c r="E1263" s="4">
        <v>2.0335999999999999E-14</v>
      </c>
      <c r="F1263" s="4">
        <v>2.1084599999999999E-14</v>
      </c>
      <c r="I1263" s="5">
        <v>1.24761E-15</v>
      </c>
      <c r="O1263" s="5"/>
      <c r="U1263" s="5">
        <v>2.4952199999999999E-16</v>
      </c>
    </row>
    <row r="1264" spans="3:21" x14ac:dyDescent="0.25">
      <c r="C1264" s="7">
        <v>2.9942599999999999E-15</v>
      </c>
      <c r="D1264" s="4">
        <v>2.04608E-14</v>
      </c>
      <c r="E1264" s="4">
        <v>2.0335999999999999E-14</v>
      </c>
      <c r="F1264" s="4">
        <v>2.04608E-14</v>
      </c>
      <c r="I1264" s="5">
        <v>1.24761E-15</v>
      </c>
      <c r="O1264" s="5"/>
      <c r="U1264" s="5">
        <v>2.4952199999999999E-16</v>
      </c>
    </row>
    <row r="1265" spans="3:21" x14ac:dyDescent="0.25">
      <c r="C1265" s="7">
        <v>2.9942599999999999E-15</v>
      </c>
      <c r="D1265" s="4">
        <v>2.04608E-14</v>
      </c>
      <c r="E1265" s="4">
        <v>2.0086499999999999E-14</v>
      </c>
      <c r="F1265" s="4">
        <v>2.0335999999999999E-14</v>
      </c>
      <c r="I1265" s="5">
        <v>1.24761E-15</v>
      </c>
      <c r="O1265" s="5"/>
      <c r="U1265" s="5">
        <v>2.4952199999999999E-16</v>
      </c>
    </row>
    <row r="1266" spans="3:21" x14ac:dyDescent="0.25">
      <c r="C1266" s="7">
        <v>2.9942599999999999E-15</v>
      </c>
      <c r="D1266" s="4">
        <v>2.04608E-14</v>
      </c>
      <c r="E1266" s="4">
        <v>1.9961799999999999E-14</v>
      </c>
      <c r="F1266" s="4">
        <v>1.9837000000000001E-14</v>
      </c>
      <c r="I1266" s="5">
        <v>1.24761E-15</v>
      </c>
      <c r="O1266" s="5"/>
      <c r="U1266" s="5">
        <v>2.4952199999999999E-16</v>
      </c>
    </row>
    <row r="1267" spans="3:21" x14ac:dyDescent="0.25">
      <c r="C1267" s="7">
        <v>2.9942599999999999E-15</v>
      </c>
      <c r="D1267" s="4">
        <v>2.0335999999999999E-14</v>
      </c>
      <c r="E1267" s="4">
        <v>1.9837000000000001E-14</v>
      </c>
      <c r="F1267" s="4">
        <v>1.97122E-14</v>
      </c>
      <c r="I1267" s="5">
        <v>1.24761E-15</v>
      </c>
      <c r="O1267" s="5"/>
      <c r="U1267" s="5">
        <v>2.4952199999999999E-16</v>
      </c>
    </row>
    <row r="1268" spans="3:21" x14ac:dyDescent="0.25">
      <c r="C1268" s="7">
        <v>2.9942599999999999E-15</v>
      </c>
      <c r="D1268" s="4">
        <v>2.0086499999999999E-14</v>
      </c>
      <c r="E1268" s="4">
        <v>1.9837000000000001E-14</v>
      </c>
      <c r="F1268" s="4">
        <v>1.95875E-14</v>
      </c>
      <c r="I1268" s="5">
        <v>1.24761E-15</v>
      </c>
      <c r="O1268" s="5"/>
      <c r="U1268" s="5">
        <v>2.4952199999999999E-16</v>
      </c>
    </row>
    <row r="1269" spans="3:21" x14ac:dyDescent="0.25">
      <c r="C1269" s="7">
        <v>2.9942599999999999E-15</v>
      </c>
      <c r="D1269" s="4">
        <v>1.9961799999999999E-14</v>
      </c>
      <c r="E1269" s="4">
        <v>1.9837000000000001E-14</v>
      </c>
      <c r="F1269" s="4">
        <v>1.95875E-14</v>
      </c>
      <c r="I1269" s="5">
        <v>1.24761E-15</v>
      </c>
      <c r="O1269" s="5"/>
      <c r="U1269" s="5">
        <v>2.4952199999999999E-16</v>
      </c>
    </row>
    <row r="1270" spans="3:21" x14ac:dyDescent="0.25">
      <c r="C1270" s="7">
        <v>2.9942599999999999E-15</v>
      </c>
      <c r="D1270" s="4">
        <v>1.9837000000000001E-14</v>
      </c>
      <c r="E1270" s="4">
        <v>1.97122E-14</v>
      </c>
      <c r="F1270" s="4">
        <v>1.95875E-14</v>
      </c>
      <c r="I1270" s="5">
        <v>1.24761E-15</v>
      </c>
      <c r="O1270" s="5"/>
      <c r="U1270" s="5">
        <v>2.4952199999999999E-16</v>
      </c>
    </row>
    <row r="1271" spans="3:21" x14ac:dyDescent="0.25">
      <c r="C1271" s="7">
        <v>2.9942599999999999E-15</v>
      </c>
      <c r="D1271" s="4">
        <v>1.95875E-14</v>
      </c>
      <c r="E1271" s="4">
        <v>1.97122E-14</v>
      </c>
      <c r="F1271" s="4">
        <v>1.9338E-14</v>
      </c>
      <c r="I1271" s="5">
        <v>1.24761E-15</v>
      </c>
      <c r="O1271" s="5"/>
      <c r="U1271" s="5">
        <v>2.4952199999999999E-16</v>
      </c>
    </row>
    <row r="1272" spans="3:21" x14ac:dyDescent="0.25">
      <c r="C1272" s="7">
        <v>2.9942599999999999E-15</v>
      </c>
      <c r="D1272" s="4">
        <v>1.95875E-14</v>
      </c>
      <c r="E1272" s="4">
        <v>1.97122E-14</v>
      </c>
      <c r="F1272" s="4">
        <v>1.8838900000000001E-14</v>
      </c>
      <c r="I1272" s="5">
        <v>1.24761E-15</v>
      </c>
      <c r="U1272" s="5">
        <v>2.4952199999999999E-16</v>
      </c>
    </row>
    <row r="1273" spans="3:21" x14ac:dyDescent="0.25">
      <c r="C1273" s="7">
        <v>2.9942599999999999E-15</v>
      </c>
      <c r="D1273" s="4">
        <v>1.94627E-14</v>
      </c>
      <c r="E1273" s="4">
        <v>1.9338E-14</v>
      </c>
      <c r="F1273" s="4">
        <v>1.83399E-14</v>
      </c>
      <c r="I1273" s="5">
        <v>1.24761E-15</v>
      </c>
      <c r="U1273" s="5">
        <v>2.4952199999999999E-16</v>
      </c>
    </row>
    <row r="1274" spans="3:21" x14ac:dyDescent="0.25">
      <c r="C1274" s="7">
        <v>2.8695000000000002E-15</v>
      </c>
      <c r="D1274" s="4">
        <v>1.9338E-14</v>
      </c>
      <c r="E1274" s="4">
        <v>1.84646E-14</v>
      </c>
      <c r="F1274" s="4">
        <v>1.8215099999999999E-14</v>
      </c>
      <c r="I1274" s="5">
        <v>1.1228500000000001E-15</v>
      </c>
      <c r="U1274" s="5">
        <v>2.4952199999999999E-16</v>
      </c>
    </row>
    <row r="1275" spans="3:21" x14ac:dyDescent="0.25">
      <c r="C1275" s="7">
        <v>2.8695000000000002E-15</v>
      </c>
      <c r="D1275" s="4">
        <v>1.9338E-14</v>
      </c>
      <c r="E1275" s="4">
        <v>1.8090399999999999E-14</v>
      </c>
      <c r="F1275" s="4">
        <v>1.7965600000000001E-14</v>
      </c>
      <c r="I1275" s="5">
        <v>1.1228500000000001E-15</v>
      </c>
      <c r="U1275" s="5">
        <v>2.4952199999999999E-16</v>
      </c>
    </row>
    <row r="1276" spans="3:21" x14ac:dyDescent="0.25">
      <c r="C1276" s="7">
        <v>2.8695000000000002E-15</v>
      </c>
      <c r="D1276" s="4">
        <v>1.9213199999999999E-14</v>
      </c>
      <c r="E1276" s="4">
        <v>1.7716100000000001E-14</v>
      </c>
      <c r="F1276" s="4">
        <v>1.75913E-14</v>
      </c>
      <c r="I1276" s="5">
        <v>1.1228500000000001E-15</v>
      </c>
      <c r="U1276" s="5">
        <v>2.4952199999999999E-16</v>
      </c>
    </row>
    <row r="1277" spans="3:21" x14ac:dyDescent="0.25">
      <c r="C1277" s="7">
        <v>2.8695000000000002E-15</v>
      </c>
      <c r="D1277" s="4">
        <v>1.8714200000000001E-14</v>
      </c>
      <c r="E1277" s="4">
        <v>1.7716100000000001E-14</v>
      </c>
      <c r="F1277" s="4">
        <v>1.6967500000000001E-14</v>
      </c>
      <c r="I1277" s="5">
        <v>1.1228500000000001E-15</v>
      </c>
      <c r="U1277" s="5">
        <v>2.4952199999999999E-16</v>
      </c>
    </row>
    <row r="1278" spans="3:21" x14ac:dyDescent="0.25">
      <c r="C1278" s="7">
        <v>2.8695000000000002E-15</v>
      </c>
      <c r="D1278" s="4">
        <v>1.83399E-14</v>
      </c>
      <c r="E1278" s="4">
        <v>1.75913E-14</v>
      </c>
      <c r="F1278" s="4">
        <v>1.6842700000000001E-14</v>
      </c>
      <c r="I1278" s="5">
        <v>1.1228500000000001E-15</v>
      </c>
      <c r="U1278" s="5">
        <v>2.4952199999999999E-16</v>
      </c>
    </row>
    <row r="1279" spans="3:21" x14ac:dyDescent="0.25">
      <c r="C1279" s="7">
        <v>2.8695000000000002E-15</v>
      </c>
      <c r="D1279" s="4">
        <v>1.83399E-14</v>
      </c>
      <c r="E1279" s="4">
        <v>1.75913E-14</v>
      </c>
      <c r="F1279" s="4">
        <v>1.6842700000000001E-14</v>
      </c>
      <c r="I1279" s="5">
        <v>1.1228500000000001E-15</v>
      </c>
      <c r="U1279" s="5">
        <v>2.4952199999999999E-16</v>
      </c>
    </row>
    <row r="1280" spans="3:21" x14ac:dyDescent="0.25">
      <c r="C1280" s="7">
        <v>2.8695000000000002E-15</v>
      </c>
      <c r="D1280" s="4">
        <v>1.8090399999999999E-14</v>
      </c>
      <c r="E1280" s="4">
        <v>1.75913E-14</v>
      </c>
      <c r="F1280" s="4">
        <v>1.6718000000000001E-14</v>
      </c>
      <c r="I1280" s="5">
        <v>1.1228500000000001E-15</v>
      </c>
      <c r="U1280" s="5">
        <v>2.4952199999999999E-16</v>
      </c>
    </row>
    <row r="1281" spans="3:21" x14ac:dyDescent="0.25">
      <c r="C1281" s="7">
        <v>2.8695000000000002E-15</v>
      </c>
      <c r="D1281" s="4">
        <v>1.8090399999999999E-14</v>
      </c>
      <c r="E1281" s="4">
        <v>1.7341799999999999E-14</v>
      </c>
      <c r="F1281" s="4">
        <v>1.64685E-14</v>
      </c>
      <c r="I1281" s="5">
        <v>1.1228500000000001E-15</v>
      </c>
      <c r="U1281" s="5">
        <v>2.4952199999999999E-16</v>
      </c>
    </row>
    <row r="1282" spans="3:21" x14ac:dyDescent="0.25">
      <c r="C1282" s="7">
        <v>2.8695000000000002E-15</v>
      </c>
      <c r="D1282" s="4">
        <v>1.7840800000000001E-14</v>
      </c>
      <c r="E1282" s="4">
        <v>1.7341799999999999E-14</v>
      </c>
      <c r="F1282" s="4">
        <v>1.6343699999999999E-14</v>
      </c>
      <c r="I1282" s="5">
        <v>1.1228500000000001E-15</v>
      </c>
      <c r="U1282" s="5">
        <v>2.4952199999999999E-16</v>
      </c>
    </row>
    <row r="1283" spans="3:21" x14ac:dyDescent="0.25">
      <c r="C1283" s="7">
        <v>2.8695000000000002E-15</v>
      </c>
      <c r="D1283" s="4">
        <v>1.7840800000000001E-14</v>
      </c>
      <c r="E1283" s="4">
        <v>1.6343699999999999E-14</v>
      </c>
      <c r="F1283" s="4">
        <v>1.6343699999999999E-14</v>
      </c>
      <c r="I1283" s="5">
        <v>1.1228500000000001E-15</v>
      </c>
      <c r="U1283" s="5">
        <v>2.4952199999999999E-16</v>
      </c>
    </row>
    <row r="1284" spans="3:21" x14ac:dyDescent="0.25">
      <c r="C1284" s="7">
        <v>2.8695000000000002E-15</v>
      </c>
      <c r="D1284" s="4">
        <v>1.7466499999999999E-14</v>
      </c>
      <c r="E1284" s="4">
        <v>1.6343699999999999E-14</v>
      </c>
      <c r="F1284" s="4">
        <v>1.6218899999999999E-14</v>
      </c>
      <c r="I1284" s="5">
        <v>1.1228500000000001E-15</v>
      </c>
      <c r="U1284" s="5">
        <v>2.4952199999999999E-16</v>
      </c>
    </row>
    <row r="1285" spans="3:21" x14ac:dyDescent="0.25">
      <c r="C1285" s="7">
        <v>2.8695000000000002E-15</v>
      </c>
      <c r="D1285" s="4">
        <v>1.7216999999999999E-14</v>
      </c>
      <c r="E1285" s="4">
        <v>1.6218899999999999E-14</v>
      </c>
      <c r="F1285" s="4">
        <v>1.5969400000000001E-14</v>
      </c>
      <c r="I1285" s="5">
        <v>1.1228500000000001E-15</v>
      </c>
      <c r="U1285" s="5">
        <v>2.4952199999999999E-16</v>
      </c>
    </row>
    <row r="1286" spans="3:21" x14ac:dyDescent="0.25">
      <c r="C1286" s="7">
        <v>2.8695000000000002E-15</v>
      </c>
      <c r="D1286" s="4">
        <v>1.7216999999999999E-14</v>
      </c>
      <c r="E1286" s="4">
        <v>1.6094199999999999E-14</v>
      </c>
      <c r="F1286" s="4">
        <v>1.5844700000000001E-14</v>
      </c>
      <c r="I1286" s="5">
        <v>1.1228500000000001E-15</v>
      </c>
      <c r="U1286" s="5">
        <v>2.4952199999999999E-16</v>
      </c>
    </row>
    <row r="1287" spans="3:21" x14ac:dyDescent="0.25">
      <c r="C1287" s="7">
        <v>2.7447400000000001E-15</v>
      </c>
      <c r="D1287" s="4">
        <v>1.7216999999999999E-14</v>
      </c>
      <c r="E1287" s="4">
        <v>1.5969400000000001E-14</v>
      </c>
      <c r="F1287" s="4">
        <v>1.57199E-14</v>
      </c>
      <c r="I1287" s="5">
        <v>1.1228500000000001E-15</v>
      </c>
      <c r="U1287" s="5">
        <v>2.4952199999999999E-16</v>
      </c>
    </row>
    <row r="1288" spans="3:21" x14ac:dyDescent="0.25">
      <c r="C1288" s="7">
        <v>2.7447400000000001E-15</v>
      </c>
      <c r="D1288" s="4">
        <v>1.6967500000000001E-14</v>
      </c>
      <c r="E1288" s="4">
        <v>1.5844700000000001E-14</v>
      </c>
      <c r="F1288" s="4">
        <v>1.5345599999999999E-14</v>
      </c>
      <c r="I1288" s="5">
        <v>1.1228500000000001E-15</v>
      </c>
      <c r="U1288" s="5">
        <v>2.4952199999999999E-16</v>
      </c>
    </row>
    <row r="1289" spans="3:21" x14ac:dyDescent="0.25">
      <c r="C1289" s="7">
        <v>2.7447400000000001E-15</v>
      </c>
      <c r="D1289" s="4">
        <v>1.6718000000000001E-14</v>
      </c>
      <c r="E1289" s="4">
        <v>1.55951E-14</v>
      </c>
      <c r="F1289" s="4">
        <v>1.5345599999999999E-14</v>
      </c>
      <c r="I1289" s="5">
        <v>1.1228500000000001E-15</v>
      </c>
      <c r="U1289" s="5">
        <v>2.4952199999999999E-16</v>
      </c>
    </row>
    <row r="1290" spans="3:21" x14ac:dyDescent="0.25">
      <c r="C1290" s="7">
        <v>2.7447400000000001E-15</v>
      </c>
      <c r="D1290" s="4">
        <v>1.6343699999999999E-14</v>
      </c>
      <c r="E1290" s="4">
        <v>1.55951E-14</v>
      </c>
      <c r="F1290" s="4">
        <v>1.5220800000000002E-14</v>
      </c>
      <c r="I1290" s="5">
        <v>1.1228500000000001E-15</v>
      </c>
      <c r="U1290" s="5">
        <v>2.4952199999999999E-16</v>
      </c>
    </row>
    <row r="1291" spans="3:21" x14ac:dyDescent="0.25">
      <c r="C1291" s="7">
        <v>2.7447400000000001E-15</v>
      </c>
      <c r="D1291" s="4">
        <v>1.6094199999999999E-14</v>
      </c>
      <c r="E1291" s="4">
        <v>1.5220800000000002E-14</v>
      </c>
      <c r="F1291" s="4">
        <v>1.5096099999999999E-14</v>
      </c>
      <c r="I1291" s="5">
        <v>1.1228500000000001E-15</v>
      </c>
      <c r="U1291" s="5">
        <v>2.4952199999999999E-16</v>
      </c>
    </row>
    <row r="1292" spans="3:21" x14ac:dyDescent="0.25">
      <c r="C1292" s="7">
        <v>2.7447400000000001E-15</v>
      </c>
      <c r="D1292" s="4">
        <v>1.6094199999999999E-14</v>
      </c>
      <c r="E1292" s="4">
        <v>1.4971300000000001E-14</v>
      </c>
      <c r="F1292" s="4">
        <v>1.4971300000000001E-14</v>
      </c>
      <c r="I1292" s="5">
        <v>1.1228500000000001E-15</v>
      </c>
      <c r="U1292" s="5">
        <v>2.4952199999999999E-16</v>
      </c>
    </row>
    <row r="1293" spans="3:21" x14ac:dyDescent="0.25">
      <c r="C1293" s="7">
        <v>2.7447400000000001E-15</v>
      </c>
      <c r="D1293" s="4">
        <v>1.5844700000000001E-14</v>
      </c>
      <c r="E1293" s="4">
        <v>1.4971300000000001E-14</v>
      </c>
      <c r="F1293" s="4">
        <v>1.4597E-14</v>
      </c>
      <c r="I1293" s="5">
        <v>1.1228500000000001E-15</v>
      </c>
      <c r="U1293" s="5">
        <v>2.4952199999999999E-16</v>
      </c>
    </row>
    <row r="1294" spans="3:21" x14ac:dyDescent="0.25">
      <c r="C1294" s="7">
        <v>2.7447400000000001E-15</v>
      </c>
      <c r="D1294" s="4">
        <v>1.5844700000000001E-14</v>
      </c>
      <c r="E1294" s="4">
        <v>1.4971300000000001E-14</v>
      </c>
      <c r="F1294" s="4">
        <v>1.4347499999999999E-14</v>
      </c>
      <c r="I1294" s="5">
        <v>1.1228500000000001E-15</v>
      </c>
      <c r="U1294" s="5">
        <v>2.4952199999999999E-16</v>
      </c>
    </row>
    <row r="1295" spans="3:21" x14ac:dyDescent="0.25">
      <c r="C1295" s="7">
        <v>2.7447400000000001E-15</v>
      </c>
      <c r="D1295" s="4">
        <v>1.55951E-14</v>
      </c>
      <c r="E1295" s="4">
        <v>1.4971300000000001E-14</v>
      </c>
      <c r="F1295" s="4">
        <v>1.4222799999999999E-14</v>
      </c>
      <c r="I1295" s="5">
        <v>1.1228500000000001E-15</v>
      </c>
      <c r="U1295" s="5">
        <v>2.4952199999999999E-16</v>
      </c>
    </row>
    <row r="1296" spans="3:21" x14ac:dyDescent="0.25">
      <c r="C1296" s="7">
        <v>2.7447400000000001E-15</v>
      </c>
      <c r="D1296" s="4">
        <v>1.55951E-14</v>
      </c>
      <c r="E1296" s="4">
        <v>1.4846600000000001E-14</v>
      </c>
      <c r="F1296" s="4">
        <v>1.3973200000000001E-14</v>
      </c>
      <c r="I1296" s="5">
        <v>1.1228500000000001E-15</v>
      </c>
      <c r="U1296" s="5">
        <v>2.4952199999999999E-16</v>
      </c>
    </row>
    <row r="1297" spans="3:21" x14ac:dyDescent="0.25">
      <c r="C1297" s="7">
        <v>2.7447400000000001E-15</v>
      </c>
      <c r="D1297" s="4">
        <v>1.54704E-14</v>
      </c>
      <c r="E1297" s="4">
        <v>1.4846600000000001E-14</v>
      </c>
      <c r="F1297" s="4">
        <v>1.37237E-14</v>
      </c>
      <c r="I1297" s="5">
        <v>1.1228500000000001E-15</v>
      </c>
      <c r="U1297" s="5">
        <v>2.4952199999999999E-16</v>
      </c>
    </row>
    <row r="1298" spans="3:21" x14ac:dyDescent="0.25">
      <c r="C1298" s="7">
        <v>2.7447400000000001E-15</v>
      </c>
      <c r="D1298" s="4">
        <v>1.5220800000000002E-14</v>
      </c>
      <c r="E1298" s="4">
        <v>1.4846600000000001E-14</v>
      </c>
      <c r="F1298" s="4">
        <v>1.37237E-14</v>
      </c>
      <c r="I1298" s="5">
        <v>1.1228500000000001E-15</v>
      </c>
      <c r="U1298" s="5">
        <v>2.4952199999999999E-16</v>
      </c>
    </row>
    <row r="1299" spans="3:21" x14ac:dyDescent="0.25">
      <c r="C1299" s="4">
        <v>2.7447400000000001E-15</v>
      </c>
      <c r="D1299" s="4">
        <v>1.5220800000000002E-14</v>
      </c>
      <c r="E1299" s="4">
        <v>1.47218E-14</v>
      </c>
      <c r="F1299" s="4">
        <v>1.34742E-14</v>
      </c>
      <c r="I1299" s="5">
        <v>1.1228500000000001E-15</v>
      </c>
      <c r="U1299" s="5">
        <v>2.4952199999999999E-16</v>
      </c>
    </row>
    <row r="1300" spans="3:21" x14ac:dyDescent="0.25">
      <c r="C1300" s="4">
        <v>2.7447400000000001E-15</v>
      </c>
      <c r="D1300" s="4">
        <v>1.4971300000000001E-14</v>
      </c>
      <c r="E1300" s="4">
        <v>1.4597E-14</v>
      </c>
      <c r="F1300" s="4">
        <v>1.34742E-14</v>
      </c>
      <c r="I1300" s="5">
        <v>1.1228500000000001E-15</v>
      </c>
      <c r="U1300" s="5">
        <v>2.4952199999999999E-16</v>
      </c>
    </row>
    <row r="1301" spans="3:21" x14ac:dyDescent="0.25">
      <c r="C1301" s="4">
        <v>2.7447400000000001E-15</v>
      </c>
      <c r="D1301" s="4">
        <v>1.4971300000000001E-14</v>
      </c>
      <c r="E1301" s="4">
        <v>1.4597E-14</v>
      </c>
      <c r="F1301" s="4">
        <v>1.33494E-14</v>
      </c>
      <c r="I1301" s="5">
        <v>1.1228500000000001E-15</v>
      </c>
      <c r="U1301" s="5">
        <v>2.4952199999999999E-16</v>
      </c>
    </row>
    <row r="1302" spans="3:21" x14ac:dyDescent="0.25">
      <c r="C1302" s="4">
        <v>2.61998E-15</v>
      </c>
      <c r="D1302" s="4">
        <v>1.4597E-14</v>
      </c>
      <c r="E1302" s="4">
        <v>1.44723E-14</v>
      </c>
      <c r="F1302" s="4">
        <v>1.3224700000000001E-14</v>
      </c>
      <c r="I1302" s="5">
        <v>1.1228500000000001E-15</v>
      </c>
      <c r="U1302" s="5">
        <v>2.4952199999999999E-16</v>
      </c>
    </row>
    <row r="1303" spans="3:21" x14ac:dyDescent="0.25">
      <c r="C1303" s="4">
        <v>2.61998E-15</v>
      </c>
      <c r="D1303" s="4">
        <v>1.4597E-14</v>
      </c>
      <c r="E1303" s="4">
        <v>1.4222799999999999E-14</v>
      </c>
      <c r="F1303" s="4">
        <v>1.3224700000000001E-14</v>
      </c>
      <c r="I1303" s="5">
        <v>1.1228500000000001E-15</v>
      </c>
      <c r="U1303" s="5">
        <v>2.4952199999999999E-16</v>
      </c>
    </row>
    <row r="1304" spans="3:21" x14ac:dyDescent="0.25">
      <c r="C1304" s="4">
        <v>2.61998E-15</v>
      </c>
      <c r="D1304" s="4">
        <v>1.44723E-14</v>
      </c>
      <c r="E1304" s="4">
        <v>1.4222799999999999E-14</v>
      </c>
      <c r="F1304" s="4">
        <v>1.30999E-14</v>
      </c>
      <c r="I1304" s="5">
        <v>1.1228500000000001E-15</v>
      </c>
      <c r="U1304" s="5">
        <v>2.4952199999999999E-16</v>
      </c>
    </row>
    <row r="1305" spans="3:21" x14ac:dyDescent="0.25">
      <c r="C1305" s="4">
        <v>2.61998E-15</v>
      </c>
      <c r="D1305" s="4">
        <v>1.44723E-14</v>
      </c>
      <c r="E1305" s="4">
        <v>1.4098E-14</v>
      </c>
      <c r="F1305" s="4">
        <v>1.30999E-14</v>
      </c>
      <c r="I1305" s="5">
        <v>1.1228500000000001E-15</v>
      </c>
      <c r="U1305" s="5">
        <v>2.4952199999999999E-16</v>
      </c>
    </row>
    <row r="1306" spans="3:21" x14ac:dyDescent="0.25">
      <c r="C1306" s="4">
        <v>2.61998E-15</v>
      </c>
      <c r="D1306" s="4">
        <v>1.4222799999999999E-14</v>
      </c>
      <c r="E1306" s="4">
        <v>1.4098E-14</v>
      </c>
      <c r="F1306" s="4">
        <v>1.2975100000000001E-14</v>
      </c>
      <c r="I1306" s="5">
        <v>1.1228500000000001E-15</v>
      </c>
      <c r="U1306" s="5">
        <v>2.4952199999999999E-16</v>
      </c>
    </row>
    <row r="1307" spans="3:21" x14ac:dyDescent="0.25">
      <c r="C1307" s="4">
        <v>2.61998E-15</v>
      </c>
      <c r="D1307" s="4">
        <v>1.4098E-14</v>
      </c>
      <c r="E1307" s="4">
        <v>1.4098E-14</v>
      </c>
      <c r="F1307" s="4">
        <v>1.27256E-14</v>
      </c>
      <c r="I1307" s="5">
        <v>1.1228500000000001E-15</v>
      </c>
      <c r="U1307" s="5">
        <v>2.4952199999999999E-16</v>
      </c>
    </row>
    <row r="1308" spans="3:21" x14ac:dyDescent="0.25">
      <c r="C1308" s="4">
        <v>2.61998E-15</v>
      </c>
      <c r="D1308" s="4">
        <v>1.3848499999999999E-14</v>
      </c>
      <c r="E1308" s="4">
        <v>1.4098E-14</v>
      </c>
      <c r="F1308" s="4">
        <v>1.26009E-14</v>
      </c>
      <c r="I1308" s="5">
        <v>1.1228500000000001E-15</v>
      </c>
      <c r="U1308" s="5">
        <v>2.4952199999999999E-16</v>
      </c>
    </row>
    <row r="1309" spans="3:21" x14ac:dyDescent="0.25">
      <c r="C1309" s="4">
        <v>2.61998E-15</v>
      </c>
      <c r="D1309" s="4">
        <v>1.37237E-14</v>
      </c>
      <c r="E1309" s="4">
        <v>1.3973200000000001E-14</v>
      </c>
      <c r="F1309" s="4">
        <v>1.26009E-14</v>
      </c>
      <c r="I1309" s="5">
        <v>1.1228500000000001E-15</v>
      </c>
      <c r="U1309" s="5">
        <v>2.4952199999999999E-16</v>
      </c>
    </row>
    <row r="1310" spans="3:21" x14ac:dyDescent="0.25">
      <c r="C1310" s="4">
        <v>2.61998E-15</v>
      </c>
      <c r="D1310" s="4">
        <v>1.3599E-14</v>
      </c>
      <c r="E1310" s="4">
        <v>1.37237E-14</v>
      </c>
      <c r="F1310" s="4">
        <v>1.2476099999999999E-14</v>
      </c>
      <c r="I1310" s="5">
        <v>1.1228500000000001E-15</v>
      </c>
      <c r="U1310" s="5">
        <v>2.4952199999999999E-16</v>
      </c>
    </row>
    <row r="1311" spans="3:21" x14ac:dyDescent="0.25">
      <c r="C1311" s="4">
        <v>2.61998E-15</v>
      </c>
      <c r="D1311" s="4">
        <v>1.3599E-14</v>
      </c>
      <c r="E1311" s="4">
        <v>1.37237E-14</v>
      </c>
      <c r="F1311" s="4">
        <v>1.19771E-14</v>
      </c>
      <c r="I1311" s="5">
        <v>1.1228500000000001E-15</v>
      </c>
      <c r="U1311" s="5">
        <v>2.4952199999999999E-16</v>
      </c>
    </row>
    <row r="1312" spans="3:21" x14ac:dyDescent="0.25">
      <c r="C1312" s="4">
        <v>2.61998E-15</v>
      </c>
      <c r="D1312" s="4">
        <v>1.3599E-14</v>
      </c>
      <c r="E1312" s="4">
        <v>1.3599E-14</v>
      </c>
      <c r="F1312" s="4">
        <v>1.1852300000000001E-14</v>
      </c>
      <c r="I1312" s="5">
        <v>1.1228500000000001E-15</v>
      </c>
      <c r="U1312" s="5">
        <v>2.4952199999999999E-16</v>
      </c>
    </row>
    <row r="1313" spans="3:21" x14ac:dyDescent="0.25">
      <c r="C1313" s="4">
        <v>2.61998E-15</v>
      </c>
      <c r="D1313" s="4">
        <v>1.33494E-14</v>
      </c>
      <c r="E1313" s="4">
        <v>1.33494E-14</v>
      </c>
      <c r="F1313" s="4">
        <v>1.1852300000000001E-14</v>
      </c>
      <c r="I1313" s="5">
        <v>1.1228500000000001E-15</v>
      </c>
      <c r="U1313" s="5">
        <v>2.4952199999999999E-16</v>
      </c>
    </row>
    <row r="1314" spans="3:21" x14ac:dyDescent="0.25">
      <c r="C1314" s="4">
        <v>2.61998E-15</v>
      </c>
      <c r="D1314" s="4">
        <v>1.30999E-14</v>
      </c>
      <c r="E1314" s="4">
        <v>1.33494E-14</v>
      </c>
      <c r="F1314" s="4">
        <v>1.17275E-14</v>
      </c>
      <c r="I1314" s="5">
        <v>1.1228500000000001E-15</v>
      </c>
      <c r="U1314" s="5">
        <v>2.4952199999999999E-16</v>
      </c>
    </row>
    <row r="1315" spans="3:21" x14ac:dyDescent="0.25">
      <c r="C1315" s="4">
        <v>2.61998E-15</v>
      </c>
      <c r="D1315" s="4">
        <v>1.27256E-14</v>
      </c>
      <c r="E1315" s="4">
        <v>1.33494E-14</v>
      </c>
      <c r="F1315" s="4">
        <v>1.17275E-14</v>
      </c>
      <c r="I1315" s="5">
        <v>1.1228500000000001E-15</v>
      </c>
      <c r="U1315" s="5">
        <v>2.4952199999999999E-16</v>
      </c>
    </row>
    <row r="1316" spans="3:21" x14ac:dyDescent="0.25">
      <c r="C1316" s="4">
        <v>2.61998E-15</v>
      </c>
      <c r="D1316" s="4">
        <v>1.27256E-14</v>
      </c>
      <c r="E1316" s="4">
        <v>1.33494E-14</v>
      </c>
      <c r="F1316" s="4">
        <v>1.1478000000000001E-14</v>
      </c>
      <c r="I1316" s="5">
        <v>1.1228500000000001E-15</v>
      </c>
      <c r="U1316" s="5">
        <v>2.4952199999999999E-16</v>
      </c>
    </row>
    <row r="1317" spans="3:21" x14ac:dyDescent="0.25">
      <c r="C1317" s="4">
        <v>2.61998E-15</v>
      </c>
      <c r="D1317" s="4">
        <v>1.26009E-14</v>
      </c>
      <c r="E1317" s="4">
        <v>1.3224700000000001E-14</v>
      </c>
      <c r="F1317" s="4">
        <v>1.1478000000000001E-14</v>
      </c>
      <c r="I1317" s="5">
        <v>1.1228500000000001E-15</v>
      </c>
      <c r="U1317" s="5">
        <v>2.4952199999999999E-16</v>
      </c>
    </row>
    <row r="1318" spans="3:21" x14ac:dyDescent="0.25">
      <c r="C1318" s="4">
        <v>2.4952199999999999E-15</v>
      </c>
      <c r="D1318" s="4">
        <v>1.26009E-14</v>
      </c>
      <c r="E1318" s="4">
        <v>1.30999E-14</v>
      </c>
      <c r="F1318" s="4">
        <v>1.1353299999999999E-14</v>
      </c>
      <c r="I1318" s="5">
        <v>1.1228500000000001E-15</v>
      </c>
      <c r="U1318" s="5">
        <v>2.4952199999999999E-16</v>
      </c>
    </row>
    <row r="1319" spans="3:21" x14ac:dyDescent="0.25">
      <c r="C1319" s="4">
        <v>2.4952199999999999E-15</v>
      </c>
      <c r="D1319" s="4">
        <v>1.26009E-14</v>
      </c>
      <c r="E1319" s="4">
        <v>1.30999E-14</v>
      </c>
      <c r="F1319" s="4">
        <v>1.1353299999999999E-14</v>
      </c>
      <c r="I1319" s="5">
        <v>1.1228500000000001E-15</v>
      </c>
      <c r="U1319" s="5">
        <v>2.4952199999999999E-16</v>
      </c>
    </row>
    <row r="1320" spans="3:21" x14ac:dyDescent="0.25">
      <c r="C1320" s="4">
        <v>2.4952199999999999E-15</v>
      </c>
      <c r="D1320" s="4">
        <v>1.2476099999999999E-14</v>
      </c>
      <c r="E1320" s="4">
        <v>1.2975100000000001E-14</v>
      </c>
      <c r="F1320" s="4">
        <v>1.1353299999999999E-14</v>
      </c>
      <c r="I1320" s="5">
        <v>1.1228500000000001E-15</v>
      </c>
      <c r="U1320" s="5">
        <v>2.4952199999999999E-16</v>
      </c>
    </row>
    <row r="1321" spans="3:21" x14ac:dyDescent="0.25">
      <c r="C1321" s="4">
        <v>2.4952199999999999E-15</v>
      </c>
      <c r="D1321" s="4">
        <v>1.21018E-14</v>
      </c>
      <c r="E1321" s="4">
        <v>1.2975100000000001E-14</v>
      </c>
      <c r="F1321" s="4">
        <v>1.1353299999999999E-14</v>
      </c>
      <c r="I1321" s="5">
        <v>9.9808799999999998E-16</v>
      </c>
      <c r="U1321" s="5">
        <v>2.4952199999999999E-16</v>
      </c>
    </row>
    <row r="1322" spans="3:21" x14ac:dyDescent="0.25">
      <c r="C1322" s="4">
        <v>2.4952199999999999E-15</v>
      </c>
      <c r="D1322" s="4">
        <v>1.21018E-14</v>
      </c>
      <c r="E1322" s="4">
        <v>1.2850400000000001E-14</v>
      </c>
      <c r="F1322" s="4">
        <v>1.12285E-14</v>
      </c>
      <c r="I1322" s="5">
        <v>9.9808799999999998E-16</v>
      </c>
      <c r="U1322" s="5">
        <v>2.4952199999999999E-16</v>
      </c>
    </row>
    <row r="1323" spans="3:21" x14ac:dyDescent="0.25">
      <c r="C1323" s="4">
        <v>2.4952199999999999E-15</v>
      </c>
      <c r="D1323" s="4">
        <v>1.19771E-14</v>
      </c>
      <c r="E1323" s="4">
        <v>1.27256E-14</v>
      </c>
      <c r="F1323" s="4">
        <v>1.12285E-14</v>
      </c>
      <c r="I1323" s="5">
        <v>9.9808799999999998E-16</v>
      </c>
      <c r="U1323" s="5">
        <v>2.4952199999999999E-16</v>
      </c>
    </row>
    <row r="1324" spans="3:21" x14ac:dyDescent="0.25">
      <c r="C1324" s="4">
        <v>2.4952199999999999E-15</v>
      </c>
      <c r="D1324" s="4">
        <v>1.1852300000000001E-14</v>
      </c>
      <c r="E1324" s="4">
        <v>1.21018E-14</v>
      </c>
      <c r="F1324" s="4">
        <v>1.0979E-14</v>
      </c>
      <c r="I1324" s="5">
        <v>9.9808799999999998E-16</v>
      </c>
      <c r="U1324" s="5">
        <v>2.4952199999999999E-16</v>
      </c>
    </row>
    <row r="1325" spans="3:21" x14ac:dyDescent="0.25">
      <c r="C1325" s="4">
        <v>2.4952199999999999E-15</v>
      </c>
      <c r="D1325" s="4">
        <v>1.17275E-14</v>
      </c>
      <c r="E1325" s="4">
        <v>1.21018E-14</v>
      </c>
      <c r="F1325" s="4">
        <v>1.0979E-14</v>
      </c>
      <c r="I1325" s="5">
        <v>9.9808799999999998E-16</v>
      </c>
      <c r="U1325" s="5">
        <v>2.4952199999999999E-16</v>
      </c>
    </row>
    <row r="1326" spans="3:21" x14ac:dyDescent="0.25">
      <c r="C1326" s="4">
        <v>2.4952199999999999E-15</v>
      </c>
      <c r="D1326" s="4">
        <v>1.17275E-14</v>
      </c>
      <c r="E1326" s="4">
        <v>1.19771E-14</v>
      </c>
      <c r="F1326" s="4">
        <v>1.07294E-14</v>
      </c>
      <c r="I1326" s="5">
        <v>9.9808799999999998E-16</v>
      </c>
      <c r="U1326" s="5">
        <v>2.4952199999999999E-16</v>
      </c>
    </row>
    <row r="1327" spans="3:21" x14ac:dyDescent="0.25">
      <c r="C1327" s="4">
        <v>2.4952199999999999E-15</v>
      </c>
      <c r="D1327" s="4">
        <v>1.1353299999999999E-14</v>
      </c>
      <c r="E1327" s="4">
        <v>1.17275E-14</v>
      </c>
      <c r="F1327" s="4">
        <v>1.06047E-14</v>
      </c>
      <c r="I1327" s="5">
        <v>9.9808799999999998E-16</v>
      </c>
      <c r="U1327" s="5">
        <v>2.4952199999999999E-16</v>
      </c>
    </row>
    <row r="1328" spans="3:21" x14ac:dyDescent="0.25">
      <c r="C1328" s="4">
        <v>2.4952199999999999E-15</v>
      </c>
      <c r="D1328" s="4">
        <v>1.1353299999999999E-14</v>
      </c>
      <c r="E1328" s="4">
        <v>1.16028E-14</v>
      </c>
      <c r="F1328" s="4">
        <v>1.0479900000000001E-14</v>
      </c>
      <c r="I1328" s="5">
        <v>9.9808799999999998E-16</v>
      </c>
      <c r="U1328" s="5">
        <v>1.24761E-16</v>
      </c>
    </row>
    <row r="1329" spans="3:21" x14ac:dyDescent="0.25">
      <c r="C1329" s="4">
        <v>2.4952199999999999E-15</v>
      </c>
      <c r="D1329" s="4">
        <v>1.12285E-14</v>
      </c>
      <c r="E1329" s="4">
        <v>1.1478000000000001E-14</v>
      </c>
      <c r="F1329" s="4">
        <v>1.0479900000000001E-14</v>
      </c>
      <c r="I1329" s="5">
        <v>9.9808799999999998E-16</v>
      </c>
      <c r="U1329" s="5">
        <v>1.24761E-16</v>
      </c>
    </row>
    <row r="1330" spans="3:21" x14ac:dyDescent="0.25">
      <c r="C1330" s="4">
        <v>2.3704599999999999E-15</v>
      </c>
      <c r="D1330" s="4">
        <v>1.1103699999999999E-14</v>
      </c>
      <c r="E1330" s="4">
        <v>1.1478000000000001E-14</v>
      </c>
      <c r="F1330" s="4">
        <v>1.0355200000000001E-14</v>
      </c>
      <c r="I1330" s="5">
        <v>9.9808799999999998E-16</v>
      </c>
      <c r="U1330" s="5">
        <v>1.24761E-16</v>
      </c>
    </row>
    <row r="1331" spans="3:21" x14ac:dyDescent="0.25">
      <c r="C1331" s="4">
        <v>2.3704599999999999E-15</v>
      </c>
      <c r="D1331" s="4">
        <v>1.1103699999999999E-14</v>
      </c>
      <c r="E1331" s="4">
        <v>1.1478000000000001E-14</v>
      </c>
      <c r="F1331" s="4">
        <v>1.02304E-14</v>
      </c>
      <c r="I1331" s="5">
        <v>9.9808799999999998E-16</v>
      </c>
      <c r="U1331" s="5">
        <v>1.24761E-16</v>
      </c>
    </row>
    <row r="1332" spans="3:21" x14ac:dyDescent="0.25">
      <c r="C1332" s="4">
        <v>2.3704599999999999E-15</v>
      </c>
      <c r="D1332" s="4">
        <v>1.0479900000000001E-14</v>
      </c>
      <c r="E1332" s="4">
        <v>1.08542E-14</v>
      </c>
      <c r="F1332" s="4">
        <v>9.9808799999999998E-15</v>
      </c>
      <c r="I1332" s="5">
        <v>9.9808799999999998E-16</v>
      </c>
      <c r="U1332" s="5">
        <v>1.24761E-16</v>
      </c>
    </row>
    <row r="1333" spans="3:21" x14ac:dyDescent="0.25">
      <c r="C1333" s="4">
        <v>2.3704599999999999E-15</v>
      </c>
      <c r="D1333" s="4">
        <v>1.0479900000000001E-14</v>
      </c>
      <c r="E1333" s="4">
        <v>1.06047E-14</v>
      </c>
      <c r="F1333" s="4">
        <v>9.8561199999999997E-15</v>
      </c>
      <c r="I1333" s="5">
        <v>9.9808799999999998E-16</v>
      </c>
      <c r="U1333" s="5">
        <v>1.24761E-16</v>
      </c>
    </row>
    <row r="1334" spans="3:21" x14ac:dyDescent="0.25">
      <c r="C1334" s="4">
        <v>2.3704599999999999E-15</v>
      </c>
      <c r="D1334" s="4">
        <v>1.02304E-14</v>
      </c>
      <c r="E1334" s="4">
        <v>1.0479900000000001E-14</v>
      </c>
      <c r="F1334" s="4">
        <v>9.7313599999999996E-15</v>
      </c>
      <c r="I1334" s="5">
        <v>9.9808799999999998E-16</v>
      </c>
      <c r="U1334" s="5">
        <v>1.24761E-16</v>
      </c>
    </row>
    <row r="1335" spans="3:21" x14ac:dyDescent="0.25">
      <c r="C1335" s="4">
        <v>2.3704599999999999E-15</v>
      </c>
      <c r="D1335" s="4">
        <v>1.02304E-14</v>
      </c>
      <c r="E1335" s="4">
        <v>1.0479900000000001E-14</v>
      </c>
      <c r="F1335" s="4">
        <v>9.7313599999999996E-15</v>
      </c>
      <c r="I1335" s="5">
        <v>9.9808799999999998E-16</v>
      </c>
      <c r="U1335" s="5">
        <v>1.24761E-16</v>
      </c>
    </row>
    <row r="1336" spans="3:21" x14ac:dyDescent="0.25">
      <c r="C1336" s="4">
        <v>2.3704599999999999E-15</v>
      </c>
      <c r="D1336" s="4">
        <v>1.02304E-14</v>
      </c>
      <c r="E1336" s="4">
        <v>1.0479900000000001E-14</v>
      </c>
      <c r="F1336" s="4">
        <v>9.4818399999999995E-15</v>
      </c>
      <c r="I1336" s="5">
        <v>9.9808799999999998E-16</v>
      </c>
      <c r="U1336" s="5">
        <v>1.24761E-16</v>
      </c>
    </row>
    <row r="1337" spans="3:21" x14ac:dyDescent="0.25">
      <c r="C1337" s="4">
        <v>2.3704599999999999E-15</v>
      </c>
      <c r="D1337" s="4">
        <v>1.0105600000000001E-14</v>
      </c>
      <c r="E1337" s="4">
        <v>1.0479900000000001E-14</v>
      </c>
      <c r="F1337" s="4">
        <v>9.3570799999999994E-15</v>
      </c>
      <c r="I1337" s="5">
        <v>9.9808799999999998E-16</v>
      </c>
      <c r="U1337" s="5">
        <v>1.24761E-16</v>
      </c>
    </row>
    <row r="1338" spans="3:21" x14ac:dyDescent="0.25">
      <c r="C1338" s="4">
        <v>2.3704599999999999E-15</v>
      </c>
      <c r="D1338" s="4">
        <v>9.9808799999999998E-15</v>
      </c>
      <c r="E1338" s="4">
        <v>1.0355200000000001E-14</v>
      </c>
      <c r="F1338" s="4">
        <v>9.2323199999999993E-15</v>
      </c>
      <c r="I1338" s="5">
        <v>9.9808799999999998E-16</v>
      </c>
      <c r="U1338" s="5">
        <v>1.24761E-16</v>
      </c>
    </row>
    <row r="1339" spans="3:21" x14ac:dyDescent="0.25">
      <c r="C1339" s="4">
        <v>2.2457000000000002E-15</v>
      </c>
      <c r="D1339" s="4">
        <v>9.8561199999999997E-15</v>
      </c>
      <c r="E1339" s="4">
        <v>1.02304E-14</v>
      </c>
      <c r="F1339" s="4">
        <v>9.2323199999999993E-15</v>
      </c>
      <c r="I1339" s="5">
        <v>9.9808799999999998E-16</v>
      </c>
      <c r="U1339" s="5">
        <v>1.24761E-16</v>
      </c>
    </row>
    <row r="1340" spans="3:21" x14ac:dyDescent="0.25">
      <c r="C1340" s="4">
        <v>2.2457000000000002E-15</v>
      </c>
      <c r="D1340" s="4">
        <v>9.8561199999999997E-15</v>
      </c>
      <c r="E1340" s="4">
        <v>9.9808799999999998E-15</v>
      </c>
      <c r="F1340" s="4">
        <v>9.2323199999999993E-15</v>
      </c>
      <c r="I1340" s="5">
        <v>9.9808799999999998E-16</v>
      </c>
      <c r="U1340" s="5">
        <v>1.24761E-16</v>
      </c>
    </row>
    <row r="1341" spans="3:21" x14ac:dyDescent="0.25">
      <c r="C1341" s="4">
        <v>2.2457000000000002E-15</v>
      </c>
      <c r="D1341" s="4">
        <v>9.8561199999999997E-15</v>
      </c>
      <c r="E1341" s="4">
        <v>9.7313599999999996E-15</v>
      </c>
      <c r="F1341" s="4">
        <v>9.1075599999999992E-15</v>
      </c>
      <c r="I1341" s="5">
        <v>9.9808799999999998E-16</v>
      </c>
      <c r="U1341" s="5">
        <v>1.24761E-16</v>
      </c>
    </row>
    <row r="1342" spans="3:21" x14ac:dyDescent="0.25">
      <c r="C1342" s="4">
        <v>2.2457000000000002E-15</v>
      </c>
      <c r="D1342" s="4">
        <v>9.6065999999999996E-15</v>
      </c>
      <c r="E1342" s="4">
        <v>9.7313599999999996E-15</v>
      </c>
      <c r="F1342" s="4">
        <v>9.1075599999999992E-15</v>
      </c>
      <c r="I1342" s="5">
        <v>9.9808799999999998E-16</v>
      </c>
      <c r="U1342" s="5">
        <v>1.24761E-16</v>
      </c>
    </row>
    <row r="1343" spans="3:21" x14ac:dyDescent="0.25">
      <c r="C1343" s="4">
        <v>2.2457000000000002E-15</v>
      </c>
      <c r="D1343" s="4">
        <v>9.4818399999999995E-15</v>
      </c>
      <c r="E1343" s="4">
        <v>9.4818399999999995E-15</v>
      </c>
      <c r="F1343" s="4">
        <v>9.1075599999999992E-15</v>
      </c>
      <c r="I1343" s="5">
        <v>9.9808799999999998E-16</v>
      </c>
      <c r="U1343" s="5">
        <v>1.24761E-16</v>
      </c>
    </row>
    <row r="1344" spans="3:21" x14ac:dyDescent="0.25">
      <c r="C1344" s="4">
        <v>2.2457000000000002E-15</v>
      </c>
      <c r="D1344" s="4">
        <v>9.4818399999999995E-15</v>
      </c>
      <c r="E1344" s="4">
        <v>9.3570799999999994E-15</v>
      </c>
      <c r="F1344" s="4">
        <v>8.8580299999999993E-15</v>
      </c>
      <c r="I1344" s="5">
        <v>9.9808799999999998E-16</v>
      </c>
      <c r="U1344" s="5">
        <v>1.24761E-16</v>
      </c>
    </row>
    <row r="1345" spans="3:21" x14ac:dyDescent="0.25">
      <c r="C1345" s="4">
        <v>2.2457000000000002E-15</v>
      </c>
      <c r="D1345" s="4">
        <v>9.3570799999999994E-15</v>
      </c>
      <c r="E1345" s="4">
        <v>9.3570799999999994E-15</v>
      </c>
      <c r="F1345" s="4">
        <v>8.8580299999999993E-15</v>
      </c>
      <c r="I1345" s="5">
        <v>9.9808799999999998E-16</v>
      </c>
      <c r="U1345" s="5">
        <v>1.24761E-16</v>
      </c>
    </row>
    <row r="1346" spans="3:21" x14ac:dyDescent="0.25">
      <c r="C1346" s="4">
        <v>2.2457000000000002E-15</v>
      </c>
      <c r="D1346" s="4">
        <v>9.2323199999999993E-15</v>
      </c>
      <c r="E1346" s="4">
        <v>9.2323199999999993E-15</v>
      </c>
      <c r="F1346" s="4">
        <v>8.7332699999999992E-15</v>
      </c>
      <c r="I1346" s="5">
        <v>9.9808799999999998E-16</v>
      </c>
      <c r="U1346" s="5">
        <v>1.24761E-16</v>
      </c>
    </row>
    <row r="1347" spans="3:21" x14ac:dyDescent="0.25">
      <c r="C1347" s="4">
        <v>2.2457000000000002E-15</v>
      </c>
      <c r="D1347" s="4">
        <v>9.2323199999999993E-15</v>
      </c>
      <c r="E1347" s="4">
        <v>9.2323199999999993E-15</v>
      </c>
      <c r="F1347" s="4">
        <v>8.7332699999999992E-15</v>
      </c>
      <c r="I1347" s="5">
        <v>9.9808799999999998E-16</v>
      </c>
      <c r="U1347" s="5">
        <v>1.24761E-16</v>
      </c>
    </row>
    <row r="1348" spans="3:21" x14ac:dyDescent="0.25">
      <c r="C1348" s="4">
        <v>2.2457000000000002E-15</v>
      </c>
      <c r="D1348" s="4">
        <v>9.2323199999999993E-15</v>
      </c>
      <c r="E1348" s="4">
        <v>9.2323199999999993E-15</v>
      </c>
      <c r="F1348" s="4">
        <v>8.6085100000000007E-15</v>
      </c>
      <c r="I1348" s="5">
        <v>9.9808799999999998E-16</v>
      </c>
      <c r="U1348" s="5">
        <v>1.24761E-16</v>
      </c>
    </row>
    <row r="1349" spans="3:21" x14ac:dyDescent="0.25">
      <c r="C1349" s="4">
        <v>2.2457000000000002E-15</v>
      </c>
      <c r="D1349" s="4">
        <v>9.1075599999999992E-15</v>
      </c>
      <c r="E1349" s="4">
        <v>8.9827899999999994E-15</v>
      </c>
      <c r="F1349" s="4">
        <v>8.1094700000000004E-15</v>
      </c>
      <c r="I1349" s="5">
        <v>9.9808799999999998E-16</v>
      </c>
      <c r="U1349" s="5">
        <v>1.24761E-16</v>
      </c>
    </row>
    <row r="1350" spans="3:21" x14ac:dyDescent="0.25">
      <c r="C1350" s="4">
        <v>2.2457000000000002E-15</v>
      </c>
      <c r="D1350" s="4">
        <v>9.1075599999999992E-15</v>
      </c>
      <c r="E1350" s="4">
        <v>8.9827899999999994E-15</v>
      </c>
      <c r="F1350" s="4">
        <v>8.1094700000000004E-15</v>
      </c>
      <c r="I1350" s="5">
        <v>9.9808799999999998E-16</v>
      </c>
      <c r="U1350" s="5">
        <v>1.24761E-16</v>
      </c>
    </row>
    <row r="1351" spans="3:21" x14ac:dyDescent="0.25">
      <c r="C1351" s="4">
        <v>2.1209400000000001E-15</v>
      </c>
      <c r="D1351" s="4">
        <v>8.7332699999999992E-15</v>
      </c>
      <c r="E1351" s="4">
        <v>8.9827899999999994E-15</v>
      </c>
      <c r="F1351" s="4">
        <v>7.9847100000000003E-15</v>
      </c>
      <c r="I1351" s="5">
        <v>9.9808799999999998E-16</v>
      </c>
      <c r="U1351" s="5">
        <v>1.24761E-16</v>
      </c>
    </row>
    <row r="1352" spans="3:21" x14ac:dyDescent="0.25">
      <c r="C1352" s="4">
        <v>2.1209400000000001E-15</v>
      </c>
      <c r="D1352" s="4">
        <v>8.7332699999999992E-15</v>
      </c>
      <c r="E1352" s="4">
        <v>8.9827899999999994E-15</v>
      </c>
      <c r="F1352" s="4">
        <v>7.8599500000000002E-15</v>
      </c>
      <c r="I1352" s="5">
        <v>9.9808799999999998E-16</v>
      </c>
      <c r="U1352" s="5">
        <v>1.24761E-16</v>
      </c>
    </row>
    <row r="1353" spans="3:21" x14ac:dyDescent="0.25">
      <c r="C1353" s="4">
        <v>2.1209400000000001E-15</v>
      </c>
      <c r="D1353" s="4">
        <v>8.6085100000000007E-15</v>
      </c>
      <c r="E1353" s="4">
        <v>8.7332699999999992E-15</v>
      </c>
      <c r="F1353" s="4">
        <v>7.7351800000000004E-15</v>
      </c>
      <c r="I1353" s="5">
        <v>9.9808799999999998E-16</v>
      </c>
      <c r="U1353" s="5">
        <v>1.24761E-16</v>
      </c>
    </row>
    <row r="1354" spans="3:21" x14ac:dyDescent="0.25">
      <c r="C1354" s="4">
        <v>2.1209400000000001E-15</v>
      </c>
      <c r="D1354" s="4">
        <v>8.6085100000000007E-15</v>
      </c>
      <c r="E1354" s="4">
        <v>8.6085100000000007E-15</v>
      </c>
      <c r="F1354" s="4">
        <v>7.6104200000000003E-15</v>
      </c>
      <c r="I1354" s="5">
        <v>9.9808799999999998E-16</v>
      </c>
      <c r="U1354" s="5">
        <v>1.24761E-16</v>
      </c>
    </row>
    <row r="1355" spans="3:21" x14ac:dyDescent="0.25">
      <c r="C1355" s="4">
        <v>2.1209400000000001E-15</v>
      </c>
      <c r="D1355" s="4">
        <v>8.6085100000000007E-15</v>
      </c>
      <c r="E1355" s="4">
        <v>8.6085100000000007E-15</v>
      </c>
      <c r="F1355" s="4">
        <v>7.6104200000000003E-15</v>
      </c>
      <c r="I1355" s="5">
        <v>9.9808799999999998E-16</v>
      </c>
      <c r="U1355" s="5">
        <v>1.24761E-16</v>
      </c>
    </row>
    <row r="1356" spans="3:21" x14ac:dyDescent="0.25">
      <c r="C1356" s="4">
        <v>2.1209400000000001E-15</v>
      </c>
      <c r="D1356" s="4">
        <v>8.4837500000000006E-15</v>
      </c>
      <c r="E1356" s="4">
        <v>8.3589900000000006E-15</v>
      </c>
      <c r="F1356" s="4">
        <v>7.4856600000000002E-15</v>
      </c>
      <c r="I1356" s="5">
        <v>9.9808799999999998E-16</v>
      </c>
      <c r="U1356" s="5">
        <v>1.24761E-16</v>
      </c>
    </row>
    <row r="1357" spans="3:21" x14ac:dyDescent="0.25">
      <c r="C1357" s="4">
        <v>2.1209400000000001E-15</v>
      </c>
      <c r="D1357" s="4">
        <v>8.4837500000000006E-15</v>
      </c>
      <c r="E1357" s="4">
        <v>8.3589900000000006E-15</v>
      </c>
      <c r="F1357" s="4">
        <v>7.11138E-15</v>
      </c>
      <c r="I1357" s="5">
        <v>9.9808799999999998E-16</v>
      </c>
      <c r="U1357" s="5">
        <v>1.24761E-16</v>
      </c>
    </row>
    <row r="1358" spans="3:21" x14ac:dyDescent="0.25">
      <c r="C1358" s="4">
        <v>2.1209400000000001E-15</v>
      </c>
      <c r="D1358" s="4">
        <v>8.2342300000000005E-15</v>
      </c>
      <c r="E1358" s="4">
        <v>8.2342300000000005E-15</v>
      </c>
      <c r="F1358" s="4">
        <v>7.11138E-15</v>
      </c>
      <c r="I1358" s="5">
        <v>9.9808799999999998E-16</v>
      </c>
      <c r="U1358" s="5">
        <v>1.24761E-16</v>
      </c>
    </row>
    <row r="1359" spans="3:21" x14ac:dyDescent="0.25">
      <c r="C1359" s="4">
        <v>2.1209400000000001E-15</v>
      </c>
      <c r="D1359" s="4">
        <v>8.1094700000000004E-15</v>
      </c>
      <c r="E1359" s="4">
        <v>8.1094700000000004E-15</v>
      </c>
      <c r="F1359" s="4">
        <v>6.9866199999999999E-15</v>
      </c>
      <c r="I1359" s="5">
        <v>9.9808799999999998E-16</v>
      </c>
      <c r="U1359" s="5">
        <v>1.24761E-16</v>
      </c>
    </row>
    <row r="1360" spans="3:21" x14ac:dyDescent="0.25">
      <c r="C1360" s="4">
        <v>2.1209400000000001E-15</v>
      </c>
      <c r="D1360" s="4">
        <v>8.1094700000000004E-15</v>
      </c>
      <c r="E1360" s="4">
        <v>8.1094700000000004E-15</v>
      </c>
      <c r="F1360" s="4">
        <v>6.9866199999999999E-15</v>
      </c>
      <c r="I1360" s="5">
        <v>9.9808799999999998E-16</v>
      </c>
      <c r="U1360" s="5">
        <v>1.24761E-16</v>
      </c>
    </row>
    <row r="1361" spans="3:21" x14ac:dyDescent="0.25">
      <c r="C1361" s="4">
        <v>2.1209400000000001E-15</v>
      </c>
      <c r="D1361" s="4">
        <v>7.9847100000000003E-15</v>
      </c>
      <c r="E1361" s="4">
        <v>8.1094700000000004E-15</v>
      </c>
      <c r="F1361" s="4">
        <v>6.9866199999999999E-15</v>
      </c>
      <c r="I1361" s="5">
        <v>9.9808799999999998E-16</v>
      </c>
      <c r="U1361" s="5">
        <v>1.24761E-16</v>
      </c>
    </row>
    <row r="1362" spans="3:21" x14ac:dyDescent="0.25">
      <c r="C1362" s="4">
        <v>2.1209400000000001E-15</v>
      </c>
      <c r="D1362" s="4">
        <v>7.9847100000000003E-15</v>
      </c>
      <c r="E1362" s="4">
        <v>8.1094700000000004E-15</v>
      </c>
      <c r="F1362" s="4">
        <v>6.9866199999999999E-15</v>
      </c>
      <c r="I1362" s="5">
        <v>9.9808799999999998E-16</v>
      </c>
      <c r="U1362" s="5">
        <v>1.24761E-16</v>
      </c>
    </row>
    <row r="1363" spans="3:21" x14ac:dyDescent="0.25">
      <c r="C1363" s="4">
        <v>2.1209400000000001E-15</v>
      </c>
      <c r="D1363" s="4">
        <v>7.8599500000000002E-15</v>
      </c>
      <c r="E1363" s="4">
        <v>7.9847100000000003E-15</v>
      </c>
      <c r="F1363" s="4">
        <v>6.8618599999999998E-15</v>
      </c>
      <c r="I1363" s="5">
        <v>9.9808799999999998E-16</v>
      </c>
      <c r="U1363" s="5">
        <v>1.24761E-16</v>
      </c>
    </row>
    <row r="1364" spans="3:21" x14ac:dyDescent="0.25">
      <c r="C1364" s="4">
        <v>2.1209400000000001E-15</v>
      </c>
      <c r="D1364" s="4">
        <v>7.7351800000000004E-15</v>
      </c>
      <c r="E1364" s="4">
        <v>7.9847100000000003E-15</v>
      </c>
      <c r="F1364" s="4">
        <v>6.8618599999999998E-15</v>
      </c>
      <c r="I1364" s="5">
        <v>9.9808799999999998E-16</v>
      </c>
      <c r="U1364" s="5">
        <v>1.24761E-16</v>
      </c>
    </row>
    <row r="1365" spans="3:21" x14ac:dyDescent="0.25">
      <c r="C1365" s="4">
        <v>1.99618E-15</v>
      </c>
      <c r="D1365" s="4">
        <v>7.7351800000000004E-15</v>
      </c>
      <c r="E1365" s="4">
        <v>7.7351800000000004E-15</v>
      </c>
      <c r="F1365" s="4">
        <v>6.7370999999999998E-15</v>
      </c>
      <c r="I1365" s="5">
        <v>8.7332699999999998E-16</v>
      </c>
      <c r="U1365" s="5">
        <v>1.24761E-16</v>
      </c>
    </row>
    <row r="1366" spans="3:21" x14ac:dyDescent="0.25">
      <c r="C1366" s="4">
        <v>1.99618E-15</v>
      </c>
      <c r="D1366" s="4">
        <v>7.7351800000000004E-15</v>
      </c>
      <c r="E1366" s="4">
        <v>7.4856600000000002E-15</v>
      </c>
      <c r="F1366" s="4">
        <v>6.7370999999999998E-15</v>
      </c>
      <c r="I1366" s="5">
        <v>8.7332699999999998E-16</v>
      </c>
      <c r="U1366" s="5">
        <v>1.24761E-16</v>
      </c>
    </row>
    <row r="1367" spans="3:21" x14ac:dyDescent="0.25">
      <c r="C1367" s="4">
        <v>1.99618E-15</v>
      </c>
      <c r="D1367" s="4">
        <v>7.4856600000000002E-15</v>
      </c>
      <c r="E1367" s="4">
        <v>7.4856600000000002E-15</v>
      </c>
      <c r="F1367" s="4">
        <v>6.7370999999999998E-15</v>
      </c>
      <c r="I1367" s="5">
        <v>8.7332699999999998E-16</v>
      </c>
      <c r="U1367" s="5">
        <v>1.24761E-16</v>
      </c>
    </row>
    <row r="1368" spans="3:21" x14ac:dyDescent="0.25">
      <c r="C1368" s="4">
        <v>1.99618E-15</v>
      </c>
      <c r="D1368" s="4">
        <v>7.4856600000000002E-15</v>
      </c>
      <c r="E1368" s="4">
        <v>7.3609000000000002E-15</v>
      </c>
      <c r="F1368" s="4">
        <v>6.7370999999999998E-15</v>
      </c>
      <c r="I1368" s="5">
        <v>8.7332699999999998E-16</v>
      </c>
      <c r="U1368" s="5">
        <v>1.24761E-16</v>
      </c>
    </row>
    <row r="1369" spans="3:21" x14ac:dyDescent="0.25">
      <c r="C1369" s="4">
        <v>1.99618E-15</v>
      </c>
      <c r="D1369" s="4">
        <v>7.3609000000000002E-15</v>
      </c>
      <c r="E1369" s="4">
        <v>7.3609000000000002E-15</v>
      </c>
      <c r="F1369" s="4">
        <v>6.4875699999999998E-15</v>
      </c>
      <c r="I1369" s="5">
        <v>8.7332699999999998E-16</v>
      </c>
      <c r="U1369" s="5">
        <v>1.24761E-16</v>
      </c>
    </row>
    <row r="1370" spans="3:21" x14ac:dyDescent="0.25">
      <c r="C1370" s="4">
        <v>1.99618E-15</v>
      </c>
      <c r="D1370" s="4">
        <v>7.3609000000000002E-15</v>
      </c>
      <c r="E1370" s="4">
        <v>7.2361400000000001E-15</v>
      </c>
      <c r="F1370" s="4">
        <v>6.4875699999999998E-15</v>
      </c>
      <c r="I1370" s="5">
        <v>8.7332699999999998E-16</v>
      </c>
      <c r="U1370" s="5">
        <v>1.24761E-16</v>
      </c>
    </row>
    <row r="1371" spans="3:21" x14ac:dyDescent="0.25">
      <c r="C1371" s="4">
        <v>1.99618E-15</v>
      </c>
      <c r="D1371" s="4">
        <v>7.2361400000000001E-15</v>
      </c>
      <c r="E1371" s="4">
        <v>7.11138E-15</v>
      </c>
      <c r="F1371" s="4">
        <v>6.3628099999999997E-15</v>
      </c>
      <c r="I1371" s="5">
        <v>8.7332699999999998E-16</v>
      </c>
      <c r="U1371" s="5">
        <v>1.24761E-16</v>
      </c>
    </row>
    <row r="1372" spans="3:21" x14ac:dyDescent="0.25">
      <c r="C1372" s="4">
        <v>1.99618E-15</v>
      </c>
      <c r="D1372" s="4">
        <v>7.11138E-15</v>
      </c>
      <c r="E1372" s="4">
        <v>7.11138E-15</v>
      </c>
      <c r="F1372" s="4">
        <v>6.3628099999999997E-15</v>
      </c>
      <c r="I1372" s="5">
        <v>8.7332699999999998E-16</v>
      </c>
      <c r="U1372" s="5">
        <v>1.24761E-16</v>
      </c>
    </row>
    <row r="1373" spans="3:21" x14ac:dyDescent="0.25">
      <c r="C1373" s="4">
        <v>1.99618E-15</v>
      </c>
      <c r="D1373" s="4">
        <v>6.9866199999999999E-15</v>
      </c>
      <c r="E1373" s="4">
        <v>7.11138E-15</v>
      </c>
      <c r="F1373" s="4">
        <v>6.3628099999999997E-15</v>
      </c>
      <c r="I1373" s="5">
        <v>8.7332699999999998E-16</v>
      </c>
      <c r="U1373" s="5">
        <v>1.24761E-16</v>
      </c>
    </row>
    <row r="1374" spans="3:21" x14ac:dyDescent="0.25">
      <c r="C1374" s="4">
        <v>1.99618E-15</v>
      </c>
      <c r="D1374" s="4">
        <v>6.8618599999999998E-15</v>
      </c>
      <c r="E1374" s="4">
        <v>7.11138E-15</v>
      </c>
      <c r="F1374" s="4">
        <v>6.2380499999999997E-15</v>
      </c>
      <c r="I1374" s="5">
        <v>8.7332699999999998E-16</v>
      </c>
      <c r="U1374" s="5">
        <v>1.24761E-16</v>
      </c>
    </row>
    <row r="1375" spans="3:21" x14ac:dyDescent="0.25">
      <c r="C1375" s="4">
        <v>1.99618E-15</v>
      </c>
      <c r="D1375" s="4">
        <v>6.7370999999999998E-15</v>
      </c>
      <c r="E1375" s="4">
        <v>6.8618599999999998E-15</v>
      </c>
      <c r="F1375" s="4">
        <v>6.1132900000000004E-15</v>
      </c>
      <c r="I1375" s="5">
        <v>8.7332699999999998E-16</v>
      </c>
      <c r="U1375" s="5">
        <v>1.24761E-16</v>
      </c>
    </row>
    <row r="1376" spans="3:21" x14ac:dyDescent="0.25">
      <c r="C1376" s="4">
        <v>1.99618E-15</v>
      </c>
      <c r="D1376" s="4">
        <v>6.7370999999999998E-15</v>
      </c>
      <c r="E1376" s="4">
        <v>6.8618599999999998E-15</v>
      </c>
      <c r="F1376" s="4">
        <v>5.9885300000000003E-15</v>
      </c>
      <c r="I1376" s="5">
        <v>8.7332699999999998E-16</v>
      </c>
      <c r="U1376" s="5">
        <v>1.24761E-16</v>
      </c>
    </row>
    <row r="1377" spans="3:21" x14ac:dyDescent="0.25">
      <c r="C1377" s="4">
        <v>1.99618E-15</v>
      </c>
      <c r="D1377" s="4">
        <v>6.7370999999999998E-15</v>
      </c>
      <c r="E1377" s="4">
        <v>6.6123299999999999E-15</v>
      </c>
      <c r="F1377" s="4">
        <v>5.9885300000000003E-15</v>
      </c>
      <c r="I1377" s="5">
        <v>8.7332699999999998E-16</v>
      </c>
      <c r="U1377" s="5">
        <v>1.24761E-16</v>
      </c>
    </row>
    <row r="1378" spans="3:21" x14ac:dyDescent="0.25">
      <c r="C1378" s="4">
        <v>1.99618E-15</v>
      </c>
      <c r="D1378" s="4">
        <v>6.6123299999999999E-15</v>
      </c>
      <c r="E1378" s="4">
        <v>6.6123299999999999E-15</v>
      </c>
      <c r="F1378" s="4">
        <v>5.7390100000000001E-15</v>
      </c>
      <c r="I1378" s="5">
        <v>8.7332699999999998E-16</v>
      </c>
      <c r="U1378" s="5">
        <v>1.24761E-16</v>
      </c>
    </row>
    <row r="1379" spans="3:21" x14ac:dyDescent="0.25">
      <c r="C1379" s="4">
        <v>1.99618E-15</v>
      </c>
      <c r="D1379" s="4">
        <v>6.6123299999999999E-15</v>
      </c>
      <c r="E1379" s="4">
        <v>6.4875699999999998E-15</v>
      </c>
      <c r="F1379" s="4">
        <v>5.6142500000000001E-15</v>
      </c>
      <c r="I1379" s="5">
        <v>8.7332699999999998E-16</v>
      </c>
      <c r="U1379" s="5">
        <v>1.24761E-16</v>
      </c>
    </row>
    <row r="1380" spans="3:21" x14ac:dyDescent="0.25">
      <c r="C1380" s="4">
        <v>1.99618E-15</v>
      </c>
      <c r="D1380" s="4">
        <v>6.6123299999999999E-15</v>
      </c>
      <c r="E1380" s="4">
        <v>6.4875699999999998E-15</v>
      </c>
      <c r="F1380" s="4">
        <v>5.48949E-15</v>
      </c>
      <c r="I1380" s="5">
        <v>8.7332699999999998E-16</v>
      </c>
      <c r="U1380" s="5">
        <v>1.24761E-16</v>
      </c>
    </row>
    <row r="1381" spans="3:21" x14ac:dyDescent="0.25">
      <c r="C1381" s="4">
        <v>1.99618E-15</v>
      </c>
      <c r="D1381" s="4">
        <v>6.6123299999999999E-15</v>
      </c>
      <c r="E1381" s="4">
        <v>6.4875699999999998E-15</v>
      </c>
      <c r="F1381" s="4">
        <v>5.3647200000000001E-15</v>
      </c>
      <c r="I1381" s="5">
        <v>8.7332699999999998E-16</v>
      </c>
      <c r="U1381" s="5">
        <v>1.24761E-16</v>
      </c>
    </row>
    <row r="1382" spans="3:21" x14ac:dyDescent="0.25">
      <c r="C1382" s="4">
        <v>1.99618E-15</v>
      </c>
      <c r="D1382" s="4">
        <v>6.4875699999999998E-15</v>
      </c>
      <c r="E1382" s="4">
        <v>6.2380499999999997E-15</v>
      </c>
      <c r="F1382" s="4">
        <v>5.3647200000000001E-15</v>
      </c>
      <c r="I1382" s="5">
        <v>8.7332699999999998E-16</v>
      </c>
      <c r="U1382" s="5">
        <v>1.24761E-16</v>
      </c>
    </row>
    <row r="1383" spans="3:21" x14ac:dyDescent="0.25">
      <c r="C1383" s="4">
        <v>1.99618E-15</v>
      </c>
      <c r="D1383" s="4">
        <v>6.4875699999999998E-15</v>
      </c>
      <c r="E1383" s="4">
        <v>5.9885300000000003E-15</v>
      </c>
      <c r="F1383" s="4">
        <v>5.3647200000000001E-15</v>
      </c>
      <c r="I1383" s="5">
        <v>8.7332699999999998E-16</v>
      </c>
      <c r="U1383" s="5">
        <v>1.24761E-16</v>
      </c>
    </row>
    <row r="1384" spans="3:21" x14ac:dyDescent="0.25">
      <c r="C1384" s="4">
        <v>1.99618E-15</v>
      </c>
      <c r="D1384" s="4">
        <v>6.4875699999999998E-15</v>
      </c>
      <c r="E1384" s="4">
        <v>5.8637700000000002E-15</v>
      </c>
      <c r="F1384" s="4">
        <v>5.2399600000000001E-15</v>
      </c>
      <c r="I1384" s="5">
        <v>8.7332699999999998E-16</v>
      </c>
      <c r="U1384" s="5">
        <v>1.24761E-16</v>
      </c>
    </row>
    <row r="1385" spans="3:21" x14ac:dyDescent="0.25">
      <c r="C1385" s="4">
        <v>1.8714199999999999E-15</v>
      </c>
      <c r="D1385" s="4">
        <v>6.4875699999999998E-15</v>
      </c>
      <c r="E1385" s="4">
        <v>5.8637700000000002E-15</v>
      </c>
      <c r="F1385" s="4">
        <v>5.2399600000000001E-15</v>
      </c>
      <c r="I1385" s="5">
        <v>8.7332699999999998E-16</v>
      </c>
      <c r="U1385" s="5">
        <v>1.24761E-16</v>
      </c>
    </row>
    <row r="1386" spans="3:21" x14ac:dyDescent="0.25">
      <c r="C1386" s="4">
        <v>1.8714199999999999E-15</v>
      </c>
      <c r="D1386" s="4">
        <v>6.3628099999999997E-15</v>
      </c>
      <c r="E1386" s="4">
        <v>5.8637700000000002E-15</v>
      </c>
      <c r="F1386" s="4">
        <v>5.2399600000000001E-15</v>
      </c>
      <c r="I1386" s="5">
        <v>8.7332699999999998E-16</v>
      </c>
      <c r="U1386" s="5">
        <v>1.24761E-16</v>
      </c>
    </row>
    <row r="1387" spans="3:21" x14ac:dyDescent="0.25">
      <c r="C1387" s="4">
        <v>1.8714199999999999E-15</v>
      </c>
      <c r="D1387" s="4">
        <v>6.3628099999999997E-15</v>
      </c>
      <c r="E1387" s="4">
        <v>5.7390100000000001E-15</v>
      </c>
      <c r="F1387" s="4">
        <v>5.2399600000000001E-15</v>
      </c>
      <c r="I1387" s="5">
        <v>8.7332699999999998E-16</v>
      </c>
      <c r="U1387" s="5">
        <v>1.24761E-16</v>
      </c>
    </row>
    <row r="1388" spans="3:21" x14ac:dyDescent="0.25">
      <c r="C1388" s="4">
        <v>1.8714199999999999E-15</v>
      </c>
      <c r="D1388" s="4">
        <v>6.2380499999999997E-15</v>
      </c>
      <c r="E1388" s="4">
        <v>5.7390100000000001E-15</v>
      </c>
      <c r="F1388" s="4">
        <v>5.1152E-15</v>
      </c>
      <c r="I1388" s="5">
        <v>8.7332699999999998E-16</v>
      </c>
      <c r="U1388" s="5">
        <v>1.24761E-16</v>
      </c>
    </row>
    <row r="1389" spans="3:21" x14ac:dyDescent="0.25">
      <c r="C1389" s="4">
        <v>1.8714199999999999E-15</v>
      </c>
      <c r="D1389" s="4">
        <v>6.2380499999999997E-15</v>
      </c>
      <c r="E1389" s="4">
        <v>5.6142500000000001E-15</v>
      </c>
      <c r="F1389" s="4">
        <v>5.1152E-15</v>
      </c>
      <c r="I1389" s="5">
        <v>8.7332699999999998E-16</v>
      </c>
      <c r="U1389" s="5">
        <v>1.24761E-16</v>
      </c>
    </row>
    <row r="1390" spans="3:21" x14ac:dyDescent="0.25">
      <c r="C1390" s="4">
        <v>1.8714199999999999E-15</v>
      </c>
      <c r="D1390" s="4">
        <v>6.2380499999999997E-15</v>
      </c>
      <c r="E1390" s="4">
        <v>5.6142500000000001E-15</v>
      </c>
      <c r="F1390" s="4">
        <v>4.9904399999999999E-15</v>
      </c>
      <c r="I1390" s="5">
        <v>8.7332699999999998E-16</v>
      </c>
      <c r="U1390" s="5">
        <v>1.24761E-16</v>
      </c>
    </row>
    <row r="1391" spans="3:21" x14ac:dyDescent="0.25">
      <c r="C1391" s="4">
        <v>1.8714199999999999E-15</v>
      </c>
      <c r="D1391" s="4">
        <v>6.1132900000000004E-15</v>
      </c>
      <c r="E1391" s="4">
        <v>5.48949E-15</v>
      </c>
      <c r="F1391" s="4">
        <v>4.8656799999999998E-15</v>
      </c>
      <c r="I1391" s="5">
        <v>8.7332699999999998E-16</v>
      </c>
      <c r="U1391" s="5">
        <v>1.24761E-16</v>
      </c>
    </row>
    <row r="1392" spans="3:21" x14ac:dyDescent="0.25">
      <c r="C1392" s="4">
        <v>1.8714199999999999E-15</v>
      </c>
      <c r="D1392" s="4">
        <v>6.1132900000000004E-15</v>
      </c>
      <c r="E1392" s="4">
        <v>5.48949E-15</v>
      </c>
      <c r="F1392" s="4">
        <v>4.8656799999999998E-15</v>
      </c>
      <c r="I1392" s="5">
        <v>8.7332699999999998E-16</v>
      </c>
      <c r="U1392" s="5">
        <v>1.24761E-16</v>
      </c>
    </row>
    <row r="1393" spans="3:21" x14ac:dyDescent="0.25">
      <c r="C1393" s="4">
        <v>1.8714199999999999E-15</v>
      </c>
      <c r="D1393" s="4">
        <v>6.1132900000000004E-15</v>
      </c>
      <c r="E1393" s="4">
        <v>5.3647200000000001E-15</v>
      </c>
      <c r="F1393" s="4">
        <v>4.8656799999999998E-15</v>
      </c>
      <c r="I1393" s="5">
        <v>8.7332699999999998E-16</v>
      </c>
      <c r="U1393" s="5">
        <v>1.24761E-16</v>
      </c>
    </row>
    <row r="1394" spans="3:21" x14ac:dyDescent="0.25">
      <c r="C1394" s="4">
        <v>1.8714199999999999E-15</v>
      </c>
      <c r="D1394" s="4">
        <v>6.1132900000000004E-15</v>
      </c>
      <c r="E1394" s="4">
        <v>5.3647200000000001E-15</v>
      </c>
      <c r="F1394" s="4">
        <v>4.6161599999999997E-15</v>
      </c>
      <c r="I1394" s="5">
        <v>8.7332699999999998E-16</v>
      </c>
      <c r="U1394" s="5">
        <v>1.24761E-16</v>
      </c>
    </row>
    <row r="1395" spans="3:21" x14ac:dyDescent="0.25">
      <c r="C1395" s="4">
        <v>1.8714199999999999E-15</v>
      </c>
      <c r="D1395" s="4">
        <v>5.9885300000000003E-15</v>
      </c>
      <c r="E1395" s="4">
        <v>5.2399600000000001E-15</v>
      </c>
      <c r="F1395" s="4">
        <v>4.4914000000000004E-15</v>
      </c>
      <c r="I1395" s="5">
        <v>8.7332699999999998E-16</v>
      </c>
      <c r="U1395" s="5">
        <v>1.24761E-16</v>
      </c>
    </row>
    <row r="1396" spans="3:21" x14ac:dyDescent="0.25">
      <c r="C1396" s="4">
        <v>1.8714199999999999E-15</v>
      </c>
      <c r="D1396" s="4">
        <v>5.9885300000000003E-15</v>
      </c>
      <c r="E1396" s="4">
        <v>5.2399600000000001E-15</v>
      </c>
      <c r="F1396" s="4">
        <v>4.2418800000000002E-15</v>
      </c>
      <c r="I1396" s="5">
        <v>8.7332699999999998E-16</v>
      </c>
      <c r="U1396" s="5">
        <v>1.24761E-16</v>
      </c>
    </row>
    <row r="1397" spans="3:21" x14ac:dyDescent="0.25">
      <c r="C1397" s="4">
        <v>1.8714199999999999E-15</v>
      </c>
      <c r="D1397" s="4">
        <v>5.8637700000000002E-15</v>
      </c>
      <c r="E1397" s="4">
        <v>5.1152E-15</v>
      </c>
      <c r="F1397" s="4">
        <v>4.1171100000000004E-15</v>
      </c>
      <c r="I1397" s="5">
        <v>8.7332699999999998E-16</v>
      </c>
      <c r="U1397" s="5">
        <v>1.24761E-16</v>
      </c>
    </row>
    <row r="1398" spans="3:21" x14ac:dyDescent="0.25">
      <c r="C1398" s="4">
        <v>1.8714199999999999E-15</v>
      </c>
      <c r="D1398" s="4">
        <v>5.8637700000000002E-15</v>
      </c>
      <c r="E1398" s="4">
        <v>5.1152E-15</v>
      </c>
      <c r="F1398" s="4">
        <v>4.1171100000000004E-15</v>
      </c>
      <c r="I1398" s="5">
        <v>8.7332699999999998E-16</v>
      </c>
      <c r="U1398" s="5">
        <v>1.24761E-16</v>
      </c>
    </row>
    <row r="1399" spans="3:21" x14ac:dyDescent="0.25">
      <c r="C1399" s="4">
        <v>1.7466500000000001E-15</v>
      </c>
      <c r="D1399" s="4">
        <v>5.7390100000000001E-15</v>
      </c>
      <c r="E1399" s="4">
        <v>4.9904399999999999E-15</v>
      </c>
      <c r="F1399" s="4">
        <v>3.9923500000000003E-15</v>
      </c>
      <c r="I1399" s="5">
        <v>8.7332699999999998E-16</v>
      </c>
      <c r="U1399" s="5">
        <v>1.24761E-16</v>
      </c>
    </row>
    <row r="1400" spans="3:21" x14ac:dyDescent="0.25">
      <c r="C1400" s="4">
        <v>1.7466500000000001E-15</v>
      </c>
      <c r="D1400" s="4">
        <v>5.7390100000000001E-15</v>
      </c>
      <c r="E1400" s="4">
        <v>4.9904399999999999E-15</v>
      </c>
      <c r="F1400" s="4">
        <v>3.9923500000000003E-15</v>
      </c>
      <c r="I1400" s="5">
        <v>8.7332699999999998E-16</v>
      </c>
      <c r="U1400" s="5">
        <v>1.24761E-16</v>
      </c>
    </row>
    <row r="1401" spans="3:21" x14ac:dyDescent="0.25">
      <c r="C1401" s="4">
        <v>1.7466500000000001E-15</v>
      </c>
      <c r="D1401" s="4">
        <v>5.6142500000000001E-15</v>
      </c>
      <c r="E1401" s="4">
        <v>4.9904399999999999E-15</v>
      </c>
      <c r="F1401" s="4">
        <v>3.9923500000000003E-15</v>
      </c>
      <c r="I1401" s="5">
        <v>8.7332699999999998E-16</v>
      </c>
      <c r="U1401" s="5">
        <v>1.24761E-16</v>
      </c>
    </row>
    <row r="1402" spans="3:21" x14ac:dyDescent="0.25">
      <c r="C1402" s="4">
        <v>1.7466500000000001E-15</v>
      </c>
      <c r="D1402" s="4">
        <v>5.6142500000000001E-15</v>
      </c>
      <c r="E1402" s="4">
        <v>4.9904399999999999E-15</v>
      </c>
      <c r="F1402" s="4">
        <v>3.8675900000000002E-15</v>
      </c>
      <c r="I1402" s="5">
        <v>8.7332699999999998E-16</v>
      </c>
      <c r="U1402" s="5">
        <v>1.24761E-16</v>
      </c>
    </row>
    <row r="1403" spans="3:21" x14ac:dyDescent="0.25">
      <c r="C1403" s="4">
        <v>1.7466500000000001E-15</v>
      </c>
      <c r="D1403" s="4">
        <v>5.6142500000000001E-15</v>
      </c>
      <c r="E1403" s="4">
        <v>4.7409199999999997E-15</v>
      </c>
      <c r="F1403" s="4">
        <v>3.7428300000000001E-15</v>
      </c>
      <c r="I1403" s="5">
        <v>8.7332699999999998E-16</v>
      </c>
      <c r="U1403" s="5">
        <v>1.24761E-16</v>
      </c>
    </row>
    <row r="1404" spans="3:21" x14ac:dyDescent="0.25">
      <c r="C1404" s="4">
        <v>1.7466500000000001E-15</v>
      </c>
      <c r="D1404" s="4">
        <v>5.48949E-15</v>
      </c>
      <c r="E1404" s="4">
        <v>4.7409199999999997E-15</v>
      </c>
      <c r="F1404" s="4">
        <v>3.61807E-15</v>
      </c>
      <c r="I1404" s="5">
        <v>8.7332699999999998E-16</v>
      </c>
      <c r="U1404" s="5">
        <v>1.24761E-16</v>
      </c>
    </row>
    <row r="1405" spans="3:21" x14ac:dyDescent="0.25">
      <c r="C1405" s="4">
        <v>1.7466500000000001E-15</v>
      </c>
      <c r="D1405" s="4">
        <v>5.48949E-15</v>
      </c>
      <c r="E1405" s="4">
        <v>4.7409199999999997E-15</v>
      </c>
      <c r="F1405" s="4">
        <v>3.61807E-15</v>
      </c>
      <c r="I1405" s="5">
        <v>8.7332699999999998E-16</v>
      </c>
      <c r="U1405" s="5">
        <v>1.24761E-16</v>
      </c>
    </row>
    <row r="1406" spans="3:21" x14ac:dyDescent="0.25">
      <c r="C1406" s="4">
        <v>1.7466500000000001E-15</v>
      </c>
      <c r="D1406" s="4">
        <v>5.48949E-15</v>
      </c>
      <c r="E1406" s="4">
        <v>4.7409199999999997E-15</v>
      </c>
      <c r="F1406" s="4">
        <v>3.3685499999999999E-15</v>
      </c>
      <c r="I1406" s="5">
        <v>8.7332699999999998E-16</v>
      </c>
      <c r="U1406" s="5">
        <v>1.24761E-16</v>
      </c>
    </row>
    <row r="1407" spans="3:21" x14ac:dyDescent="0.25">
      <c r="C1407" s="4">
        <v>1.7466500000000001E-15</v>
      </c>
      <c r="D1407" s="4">
        <v>5.3647200000000001E-15</v>
      </c>
      <c r="E1407" s="4">
        <v>4.7409199999999997E-15</v>
      </c>
      <c r="F1407" s="4">
        <v>3.3685499999999999E-15</v>
      </c>
      <c r="I1407" s="5">
        <v>8.7332699999999998E-16</v>
      </c>
      <c r="U1407" s="5">
        <v>1.24761E-16</v>
      </c>
    </row>
    <row r="1408" spans="3:21" x14ac:dyDescent="0.25">
      <c r="C1408" s="4">
        <v>1.7466500000000001E-15</v>
      </c>
      <c r="D1408" s="4">
        <v>5.3647200000000001E-15</v>
      </c>
      <c r="E1408" s="4">
        <v>4.6161599999999997E-15</v>
      </c>
      <c r="F1408" s="4">
        <v>3.3685499999999999E-15</v>
      </c>
      <c r="I1408" s="5">
        <v>8.7332699999999998E-16</v>
      </c>
      <c r="U1408" s="5">
        <v>1.24761E-16</v>
      </c>
    </row>
    <row r="1409" spans="3:21" x14ac:dyDescent="0.25">
      <c r="C1409" s="4">
        <v>1.7466500000000001E-15</v>
      </c>
      <c r="D1409" s="4">
        <v>5.3647200000000001E-15</v>
      </c>
      <c r="E1409" s="4">
        <v>4.4914000000000004E-15</v>
      </c>
      <c r="F1409" s="4">
        <v>3.3685499999999999E-15</v>
      </c>
      <c r="I1409" s="5">
        <v>8.7332699999999998E-16</v>
      </c>
      <c r="U1409" s="5">
        <v>1.24761E-16</v>
      </c>
    </row>
    <row r="1410" spans="3:21" x14ac:dyDescent="0.25">
      <c r="C1410" s="4">
        <v>1.7466500000000001E-15</v>
      </c>
      <c r="D1410" s="4">
        <v>5.3647200000000001E-15</v>
      </c>
      <c r="E1410" s="4">
        <v>4.4914000000000004E-15</v>
      </c>
      <c r="F1410" s="4">
        <v>3.3685499999999999E-15</v>
      </c>
      <c r="I1410" s="5">
        <v>8.7332699999999998E-16</v>
      </c>
      <c r="U1410" s="5">
        <v>1.24761E-16</v>
      </c>
    </row>
    <row r="1411" spans="3:21" x14ac:dyDescent="0.25">
      <c r="C1411" s="4">
        <v>1.7466500000000001E-15</v>
      </c>
      <c r="D1411" s="4">
        <v>5.3647200000000001E-15</v>
      </c>
      <c r="E1411" s="4">
        <v>4.4914000000000004E-15</v>
      </c>
      <c r="F1411" s="4">
        <v>3.2437900000000002E-15</v>
      </c>
      <c r="I1411" s="5">
        <v>7.4856599999999998E-16</v>
      </c>
      <c r="U1411" s="5">
        <v>1.24761E-16</v>
      </c>
    </row>
    <row r="1412" spans="3:21" x14ac:dyDescent="0.25">
      <c r="C1412" s="4">
        <v>1.62189E-15</v>
      </c>
      <c r="D1412" s="4">
        <v>5.3647200000000001E-15</v>
      </c>
      <c r="E1412" s="4">
        <v>4.4914000000000004E-15</v>
      </c>
      <c r="F1412" s="4">
        <v>3.2437900000000002E-15</v>
      </c>
      <c r="I1412" s="5">
        <v>7.4856599999999998E-16</v>
      </c>
      <c r="U1412" s="5">
        <v>1.24761E-16</v>
      </c>
    </row>
    <row r="1413" spans="3:21" x14ac:dyDescent="0.25">
      <c r="C1413" s="4">
        <v>1.62189E-15</v>
      </c>
      <c r="D1413" s="4">
        <v>5.2399600000000001E-15</v>
      </c>
      <c r="E1413" s="4">
        <v>4.3666400000000003E-15</v>
      </c>
      <c r="F1413" s="4">
        <v>3.1190300000000001E-15</v>
      </c>
      <c r="I1413" s="5">
        <v>7.4856599999999998E-16</v>
      </c>
      <c r="U1413" s="5">
        <v>1.24761E-16</v>
      </c>
    </row>
    <row r="1414" spans="3:21" x14ac:dyDescent="0.25">
      <c r="C1414" s="4">
        <v>1.62189E-15</v>
      </c>
      <c r="D1414" s="4">
        <v>5.2399600000000001E-15</v>
      </c>
      <c r="E1414" s="4">
        <v>4.3666400000000003E-15</v>
      </c>
      <c r="F1414" s="4">
        <v>3.1190300000000001E-15</v>
      </c>
      <c r="I1414" s="5">
        <v>7.4856599999999998E-16</v>
      </c>
      <c r="U1414" s="5">
        <v>1.24761E-16</v>
      </c>
    </row>
    <row r="1415" spans="3:21" x14ac:dyDescent="0.25">
      <c r="C1415" s="4">
        <v>1.62189E-15</v>
      </c>
      <c r="D1415" s="4">
        <v>5.1152E-15</v>
      </c>
      <c r="E1415" s="4">
        <v>4.3666400000000003E-15</v>
      </c>
      <c r="F1415" s="4">
        <v>2.9942599999999999E-15</v>
      </c>
      <c r="I1415" s="5">
        <v>7.4856599999999998E-16</v>
      </c>
      <c r="U1415" s="5">
        <v>1.24761E-16</v>
      </c>
    </row>
    <row r="1416" spans="3:21" x14ac:dyDescent="0.25">
      <c r="C1416" s="4">
        <v>1.62189E-15</v>
      </c>
      <c r="D1416" s="4">
        <v>4.9904399999999999E-15</v>
      </c>
      <c r="E1416" s="4">
        <v>4.3666400000000003E-15</v>
      </c>
      <c r="F1416" s="4">
        <v>2.8695000000000002E-15</v>
      </c>
      <c r="I1416" s="5">
        <v>7.4856599999999998E-16</v>
      </c>
      <c r="U1416" s="5">
        <v>1.24761E-16</v>
      </c>
    </row>
    <row r="1417" spans="3:21" x14ac:dyDescent="0.25">
      <c r="C1417" s="4">
        <v>1.62189E-15</v>
      </c>
      <c r="D1417" s="4">
        <v>4.9904399999999999E-15</v>
      </c>
      <c r="E1417" s="4">
        <v>4.2418800000000002E-15</v>
      </c>
      <c r="F1417" s="4">
        <v>2.8695000000000002E-15</v>
      </c>
      <c r="I1417" s="5">
        <v>7.4856599999999998E-16</v>
      </c>
      <c r="U1417" s="5">
        <v>1.24761E-16</v>
      </c>
    </row>
    <row r="1418" spans="3:21" x14ac:dyDescent="0.25">
      <c r="C1418" s="4">
        <v>1.62189E-15</v>
      </c>
      <c r="D1418" s="4">
        <v>4.7409199999999997E-15</v>
      </c>
      <c r="E1418" s="4">
        <v>4.2418800000000002E-15</v>
      </c>
      <c r="F1418" s="4">
        <v>2.8695000000000002E-15</v>
      </c>
      <c r="I1418" s="5">
        <v>7.4856599999999998E-16</v>
      </c>
      <c r="U1418" s="5">
        <v>1.24761E-16</v>
      </c>
    </row>
    <row r="1419" spans="3:21" x14ac:dyDescent="0.25">
      <c r="C1419" s="4">
        <v>1.62189E-15</v>
      </c>
      <c r="D1419" s="4">
        <v>4.6161599999999997E-15</v>
      </c>
      <c r="E1419" s="4">
        <v>4.1171100000000004E-15</v>
      </c>
      <c r="F1419" s="4">
        <v>2.8695000000000002E-15</v>
      </c>
      <c r="I1419" s="5">
        <v>7.4856599999999998E-16</v>
      </c>
      <c r="U1419" s="5">
        <v>1.24761E-16</v>
      </c>
    </row>
    <row r="1420" spans="3:21" x14ac:dyDescent="0.25">
      <c r="C1420" s="4">
        <v>1.62189E-15</v>
      </c>
      <c r="D1420" s="4">
        <v>4.6161599999999997E-15</v>
      </c>
      <c r="E1420" s="4">
        <v>4.1171100000000004E-15</v>
      </c>
      <c r="F1420" s="4">
        <v>2.7447400000000001E-15</v>
      </c>
      <c r="I1420" s="5">
        <v>7.4856599999999998E-16</v>
      </c>
      <c r="U1420" s="5">
        <v>1.24761E-16</v>
      </c>
    </row>
    <row r="1421" spans="3:21" x14ac:dyDescent="0.25">
      <c r="C1421" s="4">
        <v>1.62189E-15</v>
      </c>
      <c r="D1421" s="4">
        <v>4.6161599999999997E-15</v>
      </c>
      <c r="E1421" s="4">
        <v>3.8675900000000002E-15</v>
      </c>
      <c r="F1421" s="4">
        <v>2.7447400000000001E-15</v>
      </c>
      <c r="I1421" s="5">
        <v>7.4856599999999998E-16</v>
      </c>
      <c r="U1421" s="5">
        <v>1.24761E-16</v>
      </c>
    </row>
    <row r="1422" spans="3:21" x14ac:dyDescent="0.25">
      <c r="C1422" s="4">
        <v>1.62189E-15</v>
      </c>
      <c r="D1422" s="4">
        <v>4.4914000000000004E-15</v>
      </c>
      <c r="E1422" s="4">
        <v>3.8675900000000002E-15</v>
      </c>
      <c r="F1422" s="4">
        <v>2.7447400000000001E-15</v>
      </c>
      <c r="I1422" s="5">
        <v>7.4856599999999998E-16</v>
      </c>
      <c r="U1422" s="5">
        <v>1.24761E-16</v>
      </c>
    </row>
    <row r="1423" spans="3:21" x14ac:dyDescent="0.25">
      <c r="C1423" s="4">
        <v>1.62189E-15</v>
      </c>
      <c r="D1423" s="4">
        <v>4.4914000000000004E-15</v>
      </c>
      <c r="E1423" s="4">
        <v>3.7428300000000001E-15</v>
      </c>
      <c r="F1423" s="4">
        <v>2.61998E-15</v>
      </c>
      <c r="I1423" s="5">
        <v>7.4856599999999998E-16</v>
      </c>
      <c r="U1423" s="5">
        <v>1.24761E-16</v>
      </c>
    </row>
    <row r="1424" spans="3:21" x14ac:dyDescent="0.25">
      <c r="C1424" s="4">
        <v>1.62189E-15</v>
      </c>
      <c r="D1424" s="4">
        <v>4.4914000000000004E-15</v>
      </c>
      <c r="E1424" s="4">
        <v>3.7428300000000001E-15</v>
      </c>
      <c r="F1424" s="4">
        <v>2.61998E-15</v>
      </c>
      <c r="I1424" s="5">
        <v>7.4856599999999998E-16</v>
      </c>
      <c r="U1424" s="5">
        <v>1.24761E-16</v>
      </c>
    </row>
    <row r="1425" spans="3:21" x14ac:dyDescent="0.25">
      <c r="C1425" s="4">
        <v>1.62189E-15</v>
      </c>
      <c r="D1425" s="4">
        <v>4.3666400000000003E-15</v>
      </c>
      <c r="E1425" s="4">
        <v>3.7428300000000001E-15</v>
      </c>
      <c r="F1425" s="4">
        <v>2.61998E-15</v>
      </c>
      <c r="I1425" s="5">
        <v>7.4856599999999998E-16</v>
      </c>
      <c r="U1425" s="5">
        <v>1.24761E-16</v>
      </c>
    </row>
    <row r="1426" spans="3:21" x14ac:dyDescent="0.25">
      <c r="C1426" s="4">
        <v>1.62189E-15</v>
      </c>
      <c r="D1426" s="4">
        <v>4.3666400000000003E-15</v>
      </c>
      <c r="E1426" s="4">
        <v>3.61807E-15</v>
      </c>
      <c r="F1426" s="4">
        <v>2.61998E-15</v>
      </c>
      <c r="I1426" s="5">
        <v>7.4856599999999998E-16</v>
      </c>
      <c r="U1426" s="5">
        <v>1.24761E-16</v>
      </c>
    </row>
    <row r="1427" spans="3:21" x14ac:dyDescent="0.25">
      <c r="C1427" s="4">
        <v>1.4971299999999999E-15</v>
      </c>
      <c r="D1427" s="4">
        <v>4.2418800000000002E-15</v>
      </c>
      <c r="E1427" s="4">
        <v>3.61807E-15</v>
      </c>
      <c r="F1427" s="4">
        <v>2.61998E-15</v>
      </c>
      <c r="I1427" s="5">
        <v>7.4856599999999998E-16</v>
      </c>
      <c r="U1427" s="5">
        <v>1.24761E-16</v>
      </c>
    </row>
    <row r="1428" spans="3:21" x14ac:dyDescent="0.25">
      <c r="C1428" s="4">
        <v>1.4971299999999999E-15</v>
      </c>
      <c r="D1428" s="4">
        <v>4.2418800000000002E-15</v>
      </c>
      <c r="E1428" s="4">
        <v>3.61807E-15</v>
      </c>
      <c r="F1428" s="4">
        <v>2.61998E-15</v>
      </c>
      <c r="I1428" s="5">
        <v>7.4856599999999998E-16</v>
      </c>
      <c r="U1428" s="5">
        <v>1.24761E-16</v>
      </c>
    </row>
    <row r="1429" spans="3:21" x14ac:dyDescent="0.25">
      <c r="C1429" s="4">
        <v>1.4971299999999999E-15</v>
      </c>
      <c r="D1429" s="4">
        <v>4.2418800000000002E-15</v>
      </c>
      <c r="E1429" s="4">
        <v>3.61807E-15</v>
      </c>
      <c r="F1429" s="4">
        <v>2.4952199999999999E-15</v>
      </c>
      <c r="I1429" s="5">
        <v>7.4856599999999998E-16</v>
      </c>
      <c r="U1429" s="5">
        <v>1.24761E-16</v>
      </c>
    </row>
    <row r="1430" spans="3:21" x14ac:dyDescent="0.25">
      <c r="C1430" s="4">
        <v>1.4971299999999999E-15</v>
      </c>
      <c r="D1430" s="4">
        <v>4.1171100000000004E-15</v>
      </c>
      <c r="E1430" s="4">
        <v>3.61807E-15</v>
      </c>
      <c r="F1430" s="4">
        <v>2.3704599999999999E-15</v>
      </c>
      <c r="I1430" s="5">
        <v>7.4856599999999998E-16</v>
      </c>
      <c r="U1430" s="5">
        <v>1.24761E-16</v>
      </c>
    </row>
    <row r="1431" spans="3:21" x14ac:dyDescent="0.25">
      <c r="C1431" s="4">
        <v>1.4971299999999999E-15</v>
      </c>
      <c r="D1431" s="4">
        <v>4.1171100000000004E-15</v>
      </c>
      <c r="E1431" s="4">
        <v>3.61807E-15</v>
      </c>
      <c r="F1431" s="4">
        <v>2.3704599999999999E-15</v>
      </c>
      <c r="I1431" s="5">
        <v>7.4856599999999998E-16</v>
      </c>
      <c r="U1431" s="5">
        <v>1.24761E-16</v>
      </c>
    </row>
    <row r="1432" spans="3:21" x14ac:dyDescent="0.25">
      <c r="C1432" s="4">
        <v>1.4971299999999999E-15</v>
      </c>
      <c r="D1432" s="4">
        <v>4.1171100000000004E-15</v>
      </c>
      <c r="E1432" s="4">
        <v>3.61807E-15</v>
      </c>
      <c r="F1432" s="4">
        <v>2.3704599999999999E-15</v>
      </c>
      <c r="I1432" s="5">
        <v>7.4856599999999998E-16</v>
      </c>
      <c r="U1432" s="5">
        <v>1.24761E-16</v>
      </c>
    </row>
    <row r="1433" spans="3:21" x14ac:dyDescent="0.25">
      <c r="C1433" s="4">
        <v>1.4971299999999999E-15</v>
      </c>
      <c r="D1433" s="4">
        <v>4.1171100000000004E-15</v>
      </c>
      <c r="E1433" s="4">
        <v>3.3685499999999999E-15</v>
      </c>
      <c r="F1433" s="4">
        <v>2.3704599999999999E-15</v>
      </c>
      <c r="I1433" s="5">
        <v>7.4856599999999998E-16</v>
      </c>
      <c r="U1433" s="5">
        <v>1.24761E-16</v>
      </c>
    </row>
    <row r="1434" spans="3:21" x14ac:dyDescent="0.25">
      <c r="C1434" s="4">
        <v>1.4971299999999999E-15</v>
      </c>
      <c r="D1434" s="4">
        <v>3.9923500000000003E-15</v>
      </c>
      <c r="E1434" s="4">
        <v>3.3685499999999999E-15</v>
      </c>
      <c r="F1434" s="4">
        <v>2.3704599999999999E-15</v>
      </c>
      <c r="I1434" s="5">
        <v>7.4856599999999998E-16</v>
      </c>
      <c r="U1434" s="5">
        <v>1.24761E-16</v>
      </c>
    </row>
    <row r="1435" spans="3:21" x14ac:dyDescent="0.25">
      <c r="C1435" s="4">
        <v>1.4971299999999999E-15</v>
      </c>
      <c r="D1435" s="4">
        <v>3.9923500000000003E-15</v>
      </c>
      <c r="E1435" s="4">
        <v>3.2437900000000002E-15</v>
      </c>
      <c r="F1435" s="4">
        <v>2.2457000000000002E-15</v>
      </c>
      <c r="I1435" s="5">
        <v>7.4856599999999998E-16</v>
      </c>
      <c r="U1435" s="5">
        <v>1.24761E-16</v>
      </c>
    </row>
    <row r="1436" spans="3:21" x14ac:dyDescent="0.25">
      <c r="C1436" s="4">
        <v>1.4971299999999999E-15</v>
      </c>
      <c r="D1436" s="4">
        <v>3.8675900000000002E-15</v>
      </c>
      <c r="E1436" s="4">
        <v>3.1190300000000001E-15</v>
      </c>
      <c r="F1436" s="4">
        <v>2.2457000000000002E-15</v>
      </c>
      <c r="I1436" s="5">
        <v>7.4856599999999998E-16</v>
      </c>
      <c r="U1436" s="5">
        <v>1.24761E-16</v>
      </c>
    </row>
    <row r="1437" spans="3:21" x14ac:dyDescent="0.25">
      <c r="C1437" s="4">
        <v>1.3723700000000001E-15</v>
      </c>
      <c r="D1437" s="4">
        <v>3.8675900000000002E-15</v>
      </c>
      <c r="E1437" s="4">
        <v>3.1190300000000001E-15</v>
      </c>
      <c r="F1437" s="4">
        <v>2.1209400000000001E-15</v>
      </c>
      <c r="I1437" s="5">
        <v>7.4856599999999998E-16</v>
      </c>
      <c r="U1437" s="5">
        <v>1.24761E-16</v>
      </c>
    </row>
    <row r="1438" spans="3:21" x14ac:dyDescent="0.25">
      <c r="C1438" s="4">
        <v>1.3723700000000001E-15</v>
      </c>
      <c r="D1438" s="4">
        <v>3.8675900000000002E-15</v>
      </c>
      <c r="E1438" s="4">
        <v>3.1190300000000001E-15</v>
      </c>
      <c r="F1438" s="4">
        <v>2.1209400000000001E-15</v>
      </c>
      <c r="I1438" s="5">
        <v>7.4856599999999998E-16</v>
      </c>
      <c r="U1438" s="5">
        <v>1.24761E-16</v>
      </c>
    </row>
    <row r="1439" spans="3:21" x14ac:dyDescent="0.25">
      <c r="C1439" s="4">
        <v>1.3723700000000001E-15</v>
      </c>
      <c r="D1439" s="4">
        <v>3.8675900000000002E-15</v>
      </c>
      <c r="E1439" s="4">
        <v>3.1190300000000001E-15</v>
      </c>
      <c r="F1439" s="4">
        <v>2.1209400000000001E-15</v>
      </c>
      <c r="I1439" s="5">
        <v>7.4856599999999998E-16</v>
      </c>
      <c r="U1439" s="5">
        <v>1.24761E-16</v>
      </c>
    </row>
    <row r="1440" spans="3:21" x14ac:dyDescent="0.25">
      <c r="C1440" s="4">
        <v>1.3723700000000001E-15</v>
      </c>
      <c r="D1440" s="4">
        <v>3.7428300000000001E-15</v>
      </c>
      <c r="E1440" s="4">
        <v>2.9942599999999999E-15</v>
      </c>
      <c r="F1440" s="4">
        <v>1.99618E-15</v>
      </c>
      <c r="I1440" s="5">
        <v>7.4856599999999998E-16</v>
      </c>
      <c r="U1440" s="5">
        <v>1.24761E-16</v>
      </c>
    </row>
    <row r="1441" spans="3:21" x14ac:dyDescent="0.25">
      <c r="C1441" s="4">
        <v>1.3723700000000001E-15</v>
      </c>
      <c r="D1441" s="4">
        <v>3.61807E-15</v>
      </c>
      <c r="E1441" s="4">
        <v>2.9942599999999999E-15</v>
      </c>
      <c r="F1441" s="4">
        <v>1.99618E-15</v>
      </c>
      <c r="I1441" s="5">
        <v>7.4856599999999998E-16</v>
      </c>
      <c r="U1441" s="5">
        <v>1.24761E-16</v>
      </c>
    </row>
    <row r="1442" spans="3:21" x14ac:dyDescent="0.25">
      <c r="C1442" s="4">
        <v>1.3723700000000001E-15</v>
      </c>
      <c r="D1442" s="4">
        <v>3.61807E-15</v>
      </c>
      <c r="E1442" s="4">
        <v>2.9942599999999999E-15</v>
      </c>
      <c r="F1442" s="4">
        <v>1.99618E-15</v>
      </c>
      <c r="I1442" s="5">
        <v>7.4856599999999998E-16</v>
      </c>
      <c r="U1442" s="5">
        <v>1.24761E-16</v>
      </c>
    </row>
    <row r="1443" spans="3:21" x14ac:dyDescent="0.25">
      <c r="C1443" s="4">
        <v>1.3723700000000001E-15</v>
      </c>
      <c r="D1443" s="4">
        <v>3.61807E-15</v>
      </c>
      <c r="E1443" s="4">
        <v>2.8695000000000002E-15</v>
      </c>
      <c r="F1443" s="4">
        <v>1.99618E-15</v>
      </c>
      <c r="I1443" s="5">
        <v>7.4856599999999998E-16</v>
      </c>
      <c r="U1443" s="5">
        <v>1.24761E-16</v>
      </c>
    </row>
    <row r="1444" spans="3:21" x14ac:dyDescent="0.25">
      <c r="C1444" s="4">
        <v>1.3723700000000001E-15</v>
      </c>
      <c r="D1444" s="4">
        <v>3.49331E-15</v>
      </c>
      <c r="E1444" s="4">
        <v>2.8695000000000002E-15</v>
      </c>
      <c r="F1444" s="4">
        <v>1.8714199999999999E-15</v>
      </c>
      <c r="I1444" s="5">
        <v>7.4856599999999998E-16</v>
      </c>
      <c r="U1444" s="5">
        <v>1.24761E-16</v>
      </c>
    </row>
    <row r="1445" spans="3:21" x14ac:dyDescent="0.25">
      <c r="C1445" s="4">
        <v>1.3723700000000001E-15</v>
      </c>
      <c r="D1445" s="4">
        <v>3.49331E-15</v>
      </c>
      <c r="E1445" s="4">
        <v>2.7447400000000001E-15</v>
      </c>
      <c r="F1445" s="4">
        <v>1.8714199999999999E-15</v>
      </c>
      <c r="I1445" s="5">
        <v>7.4856599999999998E-16</v>
      </c>
      <c r="U1445" s="5">
        <v>1.24761E-16</v>
      </c>
    </row>
    <row r="1446" spans="3:21" x14ac:dyDescent="0.25">
      <c r="C1446" s="4">
        <v>1.3723700000000001E-15</v>
      </c>
      <c r="D1446" s="4">
        <v>3.49331E-15</v>
      </c>
      <c r="E1446" s="4">
        <v>2.7447400000000001E-15</v>
      </c>
      <c r="F1446" s="4">
        <v>1.8714199999999999E-15</v>
      </c>
      <c r="I1446" s="5">
        <v>7.4856599999999998E-16</v>
      </c>
      <c r="U1446" s="5">
        <v>1.24761E-16</v>
      </c>
    </row>
    <row r="1447" spans="3:21" x14ac:dyDescent="0.25">
      <c r="C1447" s="4">
        <v>1.3723700000000001E-15</v>
      </c>
      <c r="D1447" s="4">
        <v>3.49331E-15</v>
      </c>
      <c r="E1447" s="4">
        <v>2.61998E-15</v>
      </c>
      <c r="F1447" s="4">
        <v>1.8714199999999999E-15</v>
      </c>
      <c r="I1447" s="5">
        <v>7.4856599999999998E-16</v>
      </c>
      <c r="U1447" s="5">
        <v>1.24761E-16</v>
      </c>
    </row>
    <row r="1448" spans="3:21" x14ac:dyDescent="0.25">
      <c r="C1448" s="4">
        <v>1.3723700000000001E-15</v>
      </c>
      <c r="D1448" s="4">
        <v>3.3685499999999999E-15</v>
      </c>
      <c r="E1448" s="4">
        <v>2.61998E-15</v>
      </c>
      <c r="F1448" s="4">
        <v>1.7466500000000001E-15</v>
      </c>
      <c r="I1448" s="5">
        <v>7.4856599999999998E-16</v>
      </c>
      <c r="U1448" s="5">
        <v>1.24761E-16</v>
      </c>
    </row>
    <row r="1449" spans="3:21" x14ac:dyDescent="0.25">
      <c r="C1449" s="4">
        <v>1.3723700000000001E-15</v>
      </c>
      <c r="D1449" s="4">
        <v>3.3685499999999999E-15</v>
      </c>
      <c r="E1449" s="4">
        <v>2.61998E-15</v>
      </c>
      <c r="F1449" s="4">
        <v>1.7466500000000001E-15</v>
      </c>
      <c r="I1449" s="5">
        <v>7.4856599999999998E-16</v>
      </c>
      <c r="U1449" s="5">
        <v>1.24761E-16</v>
      </c>
    </row>
    <row r="1450" spans="3:21" x14ac:dyDescent="0.25">
      <c r="C1450" s="4">
        <v>1.3723700000000001E-15</v>
      </c>
      <c r="D1450" s="4">
        <v>3.2437900000000002E-15</v>
      </c>
      <c r="E1450" s="4">
        <v>2.61998E-15</v>
      </c>
      <c r="F1450" s="4">
        <v>1.7466500000000001E-15</v>
      </c>
      <c r="I1450" s="5">
        <v>7.4856599999999998E-16</v>
      </c>
      <c r="U1450" s="5">
        <v>1.24761E-16</v>
      </c>
    </row>
    <row r="1451" spans="3:21" x14ac:dyDescent="0.25">
      <c r="C1451" s="4">
        <v>1.3723700000000001E-15</v>
      </c>
      <c r="D1451" s="4">
        <v>3.2437900000000002E-15</v>
      </c>
      <c r="E1451" s="4">
        <v>2.4952199999999999E-15</v>
      </c>
      <c r="F1451" s="4">
        <v>1.7466500000000001E-15</v>
      </c>
      <c r="I1451" s="5">
        <v>7.4856599999999998E-16</v>
      </c>
      <c r="U1451" s="5">
        <v>1.24761E-16</v>
      </c>
    </row>
    <row r="1452" spans="3:21" x14ac:dyDescent="0.25">
      <c r="C1452" s="4">
        <v>1.3723700000000001E-15</v>
      </c>
      <c r="D1452" s="4">
        <v>3.2437900000000002E-15</v>
      </c>
      <c r="E1452" s="4">
        <v>2.4952199999999999E-15</v>
      </c>
      <c r="F1452" s="4">
        <v>1.7466500000000001E-15</v>
      </c>
      <c r="I1452" s="5">
        <v>7.4856599999999998E-16</v>
      </c>
      <c r="U1452" s="5">
        <v>1.24761E-16</v>
      </c>
    </row>
    <row r="1453" spans="3:21" x14ac:dyDescent="0.25">
      <c r="C1453" s="4">
        <v>1.3723700000000001E-15</v>
      </c>
      <c r="D1453" s="4">
        <v>3.2437900000000002E-15</v>
      </c>
      <c r="E1453" s="4">
        <v>2.4952199999999999E-15</v>
      </c>
      <c r="F1453" s="4">
        <v>1.7466500000000001E-15</v>
      </c>
      <c r="I1453" s="5">
        <v>7.4856599999999998E-16</v>
      </c>
      <c r="U1453" s="5">
        <v>1.24761E-16</v>
      </c>
    </row>
    <row r="1454" spans="3:21" x14ac:dyDescent="0.25">
      <c r="C1454" s="4">
        <v>1.3723700000000001E-15</v>
      </c>
      <c r="D1454" s="4">
        <v>3.1190300000000001E-15</v>
      </c>
      <c r="E1454" s="4">
        <v>2.3704599999999999E-15</v>
      </c>
      <c r="F1454" s="4">
        <v>1.62189E-15</v>
      </c>
      <c r="I1454" s="5">
        <v>7.4856599999999998E-16</v>
      </c>
      <c r="U1454" s="5">
        <v>1.24761E-16</v>
      </c>
    </row>
    <row r="1455" spans="3:21" x14ac:dyDescent="0.25">
      <c r="C1455" s="4">
        <v>1.3723700000000001E-15</v>
      </c>
      <c r="D1455" s="4">
        <v>3.1190300000000001E-15</v>
      </c>
      <c r="E1455" s="4">
        <v>2.3704599999999999E-15</v>
      </c>
      <c r="F1455" s="4">
        <v>1.62189E-15</v>
      </c>
      <c r="I1455" s="5">
        <v>7.4856599999999998E-16</v>
      </c>
      <c r="U1455" s="5">
        <v>1.24761E-16</v>
      </c>
    </row>
    <row r="1456" spans="3:21" x14ac:dyDescent="0.25">
      <c r="C1456" s="4">
        <v>1.3723700000000001E-15</v>
      </c>
      <c r="D1456" s="4">
        <v>2.8695000000000002E-15</v>
      </c>
      <c r="E1456" s="4">
        <v>2.3704599999999999E-15</v>
      </c>
      <c r="F1456" s="4">
        <v>1.62189E-15</v>
      </c>
      <c r="I1456" s="5">
        <v>7.4856599999999998E-16</v>
      </c>
      <c r="U1456" s="5">
        <v>1.24761E-16</v>
      </c>
    </row>
    <row r="1457" spans="3:21" x14ac:dyDescent="0.25">
      <c r="C1457" s="4">
        <v>1.3723700000000001E-15</v>
      </c>
      <c r="D1457" s="4">
        <v>2.8695000000000002E-15</v>
      </c>
      <c r="E1457" s="4">
        <v>2.3704599999999999E-15</v>
      </c>
      <c r="F1457" s="4">
        <v>1.62189E-15</v>
      </c>
      <c r="I1457" s="5">
        <v>7.4856599999999998E-16</v>
      </c>
      <c r="U1457" s="5">
        <v>1.24761E-16</v>
      </c>
    </row>
    <row r="1458" spans="3:21" x14ac:dyDescent="0.25">
      <c r="C1458" s="4">
        <v>1.3723700000000001E-15</v>
      </c>
      <c r="D1458" s="4">
        <v>2.8695000000000002E-15</v>
      </c>
      <c r="E1458" s="4">
        <v>2.2457000000000002E-15</v>
      </c>
      <c r="F1458" s="4">
        <v>1.62189E-15</v>
      </c>
      <c r="I1458" s="5">
        <v>7.4856599999999998E-16</v>
      </c>
      <c r="U1458" s="5">
        <v>1.24761E-16</v>
      </c>
    </row>
    <row r="1459" spans="3:21" x14ac:dyDescent="0.25">
      <c r="C1459" s="4">
        <v>1.3723700000000001E-15</v>
      </c>
      <c r="D1459" s="4">
        <v>2.8695000000000002E-15</v>
      </c>
      <c r="E1459" s="4">
        <v>2.2457000000000002E-15</v>
      </c>
      <c r="F1459" s="4">
        <v>1.62189E-15</v>
      </c>
      <c r="I1459" s="5">
        <v>7.4856599999999998E-16</v>
      </c>
      <c r="U1459" s="5">
        <v>1.24761E-16</v>
      </c>
    </row>
    <row r="1460" spans="3:21" x14ac:dyDescent="0.25">
      <c r="C1460" s="4">
        <v>1.3723700000000001E-15</v>
      </c>
      <c r="D1460" s="4">
        <v>2.7447400000000001E-15</v>
      </c>
      <c r="E1460" s="4">
        <v>2.2457000000000002E-15</v>
      </c>
      <c r="F1460" s="4">
        <v>1.62189E-15</v>
      </c>
      <c r="I1460" s="5">
        <v>7.4856599999999998E-16</v>
      </c>
      <c r="U1460" s="5">
        <v>1.24761E-16</v>
      </c>
    </row>
    <row r="1461" spans="3:21" x14ac:dyDescent="0.25">
      <c r="C1461" s="4">
        <v>1.3723700000000001E-15</v>
      </c>
      <c r="D1461" s="4">
        <v>2.7447400000000001E-15</v>
      </c>
      <c r="E1461" s="4">
        <v>2.2457000000000002E-15</v>
      </c>
      <c r="F1461" s="4">
        <v>1.4971299999999999E-15</v>
      </c>
      <c r="I1461" s="5">
        <v>7.4856599999999998E-16</v>
      </c>
      <c r="U1461" s="5">
        <v>1.24761E-16</v>
      </c>
    </row>
    <row r="1462" spans="3:21" x14ac:dyDescent="0.25">
      <c r="C1462" s="4">
        <v>1.3723700000000001E-15</v>
      </c>
      <c r="D1462" s="4">
        <v>2.61998E-15</v>
      </c>
      <c r="E1462" s="4">
        <v>2.2457000000000002E-15</v>
      </c>
      <c r="F1462" s="4">
        <v>1.4971299999999999E-15</v>
      </c>
      <c r="I1462" s="5">
        <v>7.4856599999999998E-16</v>
      </c>
      <c r="U1462" s="5">
        <v>1.24761E-16</v>
      </c>
    </row>
    <row r="1463" spans="3:21" x14ac:dyDescent="0.25">
      <c r="C1463" s="4">
        <v>1.3723700000000001E-15</v>
      </c>
      <c r="D1463" s="4">
        <v>2.61998E-15</v>
      </c>
      <c r="E1463" s="4">
        <v>2.2457000000000002E-15</v>
      </c>
      <c r="F1463" s="4">
        <v>1.4971299999999999E-15</v>
      </c>
      <c r="I1463" s="5">
        <v>7.4856599999999998E-16</v>
      </c>
      <c r="U1463" s="5">
        <v>1.24761E-16</v>
      </c>
    </row>
    <row r="1464" spans="3:21" x14ac:dyDescent="0.25">
      <c r="C1464" s="4">
        <v>1.24761E-15</v>
      </c>
      <c r="D1464" s="4">
        <v>2.61998E-15</v>
      </c>
      <c r="E1464" s="4">
        <v>2.1209400000000001E-15</v>
      </c>
      <c r="F1464" s="4">
        <v>1.4971299999999999E-15</v>
      </c>
      <c r="I1464" s="5">
        <v>7.4856599999999998E-16</v>
      </c>
      <c r="U1464" s="5">
        <v>1.24761E-16</v>
      </c>
    </row>
    <row r="1465" spans="3:21" x14ac:dyDescent="0.25">
      <c r="C1465" s="4">
        <v>1.24761E-15</v>
      </c>
      <c r="D1465" s="4">
        <v>2.61998E-15</v>
      </c>
      <c r="E1465" s="4">
        <v>2.1209400000000001E-15</v>
      </c>
      <c r="F1465" s="4">
        <v>1.4971299999999999E-15</v>
      </c>
      <c r="I1465" s="5">
        <v>7.4856599999999998E-16</v>
      </c>
      <c r="U1465" s="5">
        <v>1.24761E-16</v>
      </c>
    </row>
    <row r="1466" spans="3:21" x14ac:dyDescent="0.25">
      <c r="C1466" s="4">
        <v>1.24761E-15</v>
      </c>
      <c r="D1466" s="4">
        <v>2.61998E-15</v>
      </c>
      <c r="E1466" s="4">
        <v>1.99618E-15</v>
      </c>
      <c r="F1466" s="4">
        <v>1.4971299999999999E-15</v>
      </c>
      <c r="I1466" s="5">
        <v>7.4856599999999998E-16</v>
      </c>
      <c r="U1466" s="5">
        <v>1.24761E-16</v>
      </c>
    </row>
    <row r="1467" spans="3:21" x14ac:dyDescent="0.25">
      <c r="C1467" s="4">
        <v>1.24761E-15</v>
      </c>
      <c r="D1467" s="4">
        <v>2.4952199999999999E-15</v>
      </c>
      <c r="E1467" s="4">
        <v>1.99618E-15</v>
      </c>
      <c r="F1467" s="4">
        <v>1.4971299999999999E-15</v>
      </c>
      <c r="I1467" s="5">
        <v>7.4856599999999998E-16</v>
      </c>
      <c r="U1467" s="5">
        <v>1.24761E-16</v>
      </c>
    </row>
    <row r="1468" spans="3:21" x14ac:dyDescent="0.25">
      <c r="C1468" s="4">
        <v>1.24761E-15</v>
      </c>
      <c r="D1468" s="4">
        <v>2.4952199999999999E-15</v>
      </c>
      <c r="E1468" s="4">
        <v>1.99618E-15</v>
      </c>
      <c r="F1468" s="4">
        <v>1.3723700000000001E-15</v>
      </c>
      <c r="I1468" s="5">
        <v>7.4856599999999998E-16</v>
      </c>
      <c r="U1468" s="5">
        <v>1.24761E-16</v>
      </c>
    </row>
    <row r="1469" spans="3:21" x14ac:dyDescent="0.25">
      <c r="C1469" s="4">
        <v>1.24761E-15</v>
      </c>
      <c r="D1469" s="4">
        <v>2.4952199999999999E-15</v>
      </c>
      <c r="E1469" s="4">
        <v>1.8714199999999999E-15</v>
      </c>
      <c r="F1469" s="4">
        <v>1.3723700000000001E-15</v>
      </c>
      <c r="I1469" s="5">
        <v>7.4856599999999998E-16</v>
      </c>
      <c r="U1469" s="5">
        <v>1.24761E-16</v>
      </c>
    </row>
    <row r="1470" spans="3:21" x14ac:dyDescent="0.25">
      <c r="C1470" s="4">
        <v>1.24761E-15</v>
      </c>
      <c r="D1470" s="4">
        <v>2.3704599999999999E-15</v>
      </c>
      <c r="E1470" s="4">
        <v>1.8714199999999999E-15</v>
      </c>
      <c r="F1470" s="4">
        <v>1.3723700000000001E-15</v>
      </c>
      <c r="I1470" s="5">
        <v>7.4856599999999998E-16</v>
      </c>
      <c r="U1470" s="5">
        <v>1.24761E-16</v>
      </c>
    </row>
    <row r="1471" spans="3:21" x14ac:dyDescent="0.25">
      <c r="C1471" s="4">
        <v>1.24761E-15</v>
      </c>
      <c r="D1471" s="4">
        <v>2.3704599999999999E-15</v>
      </c>
      <c r="E1471" s="4">
        <v>1.8714199999999999E-15</v>
      </c>
      <c r="F1471" s="4">
        <v>1.24761E-15</v>
      </c>
      <c r="I1471" s="5">
        <v>7.4856599999999998E-16</v>
      </c>
      <c r="U1471" s="5">
        <v>1.24761E-16</v>
      </c>
    </row>
    <row r="1472" spans="3:21" x14ac:dyDescent="0.25">
      <c r="C1472" s="4">
        <v>1.24761E-15</v>
      </c>
      <c r="D1472" s="4">
        <v>2.3704599999999999E-15</v>
      </c>
      <c r="E1472" s="4">
        <v>1.8714199999999999E-15</v>
      </c>
      <c r="F1472" s="4">
        <v>1.24761E-15</v>
      </c>
      <c r="I1472" s="5">
        <v>7.4856599999999998E-16</v>
      </c>
      <c r="U1472" s="5">
        <v>1.24761E-16</v>
      </c>
    </row>
    <row r="1473" spans="3:21" x14ac:dyDescent="0.25">
      <c r="C1473" s="4">
        <v>1.24761E-15</v>
      </c>
      <c r="D1473" s="4">
        <v>2.3704599999999999E-15</v>
      </c>
      <c r="E1473" s="4">
        <v>1.7466500000000001E-15</v>
      </c>
      <c r="F1473" s="4">
        <v>1.24761E-15</v>
      </c>
      <c r="I1473" s="5">
        <v>7.4856599999999998E-16</v>
      </c>
      <c r="U1473" s="5">
        <v>1.24761E-16</v>
      </c>
    </row>
    <row r="1474" spans="3:21" x14ac:dyDescent="0.25">
      <c r="C1474" s="4">
        <v>1.24761E-15</v>
      </c>
      <c r="D1474" s="4">
        <v>2.2457000000000002E-15</v>
      </c>
      <c r="E1474" s="4">
        <v>1.7466500000000001E-15</v>
      </c>
      <c r="F1474" s="4">
        <v>1.24761E-15</v>
      </c>
      <c r="I1474" s="5">
        <v>6.2380499999999999E-16</v>
      </c>
      <c r="U1474" s="5">
        <v>1.24761E-16</v>
      </c>
    </row>
    <row r="1475" spans="3:21" x14ac:dyDescent="0.25">
      <c r="C1475" s="4">
        <v>1.24761E-15</v>
      </c>
      <c r="D1475" s="4">
        <v>2.2457000000000002E-15</v>
      </c>
      <c r="E1475" s="4">
        <v>1.7466500000000001E-15</v>
      </c>
      <c r="F1475" s="4">
        <v>1.24761E-15</v>
      </c>
      <c r="I1475" s="5">
        <v>6.2380499999999999E-16</v>
      </c>
      <c r="U1475" s="5">
        <v>1.24761E-16</v>
      </c>
    </row>
    <row r="1476" spans="3:21" x14ac:dyDescent="0.25">
      <c r="C1476" s="4">
        <v>1.24761E-15</v>
      </c>
      <c r="D1476" s="4">
        <v>2.2457000000000002E-15</v>
      </c>
      <c r="E1476" s="4">
        <v>1.7466500000000001E-15</v>
      </c>
      <c r="F1476" s="4">
        <v>1.24761E-15</v>
      </c>
      <c r="I1476" s="5">
        <v>6.2380499999999999E-16</v>
      </c>
      <c r="U1476" s="5">
        <v>1.24761E-16</v>
      </c>
    </row>
    <row r="1477" spans="3:21" x14ac:dyDescent="0.25">
      <c r="C1477" s="4">
        <v>1.24761E-15</v>
      </c>
      <c r="D1477" s="4">
        <v>2.2457000000000002E-15</v>
      </c>
      <c r="E1477" s="4">
        <v>1.7466500000000001E-15</v>
      </c>
      <c r="F1477" s="4">
        <v>1.24761E-15</v>
      </c>
      <c r="I1477" s="5">
        <v>6.2380499999999999E-16</v>
      </c>
      <c r="U1477" s="5">
        <v>1.24761E-16</v>
      </c>
    </row>
    <row r="1478" spans="3:21" x14ac:dyDescent="0.25">
      <c r="C1478" s="4">
        <v>1.24761E-15</v>
      </c>
      <c r="D1478" s="4">
        <v>2.2457000000000002E-15</v>
      </c>
      <c r="E1478" s="4">
        <v>1.7466500000000001E-15</v>
      </c>
      <c r="F1478" s="4">
        <v>1.24761E-15</v>
      </c>
      <c r="I1478" s="5">
        <v>6.2380499999999999E-16</v>
      </c>
      <c r="U1478" s="5">
        <v>1.24761E-16</v>
      </c>
    </row>
    <row r="1479" spans="3:21" x14ac:dyDescent="0.25">
      <c r="C1479" s="4">
        <v>1.24761E-15</v>
      </c>
      <c r="D1479" s="4">
        <v>2.2457000000000002E-15</v>
      </c>
      <c r="E1479" s="4">
        <v>1.62189E-15</v>
      </c>
      <c r="F1479" s="4">
        <v>1.24761E-15</v>
      </c>
      <c r="I1479" s="5">
        <v>6.2380499999999999E-16</v>
      </c>
      <c r="U1479" s="5">
        <v>1.24761E-16</v>
      </c>
    </row>
    <row r="1480" spans="3:21" x14ac:dyDescent="0.25">
      <c r="C1480" s="4">
        <v>1.24761E-15</v>
      </c>
      <c r="D1480" s="4">
        <v>2.1209400000000001E-15</v>
      </c>
      <c r="E1480" s="4">
        <v>1.62189E-15</v>
      </c>
      <c r="F1480" s="4">
        <v>1.1228500000000001E-15</v>
      </c>
      <c r="I1480" s="5">
        <v>6.2380499999999999E-16</v>
      </c>
      <c r="U1480" s="5">
        <v>1.24761E-16</v>
      </c>
    </row>
    <row r="1481" spans="3:21" x14ac:dyDescent="0.25">
      <c r="C1481" s="4">
        <v>1.24761E-15</v>
      </c>
      <c r="D1481" s="4">
        <v>2.1209400000000001E-15</v>
      </c>
      <c r="E1481" s="4">
        <v>1.62189E-15</v>
      </c>
      <c r="F1481" s="4">
        <v>1.1228500000000001E-15</v>
      </c>
      <c r="I1481" s="5">
        <v>6.2380499999999999E-16</v>
      </c>
      <c r="U1481" s="5">
        <v>1.24761E-16</v>
      </c>
    </row>
    <row r="1482" spans="3:21" x14ac:dyDescent="0.25">
      <c r="C1482" s="4">
        <v>1.24761E-15</v>
      </c>
      <c r="D1482" s="4">
        <v>1.99618E-15</v>
      </c>
      <c r="E1482" s="4">
        <v>1.62189E-15</v>
      </c>
      <c r="F1482" s="4">
        <v>1.1228500000000001E-15</v>
      </c>
      <c r="I1482" s="5">
        <v>6.2380499999999999E-16</v>
      </c>
      <c r="U1482" s="5">
        <v>1.24761E-16</v>
      </c>
    </row>
    <row r="1483" spans="3:21" x14ac:dyDescent="0.25">
      <c r="C1483" s="4">
        <v>1.24761E-15</v>
      </c>
      <c r="D1483" s="4">
        <v>1.99618E-15</v>
      </c>
      <c r="E1483" s="4">
        <v>1.62189E-15</v>
      </c>
      <c r="F1483" s="4">
        <v>1.1228500000000001E-15</v>
      </c>
      <c r="I1483" s="5">
        <v>6.2380499999999999E-16</v>
      </c>
      <c r="U1483" s="5">
        <v>1.24761E-16</v>
      </c>
    </row>
    <row r="1484" spans="3:21" x14ac:dyDescent="0.25">
      <c r="C1484" s="4">
        <v>1.24761E-15</v>
      </c>
      <c r="D1484" s="4">
        <v>1.99618E-15</v>
      </c>
      <c r="E1484" s="4">
        <v>1.4971299999999999E-15</v>
      </c>
      <c r="F1484" s="4">
        <v>1.1228500000000001E-15</v>
      </c>
      <c r="I1484" s="5">
        <v>6.2380499999999999E-16</v>
      </c>
      <c r="U1484" s="5">
        <v>1.24761E-16</v>
      </c>
    </row>
    <row r="1485" spans="3:21" x14ac:dyDescent="0.25">
      <c r="C1485" s="4">
        <v>1.24761E-15</v>
      </c>
      <c r="D1485" s="4">
        <v>1.99618E-15</v>
      </c>
      <c r="E1485" s="4">
        <v>1.4971299999999999E-15</v>
      </c>
      <c r="F1485" s="4">
        <v>1.1228500000000001E-15</v>
      </c>
      <c r="I1485" s="5">
        <v>6.2380499999999999E-16</v>
      </c>
      <c r="U1485" s="5">
        <v>1.24761E-16</v>
      </c>
    </row>
    <row r="1486" spans="3:21" x14ac:dyDescent="0.25">
      <c r="C1486" s="4">
        <v>1.24761E-15</v>
      </c>
      <c r="D1486" s="4">
        <v>1.99618E-15</v>
      </c>
      <c r="E1486" s="4">
        <v>1.4971299999999999E-15</v>
      </c>
      <c r="F1486" s="4">
        <v>1.1228500000000001E-15</v>
      </c>
      <c r="I1486" s="5">
        <v>6.2380499999999999E-16</v>
      </c>
      <c r="U1486" s="5">
        <v>1.24761E-16</v>
      </c>
    </row>
    <row r="1487" spans="3:21" x14ac:dyDescent="0.25">
      <c r="C1487" s="4">
        <v>1.24761E-15</v>
      </c>
      <c r="D1487" s="4">
        <v>1.99618E-15</v>
      </c>
      <c r="E1487" s="4">
        <v>1.4971299999999999E-15</v>
      </c>
      <c r="F1487" s="4">
        <v>1.1228500000000001E-15</v>
      </c>
      <c r="I1487" s="5">
        <v>6.2380499999999999E-16</v>
      </c>
      <c r="U1487" s="5">
        <v>1.24761E-16</v>
      </c>
    </row>
    <row r="1488" spans="3:21" x14ac:dyDescent="0.25">
      <c r="C1488" s="4">
        <v>1.24761E-15</v>
      </c>
      <c r="D1488" s="4">
        <v>1.99618E-15</v>
      </c>
      <c r="E1488" s="4">
        <v>1.4971299999999999E-15</v>
      </c>
      <c r="F1488" s="4">
        <v>1.1228500000000001E-15</v>
      </c>
      <c r="I1488" s="5">
        <v>6.2380499999999999E-16</v>
      </c>
      <c r="U1488" s="5">
        <v>1.24761E-16</v>
      </c>
    </row>
    <row r="1489" spans="3:21" x14ac:dyDescent="0.25">
      <c r="C1489" s="4">
        <v>1.24761E-15</v>
      </c>
      <c r="D1489" s="4">
        <v>1.99618E-15</v>
      </c>
      <c r="E1489" s="4">
        <v>1.4971299999999999E-15</v>
      </c>
      <c r="F1489" s="4">
        <v>1.1228500000000001E-15</v>
      </c>
      <c r="I1489" s="5">
        <v>6.2380499999999999E-16</v>
      </c>
      <c r="U1489" s="5">
        <v>1.24761E-16</v>
      </c>
    </row>
    <row r="1490" spans="3:21" x14ac:dyDescent="0.25">
      <c r="C1490" s="4">
        <v>1.24761E-15</v>
      </c>
      <c r="D1490" s="4">
        <v>1.8714199999999999E-15</v>
      </c>
      <c r="E1490" s="4">
        <v>1.4971299999999999E-15</v>
      </c>
      <c r="F1490" s="4">
        <v>9.9808799999999998E-16</v>
      </c>
      <c r="I1490" s="5">
        <v>6.2380499999999999E-16</v>
      </c>
      <c r="U1490" s="5">
        <v>1.24761E-16</v>
      </c>
    </row>
    <row r="1491" spans="3:21" x14ac:dyDescent="0.25">
      <c r="C1491" s="4">
        <v>1.24761E-15</v>
      </c>
      <c r="D1491" s="4">
        <v>1.8714199999999999E-15</v>
      </c>
      <c r="E1491" s="4">
        <v>1.4971299999999999E-15</v>
      </c>
      <c r="F1491" s="4">
        <v>9.9808799999999998E-16</v>
      </c>
      <c r="I1491" s="5">
        <v>6.2380499999999999E-16</v>
      </c>
      <c r="U1491" s="5">
        <v>1.24761E-16</v>
      </c>
    </row>
    <row r="1492" spans="3:21" x14ac:dyDescent="0.25">
      <c r="C1492" s="4">
        <v>1.24761E-15</v>
      </c>
      <c r="D1492" s="4">
        <v>1.8714199999999999E-15</v>
      </c>
      <c r="E1492" s="4">
        <v>1.4971299999999999E-15</v>
      </c>
      <c r="F1492" s="4">
        <v>9.9808799999999998E-16</v>
      </c>
      <c r="I1492" s="5">
        <v>6.2380499999999999E-16</v>
      </c>
      <c r="U1492" s="5">
        <v>1.24761E-16</v>
      </c>
    </row>
    <row r="1493" spans="3:21" x14ac:dyDescent="0.25">
      <c r="C1493" s="4">
        <v>1.24761E-15</v>
      </c>
      <c r="D1493" s="4">
        <v>1.8714199999999999E-15</v>
      </c>
      <c r="E1493" s="4">
        <v>1.4971299999999999E-15</v>
      </c>
      <c r="F1493" s="4">
        <v>9.9808799999999998E-16</v>
      </c>
      <c r="I1493" s="5">
        <v>6.2380499999999999E-16</v>
      </c>
      <c r="U1493" s="5">
        <v>1.24761E-16</v>
      </c>
    </row>
    <row r="1494" spans="3:21" x14ac:dyDescent="0.25">
      <c r="C1494" s="4">
        <v>1.24761E-15</v>
      </c>
      <c r="D1494" s="4">
        <v>1.8714199999999999E-15</v>
      </c>
      <c r="E1494" s="4">
        <v>1.3723700000000001E-15</v>
      </c>
      <c r="F1494" s="4">
        <v>9.9808799999999998E-16</v>
      </c>
      <c r="I1494" s="5">
        <v>6.2380499999999999E-16</v>
      </c>
      <c r="U1494" s="5">
        <v>1.24761E-16</v>
      </c>
    </row>
    <row r="1495" spans="3:21" x14ac:dyDescent="0.25">
      <c r="C1495" s="4">
        <v>1.24761E-15</v>
      </c>
      <c r="D1495" s="4">
        <v>1.7466500000000001E-15</v>
      </c>
      <c r="E1495" s="4">
        <v>1.3723700000000001E-15</v>
      </c>
      <c r="F1495" s="4">
        <v>9.9808799999999998E-16</v>
      </c>
      <c r="I1495" s="5">
        <v>6.2380499999999999E-16</v>
      </c>
      <c r="U1495" s="5">
        <v>1.24761E-16</v>
      </c>
    </row>
    <row r="1496" spans="3:21" x14ac:dyDescent="0.25">
      <c r="C1496" s="4">
        <v>1.1228500000000001E-15</v>
      </c>
      <c r="D1496" s="4">
        <v>1.7466500000000001E-15</v>
      </c>
      <c r="E1496" s="4">
        <v>1.3723700000000001E-15</v>
      </c>
      <c r="F1496" s="4">
        <v>9.9808799999999998E-16</v>
      </c>
      <c r="I1496" s="5">
        <v>6.2380499999999999E-16</v>
      </c>
      <c r="U1496" s="5">
        <v>1.24761E-16</v>
      </c>
    </row>
    <row r="1497" spans="3:21" x14ac:dyDescent="0.25">
      <c r="C1497" s="4">
        <v>1.1228500000000001E-15</v>
      </c>
      <c r="D1497" s="4">
        <v>1.7466500000000001E-15</v>
      </c>
      <c r="E1497" s="4">
        <v>1.3723700000000001E-15</v>
      </c>
      <c r="F1497" s="4">
        <v>9.9808799999999998E-16</v>
      </c>
      <c r="I1497" s="5">
        <v>6.2380499999999999E-16</v>
      </c>
      <c r="U1497" s="5">
        <v>1.24761E-16</v>
      </c>
    </row>
    <row r="1498" spans="3:21" x14ac:dyDescent="0.25">
      <c r="C1498" s="4">
        <v>1.1228500000000001E-15</v>
      </c>
      <c r="D1498" s="4">
        <v>1.7466500000000001E-15</v>
      </c>
      <c r="E1498" s="4">
        <v>1.3723700000000001E-15</v>
      </c>
      <c r="F1498" s="4">
        <v>9.9808799999999998E-16</v>
      </c>
      <c r="I1498" s="5">
        <v>6.2380499999999999E-16</v>
      </c>
      <c r="U1498" s="5">
        <v>1.24761E-16</v>
      </c>
    </row>
    <row r="1499" spans="3:21" x14ac:dyDescent="0.25">
      <c r="C1499" s="4">
        <v>1.1228500000000001E-15</v>
      </c>
      <c r="D1499" s="4">
        <v>1.7466500000000001E-15</v>
      </c>
      <c r="E1499" s="4">
        <v>1.3723700000000001E-15</v>
      </c>
      <c r="F1499" s="4">
        <v>9.9808799999999998E-16</v>
      </c>
      <c r="I1499" s="5">
        <v>6.2380499999999999E-16</v>
      </c>
      <c r="U1499" s="5">
        <v>1.24761E-16</v>
      </c>
    </row>
    <row r="1500" spans="3:21" x14ac:dyDescent="0.25">
      <c r="C1500" s="4">
        <v>1.1228500000000001E-15</v>
      </c>
      <c r="D1500" s="4">
        <v>1.7466500000000001E-15</v>
      </c>
      <c r="E1500" s="4">
        <v>1.3723700000000001E-15</v>
      </c>
      <c r="F1500" s="4">
        <v>9.9808799999999998E-16</v>
      </c>
      <c r="I1500" s="5">
        <v>6.2380499999999999E-16</v>
      </c>
      <c r="U1500" s="5">
        <v>1.24761E-16</v>
      </c>
    </row>
    <row r="1501" spans="3:21" x14ac:dyDescent="0.25">
      <c r="C1501" s="4">
        <v>1.1228500000000001E-15</v>
      </c>
      <c r="D1501" s="4">
        <v>1.62189E-15</v>
      </c>
      <c r="E1501" s="4">
        <v>1.3723700000000001E-15</v>
      </c>
      <c r="F1501" s="4">
        <v>9.9808799999999998E-16</v>
      </c>
      <c r="I1501" s="5">
        <v>6.2380499999999999E-16</v>
      </c>
      <c r="U1501" s="5">
        <v>1.24761E-16</v>
      </c>
    </row>
    <row r="1502" spans="3:21" x14ac:dyDescent="0.25">
      <c r="C1502" s="4">
        <v>1.1228500000000001E-15</v>
      </c>
      <c r="D1502" s="4">
        <v>1.62189E-15</v>
      </c>
      <c r="E1502" s="4">
        <v>1.3723700000000001E-15</v>
      </c>
      <c r="F1502" s="4">
        <v>9.9808799999999998E-16</v>
      </c>
      <c r="I1502" s="5">
        <v>6.2380499999999999E-16</v>
      </c>
      <c r="U1502" s="5">
        <v>1.24761E-16</v>
      </c>
    </row>
    <row r="1503" spans="3:21" x14ac:dyDescent="0.25">
      <c r="C1503" s="4">
        <v>1.1228500000000001E-15</v>
      </c>
      <c r="D1503" s="4">
        <v>1.62189E-15</v>
      </c>
      <c r="E1503" s="4">
        <v>1.3723700000000001E-15</v>
      </c>
      <c r="F1503" s="4">
        <v>9.9808799999999998E-16</v>
      </c>
      <c r="I1503" s="5">
        <v>6.2380499999999999E-16</v>
      </c>
      <c r="U1503" s="5">
        <v>1.24761E-16</v>
      </c>
    </row>
    <row r="1504" spans="3:21" x14ac:dyDescent="0.25">
      <c r="C1504" s="4">
        <v>1.1228500000000001E-15</v>
      </c>
      <c r="D1504" s="4">
        <v>1.62189E-15</v>
      </c>
      <c r="E1504" s="4">
        <v>1.24761E-15</v>
      </c>
      <c r="F1504" s="4">
        <v>9.9808799999999998E-16</v>
      </c>
      <c r="I1504" s="5">
        <v>6.2380499999999999E-16</v>
      </c>
      <c r="U1504" s="5">
        <v>1.24761E-16</v>
      </c>
    </row>
    <row r="1505" spans="3:21" x14ac:dyDescent="0.25">
      <c r="C1505" s="4">
        <v>1.1228500000000001E-15</v>
      </c>
      <c r="D1505" s="4">
        <v>1.4971299999999999E-15</v>
      </c>
      <c r="E1505" s="4">
        <v>1.24761E-15</v>
      </c>
      <c r="F1505" s="4">
        <v>9.9808799999999998E-16</v>
      </c>
      <c r="I1505" s="5">
        <v>6.2380499999999999E-16</v>
      </c>
      <c r="U1505" s="5">
        <v>1.24761E-16</v>
      </c>
    </row>
    <row r="1506" spans="3:21" x14ac:dyDescent="0.25">
      <c r="C1506" s="4">
        <v>1.1228500000000001E-15</v>
      </c>
      <c r="D1506" s="4">
        <v>1.4971299999999999E-15</v>
      </c>
      <c r="E1506" s="4">
        <v>1.24761E-15</v>
      </c>
      <c r="F1506" s="4">
        <v>9.9808799999999998E-16</v>
      </c>
      <c r="I1506" s="5">
        <v>6.2380499999999999E-16</v>
      </c>
      <c r="U1506" s="5">
        <v>1.24761E-16</v>
      </c>
    </row>
    <row r="1507" spans="3:21" x14ac:dyDescent="0.25">
      <c r="C1507" s="4">
        <v>1.1228500000000001E-15</v>
      </c>
      <c r="D1507" s="4">
        <v>1.4971299999999999E-15</v>
      </c>
      <c r="E1507" s="4">
        <v>1.24761E-15</v>
      </c>
      <c r="F1507" s="4">
        <v>8.7332699999999998E-16</v>
      </c>
      <c r="I1507" s="5">
        <v>6.2380499999999999E-16</v>
      </c>
      <c r="U1507" s="5">
        <v>1.24761E-16</v>
      </c>
    </row>
    <row r="1508" spans="3:21" x14ac:dyDescent="0.25">
      <c r="C1508" s="4">
        <v>1.1228500000000001E-15</v>
      </c>
      <c r="D1508" s="4">
        <v>1.4971299999999999E-15</v>
      </c>
      <c r="E1508" s="4">
        <v>1.24761E-15</v>
      </c>
      <c r="F1508" s="4">
        <v>8.7332699999999998E-16</v>
      </c>
      <c r="I1508" s="5">
        <v>6.2380499999999999E-16</v>
      </c>
      <c r="U1508" s="5">
        <v>1.24761E-16</v>
      </c>
    </row>
    <row r="1509" spans="3:21" x14ac:dyDescent="0.25">
      <c r="C1509" s="4">
        <v>1.1228500000000001E-15</v>
      </c>
      <c r="D1509" s="4">
        <v>1.4971299999999999E-15</v>
      </c>
      <c r="E1509" s="4">
        <v>1.24761E-15</v>
      </c>
      <c r="F1509" s="4">
        <v>8.7332699999999998E-16</v>
      </c>
      <c r="I1509" s="5">
        <v>6.2380499999999999E-16</v>
      </c>
      <c r="U1509" s="5">
        <v>1.24761E-16</v>
      </c>
    </row>
    <row r="1510" spans="3:21" x14ac:dyDescent="0.25">
      <c r="C1510" s="4">
        <v>1.1228500000000001E-15</v>
      </c>
      <c r="D1510" s="4">
        <v>1.4971299999999999E-15</v>
      </c>
      <c r="E1510" s="4">
        <v>1.24761E-15</v>
      </c>
      <c r="F1510" s="4">
        <v>8.7332699999999998E-16</v>
      </c>
      <c r="I1510" s="5">
        <v>6.2380499999999999E-16</v>
      </c>
      <c r="U1510" s="5">
        <v>1.24761E-16</v>
      </c>
    </row>
    <row r="1511" spans="3:21" x14ac:dyDescent="0.25">
      <c r="C1511" s="4">
        <v>1.1228500000000001E-15</v>
      </c>
      <c r="D1511" s="4">
        <v>1.4971299999999999E-15</v>
      </c>
      <c r="E1511" s="4">
        <v>1.24761E-15</v>
      </c>
      <c r="F1511" s="4">
        <v>8.7332699999999998E-16</v>
      </c>
      <c r="I1511" s="5">
        <v>6.2380499999999999E-16</v>
      </c>
      <c r="U1511" s="5">
        <v>1.24761E-16</v>
      </c>
    </row>
    <row r="1512" spans="3:21" x14ac:dyDescent="0.25">
      <c r="C1512" s="4">
        <v>1.1228500000000001E-15</v>
      </c>
      <c r="D1512" s="4">
        <v>1.4971299999999999E-15</v>
      </c>
      <c r="E1512" s="4">
        <v>1.24761E-15</v>
      </c>
      <c r="F1512" s="4">
        <v>8.7332699999999998E-16</v>
      </c>
      <c r="I1512" s="5">
        <v>6.2380499999999999E-16</v>
      </c>
      <c r="U1512" s="5">
        <v>1.24761E-16</v>
      </c>
    </row>
    <row r="1513" spans="3:21" x14ac:dyDescent="0.25">
      <c r="C1513" s="4">
        <v>1.1228500000000001E-15</v>
      </c>
      <c r="D1513" s="4">
        <v>1.3723700000000001E-15</v>
      </c>
      <c r="E1513" s="4">
        <v>1.24761E-15</v>
      </c>
      <c r="F1513" s="4">
        <v>8.7332699999999998E-16</v>
      </c>
      <c r="I1513" s="5">
        <v>6.2380499999999999E-16</v>
      </c>
      <c r="U1513" s="5"/>
    </row>
    <row r="1514" spans="3:21" x14ac:dyDescent="0.25">
      <c r="C1514" s="4">
        <v>1.1228500000000001E-15</v>
      </c>
      <c r="D1514" s="4">
        <v>1.3723700000000001E-15</v>
      </c>
      <c r="E1514" s="4">
        <v>1.1228500000000001E-15</v>
      </c>
      <c r="F1514" s="4">
        <v>8.7332699999999998E-16</v>
      </c>
      <c r="I1514" s="5">
        <v>6.2380499999999999E-16</v>
      </c>
      <c r="U1514" s="5"/>
    </row>
    <row r="1515" spans="3:21" x14ac:dyDescent="0.25">
      <c r="C1515" s="4">
        <v>1.1228500000000001E-15</v>
      </c>
      <c r="D1515" s="4">
        <v>1.3723700000000001E-15</v>
      </c>
      <c r="E1515" s="4">
        <v>1.1228500000000001E-15</v>
      </c>
      <c r="F1515" s="4">
        <v>8.7332699999999998E-16</v>
      </c>
      <c r="I1515" s="5">
        <v>6.2380499999999999E-16</v>
      </c>
      <c r="U1515" s="5"/>
    </row>
    <row r="1516" spans="3:21" x14ac:dyDescent="0.25">
      <c r="C1516" s="4">
        <v>1.1228500000000001E-15</v>
      </c>
      <c r="D1516" s="4">
        <v>1.3723700000000001E-15</v>
      </c>
      <c r="E1516" s="4">
        <v>1.1228500000000001E-15</v>
      </c>
      <c r="F1516" s="4">
        <v>8.7332699999999998E-16</v>
      </c>
      <c r="I1516" s="5">
        <v>6.2380499999999999E-16</v>
      </c>
      <c r="U1516" s="5"/>
    </row>
    <row r="1517" spans="3:21" x14ac:dyDescent="0.25">
      <c r="C1517" s="4">
        <v>1.1228500000000001E-15</v>
      </c>
      <c r="D1517" s="4">
        <v>1.3723700000000001E-15</v>
      </c>
      <c r="E1517" s="4">
        <v>1.1228500000000001E-15</v>
      </c>
      <c r="F1517" s="4">
        <v>8.7332699999999998E-16</v>
      </c>
      <c r="I1517" s="5">
        <v>6.2380499999999999E-16</v>
      </c>
      <c r="U1517" s="5"/>
    </row>
    <row r="1518" spans="3:21" x14ac:dyDescent="0.25">
      <c r="C1518" s="4">
        <v>1.1228500000000001E-15</v>
      </c>
      <c r="D1518" s="4">
        <v>1.3723700000000001E-15</v>
      </c>
      <c r="E1518" s="4">
        <v>1.1228500000000001E-15</v>
      </c>
      <c r="F1518" s="4">
        <v>8.7332699999999998E-16</v>
      </c>
      <c r="I1518" s="5">
        <v>6.2380499999999999E-16</v>
      </c>
      <c r="U1518" s="5"/>
    </row>
    <row r="1519" spans="3:21" x14ac:dyDescent="0.25">
      <c r="C1519" s="4">
        <v>1.1228500000000001E-15</v>
      </c>
      <c r="D1519" s="4">
        <v>1.3723700000000001E-15</v>
      </c>
      <c r="E1519" s="4">
        <v>1.1228500000000001E-15</v>
      </c>
      <c r="F1519" s="4">
        <v>8.7332699999999998E-16</v>
      </c>
      <c r="I1519" s="5">
        <v>6.2380499999999999E-16</v>
      </c>
      <c r="U1519" s="5"/>
    </row>
    <row r="1520" spans="3:21" x14ac:dyDescent="0.25">
      <c r="C1520" s="4">
        <v>1.1228500000000001E-15</v>
      </c>
      <c r="D1520" s="4">
        <v>1.3723700000000001E-15</v>
      </c>
      <c r="E1520" s="4">
        <v>1.1228500000000001E-15</v>
      </c>
      <c r="F1520" s="4">
        <v>8.7332699999999998E-16</v>
      </c>
      <c r="I1520" s="5">
        <v>6.2380499999999999E-16</v>
      </c>
      <c r="U1520" s="5"/>
    </row>
    <row r="1521" spans="3:21" x14ac:dyDescent="0.25">
      <c r="C1521" s="4">
        <v>9.9808799999999998E-16</v>
      </c>
      <c r="D1521" s="4">
        <v>1.3723700000000001E-15</v>
      </c>
      <c r="E1521" s="4">
        <v>1.1228500000000001E-15</v>
      </c>
      <c r="F1521" s="4">
        <v>8.7332699999999998E-16</v>
      </c>
      <c r="I1521" s="5">
        <v>6.2380499999999999E-16</v>
      </c>
      <c r="U1521" s="5"/>
    </row>
    <row r="1522" spans="3:21" x14ac:dyDescent="0.25">
      <c r="C1522" s="4">
        <v>9.9808799999999998E-16</v>
      </c>
      <c r="D1522" s="4">
        <v>1.3723700000000001E-15</v>
      </c>
      <c r="E1522" s="4">
        <v>1.1228500000000001E-15</v>
      </c>
      <c r="F1522" s="4">
        <v>8.7332699999999998E-16</v>
      </c>
      <c r="I1522" s="5">
        <v>6.2380499999999999E-16</v>
      </c>
      <c r="U1522" s="5"/>
    </row>
    <row r="1523" spans="3:21" x14ac:dyDescent="0.25">
      <c r="C1523" s="4">
        <v>9.9808799999999998E-16</v>
      </c>
      <c r="D1523" s="4">
        <v>1.3723700000000001E-15</v>
      </c>
      <c r="E1523" s="4">
        <v>1.1228500000000001E-15</v>
      </c>
      <c r="F1523" s="4">
        <v>8.7332699999999998E-16</v>
      </c>
      <c r="I1523" s="5">
        <v>6.2380499999999999E-16</v>
      </c>
      <c r="U1523" s="5"/>
    </row>
    <row r="1524" spans="3:21" x14ac:dyDescent="0.25">
      <c r="C1524" s="4">
        <v>9.9808799999999998E-16</v>
      </c>
      <c r="D1524" s="4">
        <v>1.3723700000000001E-15</v>
      </c>
      <c r="E1524" s="4">
        <v>9.9808799999999998E-16</v>
      </c>
      <c r="F1524" s="4">
        <v>8.7332699999999998E-16</v>
      </c>
      <c r="I1524" s="5">
        <v>6.2380499999999999E-16</v>
      </c>
      <c r="U1524" s="5"/>
    </row>
    <row r="1525" spans="3:21" x14ac:dyDescent="0.25">
      <c r="C1525" s="4">
        <v>9.9808799999999998E-16</v>
      </c>
      <c r="D1525" s="4">
        <v>1.3723700000000001E-15</v>
      </c>
      <c r="E1525" s="4">
        <v>9.9808799999999998E-16</v>
      </c>
      <c r="F1525" s="4">
        <v>8.7332699999999998E-16</v>
      </c>
      <c r="I1525" s="5">
        <v>6.2380499999999999E-16</v>
      </c>
      <c r="U1525" s="5"/>
    </row>
    <row r="1526" spans="3:21" x14ac:dyDescent="0.25">
      <c r="C1526" s="4">
        <v>9.9808799999999998E-16</v>
      </c>
      <c r="D1526" s="4">
        <v>1.3723700000000001E-15</v>
      </c>
      <c r="E1526" s="4">
        <v>9.9808799999999998E-16</v>
      </c>
      <c r="F1526" s="4">
        <v>8.7332699999999998E-16</v>
      </c>
      <c r="I1526" s="5">
        <v>6.2380499999999999E-16</v>
      </c>
      <c r="U1526" s="5"/>
    </row>
    <row r="1527" spans="3:21" x14ac:dyDescent="0.25">
      <c r="C1527" s="4">
        <v>9.9808799999999998E-16</v>
      </c>
      <c r="D1527" s="4">
        <v>1.24761E-15</v>
      </c>
      <c r="E1527" s="4">
        <v>9.9808799999999998E-16</v>
      </c>
      <c r="F1527" s="4">
        <v>8.7332699999999998E-16</v>
      </c>
      <c r="I1527" s="5">
        <v>6.2380499999999999E-16</v>
      </c>
      <c r="U1527" s="5"/>
    </row>
    <row r="1528" spans="3:21" x14ac:dyDescent="0.25">
      <c r="C1528" s="4">
        <v>9.9808799999999998E-16</v>
      </c>
      <c r="D1528" s="4">
        <v>1.24761E-15</v>
      </c>
      <c r="E1528" s="4">
        <v>9.9808799999999998E-16</v>
      </c>
      <c r="F1528" s="4">
        <v>8.7332699999999998E-16</v>
      </c>
      <c r="I1528" s="5">
        <v>6.2380499999999999E-16</v>
      </c>
      <c r="U1528" s="5"/>
    </row>
    <row r="1529" spans="3:21" x14ac:dyDescent="0.25">
      <c r="C1529" s="4">
        <v>9.9808799999999998E-16</v>
      </c>
      <c r="D1529" s="4">
        <v>1.24761E-15</v>
      </c>
      <c r="E1529" s="4">
        <v>9.9808799999999998E-16</v>
      </c>
      <c r="F1529" s="4">
        <v>7.4856599999999998E-16</v>
      </c>
      <c r="I1529" s="5">
        <v>6.2380499999999999E-16</v>
      </c>
      <c r="U1529" s="5"/>
    </row>
    <row r="1530" spans="3:21" x14ac:dyDescent="0.25">
      <c r="C1530" s="4">
        <v>9.9808799999999998E-16</v>
      </c>
      <c r="D1530" s="4">
        <v>1.24761E-15</v>
      </c>
      <c r="E1530" s="4">
        <v>9.9808799999999998E-16</v>
      </c>
      <c r="F1530" s="4">
        <v>7.4856599999999998E-16</v>
      </c>
      <c r="I1530" s="5">
        <v>6.2380499999999999E-16</v>
      </c>
      <c r="U1530" s="5"/>
    </row>
    <row r="1531" spans="3:21" x14ac:dyDescent="0.25">
      <c r="C1531" s="4">
        <v>9.9808799999999998E-16</v>
      </c>
      <c r="D1531" s="4">
        <v>1.1228500000000001E-15</v>
      </c>
      <c r="E1531" s="4">
        <v>9.9808799999999998E-16</v>
      </c>
      <c r="F1531" s="4">
        <v>7.4856599999999998E-16</v>
      </c>
      <c r="I1531" s="5">
        <v>6.2380499999999999E-16</v>
      </c>
      <c r="U1531" s="5"/>
    </row>
    <row r="1532" spans="3:21" x14ac:dyDescent="0.25">
      <c r="C1532" s="4">
        <v>9.9808799999999998E-16</v>
      </c>
      <c r="D1532" s="4">
        <v>1.1228500000000001E-15</v>
      </c>
      <c r="E1532" s="4">
        <v>9.9808799999999998E-16</v>
      </c>
      <c r="F1532" s="4">
        <v>7.4856599999999998E-16</v>
      </c>
      <c r="I1532" s="5">
        <v>6.2380499999999999E-16</v>
      </c>
      <c r="U1532" s="5"/>
    </row>
    <row r="1533" spans="3:21" x14ac:dyDescent="0.25">
      <c r="C1533" s="4">
        <v>9.9808799999999998E-16</v>
      </c>
      <c r="D1533" s="4">
        <v>1.1228500000000001E-15</v>
      </c>
      <c r="E1533" s="4">
        <v>9.9808799999999998E-16</v>
      </c>
      <c r="F1533" s="4">
        <v>7.4856599999999998E-16</v>
      </c>
      <c r="I1533" s="5">
        <v>6.2380499999999999E-16</v>
      </c>
      <c r="U1533" s="5"/>
    </row>
    <row r="1534" spans="3:21" x14ac:dyDescent="0.25">
      <c r="C1534" s="4">
        <v>9.9808799999999998E-16</v>
      </c>
      <c r="D1534" s="4">
        <v>1.1228500000000001E-15</v>
      </c>
      <c r="E1534" s="4">
        <v>9.9808799999999998E-16</v>
      </c>
      <c r="F1534" s="4">
        <v>7.4856599999999998E-16</v>
      </c>
      <c r="I1534" s="5">
        <v>6.2380499999999999E-16</v>
      </c>
      <c r="U1534" s="5"/>
    </row>
    <row r="1535" spans="3:21" x14ac:dyDescent="0.25">
      <c r="C1535" s="4">
        <v>9.9808799999999998E-16</v>
      </c>
      <c r="D1535" s="4">
        <v>1.1228500000000001E-15</v>
      </c>
      <c r="E1535" s="4">
        <v>9.9808799999999998E-16</v>
      </c>
      <c r="F1535" s="4">
        <v>7.4856599999999998E-16</v>
      </c>
      <c r="I1535" s="5">
        <v>6.2380499999999999E-16</v>
      </c>
      <c r="U1535" s="5"/>
    </row>
    <row r="1536" spans="3:21" x14ac:dyDescent="0.25">
      <c r="C1536" s="4">
        <v>9.9808799999999998E-16</v>
      </c>
      <c r="D1536" s="4">
        <v>1.1228500000000001E-15</v>
      </c>
      <c r="E1536" s="4">
        <v>9.9808799999999998E-16</v>
      </c>
      <c r="F1536" s="4">
        <v>7.4856599999999998E-16</v>
      </c>
      <c r="I1536" s="5">
        <v>6.2380499999999999E-16</v>
      </c>
      <c r="U1536" s="5"/>
    </row>
    <row r="1537" spans="3:21" x14ac:dyDescent="0.25">
      <c r="C1537" s="4">
        <v>9.9808799999999998E-16</v>
      </c>
      <c r="D1537" s="4">
        <v>1.1228500000000001E-15</v>
      </c>
      <c r="E1537" s="4">
        <v>9.9808799999999998E-16</v>
      </c>
      <c r="F1537" s="4">
        <v>7.4856599999999998E-16</v>
      </c>
      <c r="I1537" s="5">
        <v>6.2380499999999999E-16</v>
      </c>
      <c r="U1537" s="5"/>
    </row>
    <row r="1538" spans="3:21" x14ac:dyDescent="0.25">
      <c r="C1538" s="4">
        <v>9.9808799999999998E-16</v>
      </c>
      <c r="D1538" s="4">
        <v>1.1228500000000001E-15</v>
      </c>
      <c r="E1538" s="4">
        <v>9.9808799999999998E-16</v>
      </c>
      <c r="F1538" s="4">
        <v>7.4856599999999998E-16</v>
      </c>
      <c r="I1538" s="5">
        <v>6.2380499999999999E-16</v>
      </c>
      <c r="U1538" s="5"/>
    </row>
    <row r="1539" spans="3:21" x14ac:dyDescent="0.25">
      <c r="C1539" s="4">
        <v>9.9808799999999998E-16</v>
      </c>
      <c r="D1539" s="4">
        <v>1.1228500000000001E-15</v>
      </c>
      <c r="E1539" s="4">
        <v>9.9808799999999998E-16</v>
      </c>
      <c r="F1539" s="4">
        <v>7.4856599999999998E-16</v>
      </c>
      <c r="I1539" s="5">
        <v>6.2380499999999999E-16</v>
      </c>
      <c r="U1539" s="5"/>
    </row>
    <row r="1540" spans="3:21" x14ac:dyDescent="0.25">
      <c r="C1540" s="4">
        <v>9.9808799999999998E-16</v>
      </c>
      <c r="D1540" s="4">
        <v>1.1228500000000001E-15</v>
      </c>
      <c r="E1540" s="4">
        <v>9.9808799999999998E-16</v>
      </c>
      <c r="F1540" s="4">
        <v>7.4856599999999998E-16</v>
      </c>
      <c r="I1540" s="5">
        <v>6.2380499999999999E-16</v>
      </c>
      <c r="U1540" s="5"/>
    </row>
    <row r="1541" spans="3:21" x14ac:dyDescent="0.25">
      <c r="C1541" s="4">
        <v>9.9808799999999998E-16</v>
      </c>
      <c r="D1541" s="4">
        <v>1.1228500000000001E-15</v>
      </c>
      <c r="E1541" s="4">
        <v>9.9808799999999998E-16</v>
      </c>
      <c r="F1541" s="4">
        <v>7.4856599999999998E-16</v>
      </c>
      <c r="I1541" s="5">
        <v>6.2380499999999999E-16</v>
      </c>
      <c r="U1541" s="5"/>
    </row>
    <row r="1542" spans="3:21" x14ac:dyDescent="0.25">
      <c r="C1542" s="4">
        <v>9.9808799999999998E-16</v>
      </c>
      <c r="D1542" s="4">
        <v>1.1228500000000001E-15</v>
      </c>
      <c r="E1542" s="4">
        <v>9.9808799999999998E-16</v>
      </c>
      <c r="F1542" s="4">
        <v>7.4856599999999998E-16</v>
      </c>
      <c r="I1542" s="5">
        <v>6.2380499999999999E-16</v>
      </c>
      <c r="U1542" s="5"/>
    </row>
    <row r="1543" spans="3:21" x14ac:dyDescent="0.25">
      <c r="C1543" s="4">
        <v>9.9808799999999998E-16</v>
      </c>
      <c r="D1543" s="4">
        <v>1.1228500000000001E-15</v>
      </c>
      <c r="E1543" s="4">
        <v>9.9808799999999998E-16</v>
      </c>
      <c r="F1543" s="4">
        <v>7.4856599999999998E-16</v>
      </c>
      <c r="I1543" s="5">
        <v>6.2380499999999999E-16</v>
      </c>
      <c r="U1543" s="5"/>
    </row>
    <row r="1544" spans="3:21" x14ac:dyDescent="0.25">
      <c r="C1544" s="4">
        <v>9.9808799999999998E-16</v>
      </c>
      <c r="D1544" s="4">
        <v>9.9808799999999998E-16</v>
      </c>
      <c r="E1544" s="4">
        <v>9.9808799999999998E-16</v>
      </c>
      <c r="F1544" s="4">
        <v>7.4856599999999998E-16</v>
      </c>
      <c r="I1544" s="5">
        <v>4.9904399999999999E-16</v>
      </c>
      <c r="U1544" s="5"/>
    </row>
    <row r="1545" spans="3:21" x14ac:dyDescent="0.25">
      <c r="C1545" s="4">
        <v>9.9808799999999998E-16</v>
      </c>
      <c r="D1545" s="4">
        <v>9.9808799999999998E-16</v>
      </c>
      <c r="E1545" s="4">
        <v>9.9808799999999998E-16</v>
      </c>
      <c r="F1545" s="4">
        <v>6.2380499999999999E-16</v>
      </c>
      <c r="I1545" s="5">
        <v>4.9904399999999999E-16</v>
      </c>
      <c r="U1545" s="5"/>
    </row>
    <row r="1546" spans="3:21" x14ac:dyDescent="0.25">
      <c r="C1546" s="4">
        <v>9.9808799999999998E-16</v>
      </c>
      <c r="D1546" s="4">
        <v>9.9808799999999998E-16</v>
      </c>
      <c r="E1546" s="4">
        <v>9.9808799999999998E-16</v>
      </c>
      <c r="F1546" s="4">
        <v>6.2380499999999999E-16</v>
      </c>
      <c r="I1546" s="5">
        <v>4.9904399999999999E-16</v>
      </c>
      <c r="U1546" s="5"/>
    </row>
    <row r="1547" spans="3:21" x14ac:dyDescent="0.25">
      <c r="C1547" s="4">
        <v>9.9808799999999998E-16</v>
      </c>
      <c r="D1547" s="4">
        <v>9.9808799999999998E-16</v>
      </c>
      <c r="E1547" s="4">
        <v>9.9808799999999998E-16</v>
      </c>
      <c r="F1547" s="4">
        <v>6.2380499999999999E-16</v>
      </c>
      <c r="I1547" s="5">
        <v>4.9904399999999999E-16</v>
      </c>
      <c r="U1547" s="5"/>
    </row>
    <row r="1548" spans="3:21" x14ac:dyDescent="0.25">
      <c r="C1548" s="4">
        <v>9.9808799999999998E-16</v>
      </c>
      <c r="D1548" s="4">
        <v>9.9808799999999998E-16</v>
      </c>
      <c r="E1548" s="4">
        <v>9.9808799999999998E-16</v>
      </c>
      <c r="F1548" s="4">
        <v>6.2380499999999999E-16</v>
      </c>
      <c r="I1548" s="5">
        <v>4.9904399999999999E-16</v>
      </c>
      <c r="U1548" s="5"/>
    </row>
    <row r="1549" spans="3:21" x14ac:dyDescent="0.25">
      <c r="C1549" s="4">
        <v>9.9808799999999998E-16</v>
      </c>
      <c r="D1549" s="4">
        <v>9.9808799999999998E-16</v>
      </c>
      <c r="E1549" s="4">
        <v>8.7332699999999998E-16</v>
      </c>
      <c r="F1549" s="4">
        <v>6.2380499999999999E-16</v>
      </c>
      <c r="I1549" s="5">
        <v>4.9904399999999999E-16</v>
      </c>
      <c r="U1549" s="5"/>
    </row>
    <row r="1550" spans="3:21" x14ac:dyDescent="0.25">
      <c r="C1550" s="4">
        <v>9.9808799999999998E-16</v>
      </c>
      <c r="D1550" s="4">
        <v>9.9808799999999998E-16</v>
      </c>
      <c r="E1550" s="4">
        <v>8.7332699999999998E-16</v>
      </c>
      <c r="F1550" s="4">
        <v>6.2380499999999999E-16</v>
      </c>
      <c r="I1550" s="5">
        <v>4.9904399999999999E-16</v>
      </c>
      <c r="U1550" s="5"/>
    </row>
    <row r="1551" spans="3:21" x14ac:dyDescent="0.25">
      <c r="C1551" s="4">
        <v>9.9808799999999998E-16</v>
      </c>
      <c r="D1551" s="4">
        <v>9.9808799999999998E-16</v>
      </c>
      <c r="E1551" s="4">
        <v>8.7332699999999998E-16</v>
      </c>
      <c r="F1551" s="4">
        <v>6.2380499999999999E-16</v>
      </c>
      <c r="I1551" s="5">
        <v>4.9904399999999999E-16</v>
      </c>
      <c r="U1551" s="5"/>
    </row>
    <row r="1552" spans="3:21" x14ac:dyDescent="0.25">
      <c r="C1552" s="4">
        <v>9.9808799999999998E-16</v>
      </c>
      <c r="D1552" s="4">
        <v>9.9808799999999998E-16</v>
      </c>
      <c r="E1552" s="4">
        <v>8.7332699999999998E-16</v>
      </c>
      <c r="F1552" s="4">
        <v>6.2380499999999999E-16</v>
      </c>
      <c r="I1552" s="5">
        <v>4.9904399999999999E-16</v>
      </c>
      <c r="U1552" s="5"/>
    </row>
    <row r="1553" spans="3:21" x14ac:dyDescent="0.25">
      <c r="C1553" s="4">
        <v>9.9808799999999998E-16</v>
      </c>
      <c r="D1553" s="4">
        <v>8.7332699999999998E-16</v>
      </c>
      <c r="E1553" s="4">
        <v>8.7332699999999998E-16</v>
      </c>
      <c r="F1553" s="4">
        <v>6.2380499999999999E-16</v>
      </c>
      <c r="I1553" s="5">
        <v>4.9904399999999999E-16</v>
      </c>
      <c r="U1553" s="5"/>
    </row>
    <row r="1554" spans="3:21" x14ac:dyDescent="0.25">
      <c r="C1554" s="4">
        <v>9.9808799999999998E-16</v>
      </c>
      <c r="D1554" s="4">
        <v>8.7332699999999998E-16</v>
      </c>
      <c r="E1554" s="4">
        <v>8.7332699999999998E-16</v>
      </c>
      <c r="F1554" s="4">
        <v>6.2380499999999999E-16</v>
      </c>
      <c r="I1554" s="5">
        <v>4.9904399999999999E-16</v>
      </c>
      <c r="U1554" s="5"/>
    </row>
    <row r="1555" spans="3:21" x14ac:dyDescent="0.25">
      <c r="C1555" s="4">
        <v>9.9808799999999998E-16</v>
      </c>
      <c r="D1555" s="4">
        <v>8.7332699999999998E-16</v>
      </c>
      <c r="E1555" s="4">
        <v>8.7332699999999998E-16</v>
      </c>
      <c r="F1555" s="4">
        <v>6.2380499999999999E-16</v>
      </c>
      <c r="I1555" s="5">
        <v>4.9904399999999999E-16</v>
      </c>
      <c r="U1555" s="5"/>
    </row>
    <row r="1556" spans="3:21" x14ac:dyDescent="0.25">
      <c r="C1556" s="4">
        <v>9.9808799999999998E-16</v>
      </c>
      <c r="D1556" s="4">
        <v>8.7332699999999998E-16</v>
      </c>
      <c r="E1556" s="4">
        <v>8.7332699999999998E-16</v>
      </c>
      <c r="F1556" s="4">
        <v>6.2380499999999999E-16</v>
      </c>
      <c r="I1556" s="5">
        <v>4.9904399999999999E-16</v>
      </c>
      <c r="U1556" s="5"/>
    </row>
    <row r="1557" spans="3:21" x14ac:dyDescent="0.25">
      <c r="C1557" s="4">
        <v>9.9808799999999998E-16</v>
      </c>
      <c r="D1557" s="4">
        <v>8.7332699999999998E-16</v>
      </c>
      <c r="E1557" s="4">
        <v>8.7332699999999998E-16</v>
      </c>
      <c r="F1557" s="4">
        <v>6.2380499999999999E-16</v>
      </c>
      <c r="I1557" s="5">
        <v>4.9904399999999999E-16</v>
      </c>
      <c r="U1557" s="5"/>
    </row>
    <row r="1558" spans="3:21" x14ac:dyDescent="0.25">
      <c r="C1558" s="4">
        <v>9.9808799999999998E-16</v>
      </c>
      <c r="D1558" s="4">
        <v>8.7332699999999998E-16</v>
      </c>
      <c r="E1558" s="4">
        <v>8.7332699999999998E-16</v>
      </c>
      <c r="F1558" s="4">
        <v>6.2380499999999999E-16</v>
      </c>
      <c r="I1558" s="5">
        <v>4.9904399999999999E-16</v>
      </c>
      <c r="U1558" s="5"/>
    </row>
    <row r="1559" spans="3:21" x14ac:dyDescent="0.25">
      <c r="C1559" s="4">
        <v>8.7332699999999998E-16</v>
      </c>
      <c r="D1559" s="4">
        <v>8.7332699999999998E-16</v>
      </c>
      <c r="E1559" s="4">
        <v>8.7332699999999998E-16</v>
      </c>
      <c r="F1559" s="4">
        <v>6.2380499999999999E-16</v>
      </c>
      <c r="I1559" s="5">
        <v>4.9904399999999999E-16</v>
      </c>
      <c r="U1559" s="5"/>
    </row>
    <row r="1560" spans="3:21" x14ac:dyDescent="0.25">
      <c r="C1560" s="4">
        <v>8.7332699999999998E-16</v>
      </c>
      <c r="D1560" s="4">
        <v>8.7332699999999998E-16</v>
      </c>
      <c r="E1560" s="4">
        <v>8.7332699999999998E-16</v>
      </c>
      <c r="F1560" s="4">
        <v>6.2380499999999999E-16</v>
      </c>
      <c r="I1560" s="5">
        <v>4.9904399999999999E-16</v>
      </c>
      <c r="U1560" s="5"/>
    </row>
    <row r="1561" spans="3:21" x14ac:dyDescent="0.25">
      <c r="C1561" s="4">
        <v>8.7332699999999998E-16</v>
      </c>
      <c r="D1561" s="4">
        <v>8.7332699999999998E-16</v>
      </c>
      <c r="E1561" s="4">
        <v>8.7332699999999998E-16</v>
      </c>
      <c r="F1561" s="4">
        <v>6.2380499999999999E-16</v>
      </c>
      <c r="I1561" s="5">
        <v>4.9904399999999999E-16</v>
      </c>
      <c r="U1561" s="5"/>
    </row>
    <row r="1562" spans="3:21" x14ac:dyDescent="0.25">
      <c r="C1562" s="4">
        <v>8.7332699999999998E-16</v>
      </c>
      <c r="D1562" s="4">
        <v>8.7332699999999998E-16</v>
      </c>
      <c r="E1562" s="4">
        <v>8.7332699999999998E-16</v>
      </c>
      <c r="F1562" s="4">
        <v>6.2380499999999999E-16</v>
      </c>
      <c r="I1562" s="5">
        <v>4.9904399999999999E-16</v>
      </c>
      <c r="U1562" s="5"/>
    </row>
    <row r="1563" spans="3:21" x14ac:dyDescent="0.25">
      <c r="C1563" s="4">
        <v>8.7332699999999998E-16</v>
      </c>
      <c r="D1563" s="4">
        <v>8.7332699999999998E-16</v>
      </c>
      <c r="E1563" s="4">
        <v>8.7332699999999998E-16</v>
      </c>
      <c r="F1563" s="4">
        <v>4.9904399999999999E-16</v>
      </c>
      <c r="I1563" s="5">
        <v>4.9904399999999999E-16</v>
      </c>
      <c r="U1563" s="5"/>
    </row>
    <row r="1564" spans="3:21" x14ac:dyDescent="0.25">
      <c r="C1564" s="4">
        <v>8.7332699999999998E-16</v>
      </c>
      <c r="D1564" s="4">
        <v>8.7332699999999998E-16</v>
      </c>
      <c r="E1564" s="4">
        <v>8.7332699999999998E-16</v>
      </c>
      <c r="F1564" s="4">
        <v>4.9904399999999999E-16</v>
      </c>
      <c r="I1564" s="5">
        <v>4.9904399999999999E-16</v>
      </c>
      <c r="U1564" s="5"/>
    </row>
    <row r="1565" spans="3:21" x14ac:dyDescent="0.25">
      <c r="C1565" s="4">
        <v>8.7332699999999998E-16</v>
      </c>
      <c r="D1565" s="4">
        <v>8.7332699999999998E-16</v>
      </c>
      <c r="E1565" s="4">
        <v>8.7332699999999998E-16</v>
      </c>
      <c r="F1565" s="4">
        <v>4.9904399999999999E-16</v>
      </c>
      <c r="I1565" s="5">
        <v>4.9904399999999999E-16</v>
      </c>
      <c r="U1565" s="5"/>
    </row>
    <row r="1566" spans="3:21" x14ac:dyDescent="0.25">
      <c r="C1566" s="4">
        <v>8.7332699999999998E-16</v>
      </c>
      <c r="D1566" s="4">
        <v>8.7332699999999998E-16</v>
      </c>
      <c r="E1566" s="4">
        <v>8.7332699999999998E-16</v>
      </c>
      <c r="F1566" s="4">
        <v>4.9904399999999999E-16</v>
      </c>
      <c r="I1566" s="5">
        <v>4.9904399999999999E-16</v>
      </c>
      <c r="U1566" s="5"/>
    </row>
    <row r="1567" spans="3:21" x14ac:dyDescent="0.25">
      <c r="C1567" s="4">
        <v>8.7332699999999998E-16</v>
      </c>
      <c r="D1567" s="4">
        <v>8.7332699999999998E-16</v>
      </c>
      <c r="E1567" s="4">
        <v>8.7332699999999998E-16</v>
      </c>
      <c r="F1567" s="4">
        <v>4.9904399999999999E-16</v>
      </c>
      <c r="I1567" s="5">
        <v>4.9904399999999999E-16</v>
      </c>
      <c r="U1567" s="5"/>
    </row>
    <row r="1568" spans="3:21" x14ac:dyDescent="0.25">
      <c r="C1568" s="4">
        <v>8.7332699999999998E-16</v>
      </c>
      <c r="D1568" s="4">
        <v>8.7332699999999998E-16</v>
      </c>
      <c r="E1568" s="4">
        <v>8.7332699999999998E-16</v>
      </c>
      <c r="F1568" s="4">
        <v>4.9904399999999999E-16</v>
      </c>
      <c r="I1568" s="5">
        <v>4.9904399999999999E-16</v>
      </c>
      <c r="U1568" s="5"/>
    </row>
    <row r="1569" spans="3:21" x14ac:dyDescent="0.25">
      <c r="C1569" s="4">
        <v>8.7332699999999998E-16</v>
      </c>
      <c r="D1569" s="4">
        <v>7.4856599999999998E-16</v>
      </c>
      <c r="E1569" s="4">
        <v>8.7332699999999998E-16</v>
      </c>
      <c r="F1569" s="4">
        <v>4.9904399999999999E-16</v>
      </c>
      <c r="I1569" s="5">
        <v>4.9904399999999999E-16</v>
      </c>
      <c r="U1569" s="5"/>
    </row>
    <row r="1570" spans="3:21" x14ac:dyDescent="0.25">
      <c r="C1570" s="4">
        <v>8.7332699999999998E-16</v>
      </c>
      <c r="D1570" s="4">
        <v>7.4856599999999998E-16</v>
      </c>
      <c r="E1570" s="4">
        <v>8.7332699999999998E-16</v>
      </c>
      <c r="F1570" s="4">
        <v>4.9904399999999999E-16</v>
      </c>
      <c r="I1570" s="5">
        <v>4.9904399999999999E-16</v>
      </c>
      <c r="U1570" s="5"/>
    </row>
    <row r="1571" spans="3:21" x14ac:dyDescent="0.25">
      <c r="C1571" s="4">
        <v>8.7332699999999998E-16</v>
      </c>
      <c r="D1571" s="4">
        <v>7.4856599999999998E-16</v>
      </c>
      <c r="E1571" s="4">
        <v>8.7332699999999998E-16</v>
      </c>
      <c r="F1571" s="4">
        <v>4.9904399999999999E-16</v>
      </c>
      <c r="I1571" s="5">
        <v>4.9904399999999999E-16</v>
      </c>
      <c r="U1571" s="5"/>
    </row>
    <row r="1572" spans="3:21" x14ac:dyDescent="0.25">
      <c r="C1572" s="4">
        <v>8.7332699999999998E-16</v>
      </c>
      <c r="D1572" s="4">
        <v>7.4856599999999998E-16</v>
      </c>
      <c r="E1572" s="4">
        <v>7.4856599999999998E-16</v>
      </c>
      <c r="F1572" s="4">
        <v>4.9904399999999999E-16</v>
      </c>
      <c r="I1572" s="5">
        <v>4.9904399999999999E-16</v>
      </c>
      <c r="U1572" s="5"/>
    </row>
    <row r="1573" spans="3:21" x14ac:dyDescent="0.25">
      <c r="C1573" s="4">
        <v>8.7332699999999998E-16</v>
      </c>
      <c r="D1573" s="4">
        <v>7.4856599999999998E-16</v>
      </c>
      <c r="E1573" s="4">
        <v>7.4856599999999998E-16</v>
      </c>
      <c r="F1573" s="4">
        <v>4.9904399999999999E-16</v>
      </c>
      <c r="I1573" s="5">
        <v>4.9904399999999999E-16</v>
      </c>
      <c r="U1573" s="5"/>
    </row>
    <row r="1574" spans="3:21" x14ac:dyDescent="0.25">
      <c r="C1574" s="4">
        <v>8.7332699999999998E-16</v>
      </c>
      <c r="D1574" s="4">
        <v>7.4856599999999998E-16</v>
      </c>
      <c r="E1574" s="4">
        <v>7.4856599999999998E-16</v>
      </c>
      <c r="F1574" s="4">
        <v>4.9904399999999999E-16</v>
      </c>
      <c r="I1574" s="5">
        <v>4.9904399999999999E-16</v>
      </c>
      <c r="U1574" s="5"/>
    </row>
    <row r="1575" spans="3:21" x14ac:dyDescent="0.25">
      <c r="C1575" s="4">
        <v>8.7332699999999998E-16</v>
      </c>
      <c r="D1575" s="4">
        <v>7.4856599999999998E-16</v>
      </c>
      <c r="E1575" s="4">
        <v>7.4856599999999998E-16</v>
      </c>
      <c r="F1575" s="4">
        <v>4.9904399999999999E-16</v>
      </c>
      <c r="I1575" s="5">
        <v>4.9904399999999999E-16</v>
      </c>
      <c r="U1575" s="5"/>
    </row>
    <row r="1576" spans="3:21" x14ac:dyDescent="0.25">
      <c r="C1576" s="4">
        <v>8.7332699999999998E-16</v>
      </c>
      <c r="D1576" s="4">
        <v>7.4856599999999998E-16</v>
      </c>
      <c r="E1576" s="4">
        <v>7.4856599999999998E-16</v>
      </c>
      <c r="F1576" s="4">
        <v>4.9904399999999999E-16</v>
      </c>
      <c r="I1576" s="5">
        <v>4.9904399999999999E-16</v>
      </c>
      <c r="U1576" s="5"/>
    </row>
    <row r="1577" spans="3:21" x14ac:dyDescent="0.25">
      <c r="C1577" s="4">
        <v>8.7332699999999998E-16</v>
      </c>
      <c r="D1577" s="4">
        <v>7.4856599999999998E-16</v>
      </c>
      <c r="E1577" s="4">
        <v>7.4856599999999998E-16</v>
      </c>
      <c r="F1577" s="4">
        <v>4.9904399999999999E-16</v>
      </c>
      <c r="I1577" s="5">
        <v>4.9904399999999999E-16</v>
      </c>
      <c r="U1577" s="5"/>
    </row>
    <row r="1578" spans="3:21" x14ac:dyDescent="0.25">
      <c r="C1578" s="4">
        <v>8.7332699999999998E-16</v>
      </c>
      <c r="D1578" s="4">
        <v>7.4856599999999998E-16</v>
      </c>
      <c r="E1578" s="4">
        <v>7.4856599999999998E-16</v>
      </c>
      <c r="F1578" s="4">
        <v>4.9904399999999999E-16</v>
      </c>
      <c r="I1578" s="5">
        <v>4.9904399999999999E-16</v>
      </c>
      <c r="U1578" s="5"/>
    </row>
    <row r="1579" spans="3:21" x14ac:dyDescent="0.25">
      <c r="C1579" s="4">
        <v>8.7332699999999998E-16</v>
      </c>
      <c r="D1579" s="4">
        <v>7.4856599999999998E-16</v>
      </c>
      <c r="E1579" s="4">
        <v>7.4856599999999998E-16</v>
      </c>
      <c r="F1579" s="4">
        <v>4.9904399999999999E-16</v>
      </c>
      <c r="I1579" s="5">
        <v>4.9904399999999999E-16</v>
      </c>
      <c r="U1579" s="5"/>
    </row>
    <row r="1580" spans="3:21" x14ac:dyDescent="0.25">
      <c r="C1580" s="4">
        <v>8.7332699999999998E-16</v>
      </c>
      <c r="D1580" s="4">
        <v>7.4856599999999998E-16</v>
      </c>
      <c r="E1580" s="4">
        <v>7.4856599999999998E-16</v>
      </c>
      <c r="F1580" s="4">
        <v>4.9904399999999999E-16</v>
      </c>
      <c r="I1580" s="5">
        <v>4.9904399999999999E-16</v>
      </c>
      <c r="U1580" s="5"/>
    </row>
    <row r="1581" spans="3:21" x14ac:dyDescent="0.25">
      <c r="C1581" s="4">
        <v>8.7332699999999998E-16</v>
      </c>
      <c r="D1581" s="4">
        <v>7.4856599999999998E-16</v>
      </c>
      <c r="E1581" s="4">
        <v>7.4856599999999998E-16</v>
      </c>
      <c r="F1581" s="4">
        <v>4.9904399999999999E-16</v>
      </c>
      <c r="I1581" s="5">
        <v>4.9904399999999999E-16</v>
      </c>
      <c r="U1581" s="5"/>
    </row>
    <row r="1582" spans="3:21" x14ac:dyDescent="0.25">
      <c r="C1582" s="4">
        <v>8.7332699999999998E-16</v>
      </c>
      <c r="D1582" s="4">
        <v>7.4856599999999998E-16</v>
      </c>
      <c r="E1582" s="4">
        <v>7.4856599999999998E-16</v>
      </c>
      <c r="F1582" s="4">
        <v>4.9904399999999999E-16</v>
      </c>
      <c r="I1582" s="5">
        <v>4.9904399999999999E-16</v>
      </c>
      <c r="U1582" s="5"/>
    </row>
    <row r="1583" spans="3:21" x14ac:dyDescent="0.25">
      <c r="C1583" s="4">
        <v>8.7332699999999998E-16</v>
      </c>
      <c r="D1583" s="4">
        <v>7.4856599999999998E-16</v>
      </c>
      <c r="E1583" s="4">
        <v>7.4856599999999998E-16</v>
      </c>
      <c r="F1583" s="4">
        <v>4.9904399999999999E-16</v>
      </c>
      <c r="I1583" s="5">
        <v>4.9904399999999999E-16</v>
      </c>
      <c r="U1583" s="5"/>
    </row>
    <row r="1584" spans="3:21" x14ac:dyDescent="0.25">
      <c r="C1584" s="4">
        <v>8.7332699999999998E-16</v>
      </c>
      <c r="D1584" s="4">
        <v>7.4856599999999998E-16</v>
      </c>
      <c r="E1584" s="4">
        <v>7.4856599999999998E-16</v>
      </c>
      <c r="F1584" s="4">
        <v>4.9904399999999999E-16</v>
      </c>
      <c r="I1584" s="5">
        <v>4.9904399999999999E-16</v>
      </c>
      <c r="U1584" s="5"/>
    </row>
    <row r="1585" spans="3:21" x14ac:dyDescent="0.25">
      <c r="C1585" s="4">
        <v>8.7332699999999998E-16</v>
      </c>
      <c r="D1585" s="4">
        <v>7.4856599999999998E-16</v>
      </c>
      <c r="E1585" s="4">
        <v>7.4856599999999998E-16</v>
      </c>
      <c r="F1585" s="4">
        <v>4.9904399999999999E-16</v>
      </c>
      <c r="I1585" s="5">
        <v>4.9904399999999999E-16</v>
      </c>
      <c r="U1585" s="5"/>
    </row>
    <row r="1586" spans="3:21" x14ac:dyDescent="0.25">
      <c r="C1586" s="4">
        <v>8.7332699999999998E-16</v>
      </c>
      <c r="D1586" s="4">
        <v>7.4856599999999998E-16</v>
      </c>
      <c r="E1586" s="4">
        <v>7.4856599999999998E-16</v>
      </c>
      <c r="F1586" s="4">
        <v>4.9904399999999999E-16</v>
      </c>
      <c r="I1586" s="5">
        <v>4.9904399999999999E-16</v>
      </c>
      <c r="U1586" s="5"/>
    </row>
    <row r="1587" spans="3:21" x14ac:dyDescent="0.25">
      <c r="C1587" s="4">
        <v>8.7332699999999998E-16</v>
      </c>
      <c r="D1587" s="4">
        <v>7.4856599999999998E-16</v>
      </c>
      <c r="E1587" s="4">
        <v>7.4856599999999998E-16</v>
      </c>
      <c r="F1587" s="4">
        <v>4.9904399999999999E-16</v>
      </c>
      <c r="I1587" s="5">
        <v>4.9904399999999999E-16</v>
      </c>
      <c r="U1587" s="5"/>
    </row>
    <row r="1588" spans="3:21" x14ac:dyDescent="0.25">
      <c r="C1588" s="4">
        <v>8.7332699999999998E-16</v>
      </c>
      <c r="D1588" s="4">
        <v>7.4856599999999998E-16</v>
      </c>
      <c r="E1588" s="4">
        <v>7.4856599999999998E-16</v>
      </c>
      <c r="F1588" s="4">
        <v>4.9904399999999999E-16</v>
      </c>
      <c r="I1588" s="5">
        <v>4.9904399999999999E-16</v>
      </c>
      <c r="U1588" s="5"/>
    </row>
    <row r="1589" spans="3:21" x14ac:dyDescent="0.25">
      <c r="C1589" s="4">
        <v>8.7332699999999998E-16</v>
      </c>
      <c r="D1589" s="4">
        <v>7.4856599999999998E-16</v>
      </c>
      <c r="E1589" s="4">
        <v>7.4856599999999998E-16</v>
      </c>
      <c r="F1589" s="4">
        <v>4.9904399999999999E-16</v>
      </c>
      <c r="I1589" s="5">
        <v>4.9904399999999999E-16</v>
      </c>
      <c r="U1589" s="5"/>
    </row>
    <row r="1590" spans="3:21" x14ac:dyDescent="0.25">
      <c r="C1590" s="4">
        <v>8.7332699999999998E-16</v>
      </c>
      <c r="D1590" s="4">
        <v>7.4856599999999998E-16</v>
      </c>
      <c r="E1590" s="4">
        <v>7.4856599999999998E-16</v>
      </c>
      <c r="F1590" s="4">
        <v>4.9904399999999999E-16</v>
      </c>
      <c r="I1590" s="5">
        <v>4.9904399999999999E-16</v>
      </c>
      <c r="U1590" s="5"/>
    </row>
    <row r="1591" spans="3:21" x14ac:dyDescent="0.25">
      <c r="C1591" s="4">
        <v>8.7332699999999998E-16</v>
      </c>
      <c r="D1591" s="4">
        <v>7.4856599999999998E-16</v>
      </c>
      <c r="E1591" s="4">
        <v>7.4856599999999998E-16</v>
      </c>
      <c r="F1591" s="4">
        <v>4.9904399999999999E-16</v>
      </c>
      <c r="I1591" s="5">
        <v>4.9904399999999999E-16</v>
      </c>
      <c r="U1591" s="5"/>
    </row>
    <row r="1592" spans="3:21" x14ac:dyDescent="0.25">
      <c r="C1592" s="4">
        <v>8.7332699999999998E-16</v>
      </c>
      <c r="D1592" s="4">
        <v>7.4856599999999998E-16</v>
      </c>
      <c r="E1592" s="4">
        <v>7.4856599999999998E-16</v>
      </c>
      <c r="F1592" s="4">
        <v>4.9904399999999999E-16</v>
      </c>
      <c r="I1592" s="5">
        <v>4.9904399999999999E-16</v>
      </c>
      <c r="U1592" s="5"/>
    </row>
    <row r="1593" spans="3:21" x14ac:dyDescent="0.25">
      <c r="C1593" s="4">
        <v>8.7332699999999998E-16</v>
      </c>
      <c r="D1593" s="4">
        <v>6.2380499999999999E-16</v>
      </c>
      <c r="E1593" s="4">
        <v>7.4856599999999998E-16</v>
      </c>
      <c r="F1593" s="4">
        <v>4.9904399999999999E-16</v>
      </c>
      <c r="I1593" s="5">
        <v>4.9904399999999999E-16</v>
      </c>
      <c r="U1593" s="5"/>
    </row>
    <row r="1594" spans="3:21" x14ac:dyDescent="0.25">
      <c r="C1594" s="4">
        <v>8.7332699999999998E-16</v>
      </c>
      <c r="D1594" s="4">
        <v>6.2380499999999999E-16</v>
      </c>
      <c r="E1594" s="4">
        <v>7.4856599999999998E-16</v>
      </c>
      <c r="F1594" s="4">
        <v>4.9904399999999999E-16</v>
      </c>
      <c r="I1594" s="5">
        <v>4.9904399999999999E-16</v>
      </c>
      <c r="U1594" s="5"/>
    </row>
    <row r="1595" spans="3:21" x14ac:dyDescent="0.25">
      <c r="C1595" s="4">
        <v>8.7332699999999998E-16</v>
      </c>
      <c r="D1595" s="4">
        <v>6.2380499999999999E-16</v>
      </c>
      <c r="E1595" s="4">
        <v>7.4856599999999998E-16</v>
      </c>
      <c r="F1595" s="4">
        <v>4.9904399999999999E-16</v>
      </c>
      <c r="I1595" s="5">
        <v>4.9904399999999999E-16</v>
      </c>
      <c r="U1595" s="5"/>
    </row>
    <row r="1596" spans="3:21" x14ac:dyDescent="0.25">
      <c r="C1596" s="4">
        <v>8.7332699999999998E-16</v>
      </c>
      <c r="D1596" s="4">
        <v>6.2380499999999999E-16</v>
      </c>
      <c r="E1596" s="4">
        <v>7.4856599999999998E-16</v>
      </c>
      <c r="F1596" s="4">
        <v>4.9904399999999999E-16</v>
      </c>
      <c r="I1596" s="5">
        <v>4.9904399999999999E-16</v>
      </c>
      <c r="U1596" s="5"/>
    </row>
    <row r="1597" spans="3:21" x14ac:dyDescent="0.25">
      <c r="C1597" s="4">
        <v>8.7332699999999998E-16</v>
      </c>
      <c r="D1597" s="4">
        <v>6.2380499999999999E-16</v>
      </c>
      <c r="E1597" s="4">
        <v>7.4856599999999998E-16</v>
      </c>
      <c r="F1597" s="4">
        <v>4.9904399999999999E-16</v>
      </c>
      <c r="I1597" s="5">
        <v>4.9904399999999999E-16</v>
      </c>
      <c r="U1597" s="5"/>
    </row>
    <row r="1598" spans="3:21" x14ac:dyDescent="0.25">
      <c r="C1598" s="4">
        <v>8.7332699999999998E-16</v>
      </c>
      <c r="D1598" s="4">
        <v>6.2380499999999999E-16</v>
      </c>
      <c r="E1598" s="4">
        <v>7.4856599999999998E-16</v>
      </c>
      <c r="F1598" s="4">
        <v>4.9904399999999999E-16</v>
      </c>
      <c r="I1598" s="5">
        <v>4.9904399999999999E-16</v>
      </c>
      <c r="U1598" s="5"/>
    </row>
    <row r="1599" spans="3:21" x14ac:dyDescent="0.25">
      <c r="C1599" s="4">
        <v>7.4856599999999998E-16</v>
      </c>
      <c r="D1599" s="4">
        <v>6.2380499999999999E-16</v>
      </c>
      <c r="E1599" s="4">
        <v>7.4856599999999998E-16</v>
      </c>
      <c r="F1599" s="4">
        <v>4.9904399999999999E-16</v>
      </c>
      <c r="I1599" s="5">
        <v>4.9904399999999999E-16</v>
      </c>
      <c r="U1599" s="5"/>
    </row>
    <row r="1600" spans="3:21" x14ac:dyDescent="0.25">
      <c r="C1600" s="4">
        <v>7.4856599999999998E-16</v>
      </c>
      <c r="D1600" s="4">
        <v>6.2380499999999999E-16</v>
      </c>
      <c r="E1600" s="4">
        <v>7.4856599999999998E-16</v>
      </c>
      <c r="F1600" s="4">
        <v>4.9904399999999999E-16</v>
      </c>
      <c r="I1600" s="5">
        <v>4.9904399999999999E-16</v>
      </c>
      <c r="U1600" s="5"/>
    </row>
    <row r="1601" spans="3:21" x14ac:dyDescent="0.25">
      <c r="C1601" s="4">
        <v>7.4856599999999998E-16</v>
      </c>
      <c r="D1601" s="4">
        <v>6.2380499999999999E-16</v>
      </c>
      <c r="E1601" s="4">
        <v>7.4856599999999998E-16</v>
      </c>
      <c r="F1601" s="4">
        <v>3.7428299999999999E-16</v>
      </c>
      <c r="I1601" s="5">
        <v>4.9904399999999999E-16</v>
      </c>
      <c r="U1601" s="5"/>
    </row>
    <row r="1602" spans="3:21" x14ac:dyDescent="0.25">
      <c r="C1602" s="4">
        <v>7.4856599999999998E-16</v>
      </c>
      <c r="D1602" s="4">
        <v>6.2380499999999999E-16</v>
      </c>
      <c r="E1602" s="4">
        <v>7.4856599999999998E-16</v>
      </c>
      <c r="F1602" s="4">
        <v>3.7428299999999999E-16</v>
      </c>
      <c r="I1602" s="5">
        <v>4.9904399999999999E-16</v>
      </c>
      <c r="U1602" s="5"/>
    </row>
    <row r="1603" spans="3:21" x14ac:dyDescent="0.25">
      <c r="C1603" s="4">
        <v>7.4856599999999998E-16</v>
      </c>
      <c r="D1603" s="4">
        <v>6.2380499999999999E-16</v>
      </c>
      <c r="E1603" s="4">
        <v>6.2380499999999999E-16</v>
      </c>
      <c r="F1603" s="4">
        <v>3.7428299999999999E-16</v>
      </c>
      <c r="I1603" s="5">
        <v>4.9904399999999999E-16</v>
      </c>
      <c r="U1603" s="5"/>
    </row>
    <row r="1604" spans="3:21" x14ac:dyDescent="0.25">
      <c r="C1604" s="4">
        <v>7.4856599999999998E-16</v>
      </c>
      <c r="D1604" s="4">
        <v>6.2380499999999999E-16</v>
      </c>
      <c r="E1604" s="4">
        <v>6.2380499999999999E-16</v>
      </c>
      <c r="F1604" s="4">
        <v>3.7428299999999999E-16</v>
      </c>
      <c r="I1604" s="5">
        <v>4.9904399999999999E-16</v>
      </c>
      <c r="U1604" s="5"/>
    </row>
    <row r="1605" spans="3:21" x14ac:dyDescent="0.25">
      <c r="C1605" s="4">
        <v>7.4856599999999998E-16</v>
      </c>
      <c r="D1605" s="4">
        <v>6.2380499999999999E-16</v>
      </c>
      <c r="E1605" s="4">
        <v>6.2380499999999999E-16</v>
      </c>
      <c r="F1605" s="4">
        <v>3.7428299999999999E-16</v>
      </c>
      <c r="I1605" s="5">
        <v>4.9904399999999999E-16</v>
      </c>
      <c r="U1605" s="5"/>
    </row>
    <row r="1606" spans="3:21" x14ac:dyDescent="0.25">
      <c r="C1606" s="4">
        <v>7.4856599999999998E-16</v>
      </c>
      <c r="D1606" s="4">
        <v>6.2380499999999999E-16</v>
      </c>
      <c r="E1606" s="4">
        <v>6.2380499999999999E-16</v>
      </c>
      <c r="F1606" s="4">
        <v>3.7428299999999999E-16</v>
      </c>
      <c r="I1606" s="5">
        <v>4.9904399999999999E-16</v>
      </c>
      <c r="U1606" s="5"/>
    </row>
    <row r="1607" spans="3:21" x14ac:dyDescent="0.25">
      <c r="C1607" s="4">
        <v>7.4856599999999998E-16</v>
      </c>
      <c r="D1607" s="4">
        <v>6.2380499999999999E-16</v>
      </c>
      <c r="E1607" s="4">
        <v>6.2380499999999999E-16</v>
      </c>
      <c r="F1607" s="4">
        <v>3.7428299999999999E-16</v>
      </c>
      <c r="I1607" s="5">
        <v>4.9904399999999999E-16</v>
      </c>
      <c r="U1607" s="5"/>
    </row>
    <row r="1608" spans="3:21" x14ac:dyDescent="0.25">
      <c r="C1608" s="4">
        <v>7.4856599999999998E-16</v>
      </c>
      <c r="D1608" s="4">
        <v>6.2380499999999999E-16</v>
      </c>
      <c r="E1608" s="4">
        <v>6.2380499999999999E-16</v>
      </c>
      <c r="F1608" s="4">
        <v>3.7428299999999999E-16</v>
      </c>
      <c r="I1608" s="5">
        <v>4.9904399999999999E-16</v>
      </c>
      <c r="U1608" s="5"/>
    </row>
    <row r="1609" spans="3:21" x14ac:dyDescent="0.25">
      <c r="C1609" s="4">
        <v>7.4856599999999998E-16</v>
      </c>
      <c r="D1609" s="4">
        <v>6.2380499999999999E-16</v>
      </c>
      <c r="E1609" s="4">
        <v>6.2380499999999999E-16</v>
      </c>
      <c r="F1609" s="4">
        <v>3.7428299999999999E-16</v>
      </c>
      <c r="I1609" s="5">
        <v>4.9904399999999999E-16</v>
      </c>
      <c r="U1609" s="5"/>
    </row>
    <row r="1610" spans="3:21" x14ac:dyDescent="0.25">
      <c r="C1610" s="4">
        <v>7.4856599999999998E-16</v>
      </c>
      <c r="D1610" s="4">
        <v>6.2380499999999999E-16</v>
      </c>
      <c r="E1610" s="4">
        <v>6.2380499999999999E-16</v>
      </c>
      <c r="F1610" s="4">
        <v>3.7428299999999999E-16</v>
      </c>
      <c r="I1610" s="5">
        <v>4.9904399999999999E-16</v>
      </c>
      <c r="U1610" s="5"/>
    </row>
    <row r="1611" spans="3:21" x14ac:dyDescent="0.25">
      <c r="C1611" s="4">
        <v>7.4856599999999998E-16</v>
      </c>
      <c r="D1611" s="4">
        <v>6.2380499999999999E-16</v>
      </c>
      <c r="E1611" s="4">
        <v>6.2380499999999999E-16</v>
      </c>
      <c r="F1611" s="4">
        <v>3.7428299999999999E-16</v>
      </c>
      <c r="I1611" s="5">
        <v>4.9904399999999999E-16</v>
      </c>
      <c r="U1611" s="5"/>
    </row>
    <row r="1612" spans="3:21" x14ac:dyDescent="0.25">
      <c r="C1612" s="4">
        <v>7.4856599999999998E-16</v>
      </c>
      <c r="D1612" s="4">
        <v>6.2380499999999999E-16</v>
      </c>
      <c r="E1612" s="4">
        <v>6.2380499999999999E-16</v>
      </c>
      <c r="F1612" s="4">
        <v>3.7428299999999999E-16</v>
      </c>
      <c r="I1612" s="5">
        <v>4.9904399999999999E-16</v>
      </c>
      <c r="U1612" s="5"/>
    </row>
    <row r="1613" spans="3:21" x14ac:dyDescent="0.25">
      <c r="C1613" s="4">
        <v>7.4856599999999998E-16</v>
      </c>
      <c r="D1613" s="4">
        <v>6.2380499999999999E-16</v>
      </c>
      <c r="E1613" s="4">
        <v>6.2380499999999999E-16</v>
      </c>
      <c r="F1613" s="4">
        <v>3.7428299999999999E-16</v>
      </c>
      <c r="I1613" s="5">
        <v>4.9904399999999999E-16</v>
      </c>
      <c r="U1613" s="5"/>
    </row>
    <row r="1614" spans="3:21" x14ac:dyDescent="0.25">
      <c r="C1614" s="4">
        <v>7.4856599999999998E-16</v>
      </c>
      <c r="D1614" s="4">
        <v>6.2380499999999999E-16</v>
      </c>
      <c r="E1614" s="4">
        <v>6.2380499999999999E-16</v>
      </c>
      <c r="F1614" s="4">
        <v>3.7428299999999999E-16</v>
      </c>
      <c r="I1614" s="5">
        <v>4.9904399999999999E-16</v>
      </c>
      <c r="U1614" s="5"/>
    </row>
    <row r="1615" spans="3:21" x14ac:dyDescent="0.25">
      <c r="C1615" s="4">
        <v>7.4856599999999998E-16</v>
      </c>
      <c r="D1615" s="4">
        <v>6.2380499999999999E-16</v>
      </c>
      <c r="E1615" s="4">
        <v>6.2380499999999999E-16</v>
      </c>
      <c r="F1615" s="4">
        <v>3.7428299999999999E-16</v>
      </c>
      <c r="I1615" s="5">
        <v>4.9904399999999999E-16</v>
      </c>
      <c r="U1615" s="5"/>
    </row>
    <row r="1616" spans="3:21" x14ac:dyDescent="0.25">
      <c r="C1616" s="4">
        <v>7.4856599999999998E-16</v>
      </c>
      <c r="D1616" s="4">
        <v>6.2380499999999999E-16</v>
      </c>
      <c r="E1616" s="4">
        <v>6.2380499999999999E-16</v>
      </c>
      <c r="F1616" s="4">
        <v>3.7428299999999999E-16</v>
      </c>
      <c r="I1616" s="5">
        <v>4.9904399999999999E-16</v>
      </c>
      <c r="U1616" s="5"/>
    </row>
    <row r="1617" spans="3:21" x14ac:dyDescent="0.25">
      <c r="C1617" s="4">
        <v>7.4856599999999998E-16</v>
      </c>
      <c r="D1617" s="4">
        <v>6.2380499999999999E-16</v>
      </c>
      <c r="E1617" s="4">
        <v>6.2380499999999999E-16</v>
      </c>
      <c r="F1617" s="4">
        <v>3.7428299999999999E-16</v>
      </c>
      <c r="I1617" s="5">
        <v>4.9904399999999999E-16</v>
      </c>
      <c r="U1617" s="5"/>
    </row>
    <row r="1618" spans="3:21" x14ac:dyDescent="0.25">
      <c r="C1618" s="4">
        <v>7.4856599999999998E-16</v>
      </c>
      <c r="D1618" s="4">
        <v>6.2380499999999999E-16</v>
      </c>
      <c r="E1618" s="4">
        <v>6.2380499999999999E-16</v>
      </c>
      <c r="F1618" s="4">
        <v>3.7428299999999999E-16</v>
      </c>
      <c r="I1618" s="5">
        <v>4.9904399999999999E-16</v>
      </c>
      <c r="U1618" s="5"/>
    </row>
    <row r="1619" spans="3:21" x14ac:dyDescent="0.25">
      <c r="C1619" s="4">
        <v>7.4856599999999998E-16</v>
      </c>
      <c r="D1619" s="4">
        <v>6.2380499999999999E-16</v>
      </c>
      <c r="E1619" s="4">
        <v>6.2380499999999999E-16</v>
      </c>
      <c r="F1619" s="4">
        <v>3.7428299999999999E-16</v>
      </c>
      <c r="I1619" s="5">
        <v>4.9904399999999999E-16</v>
      </c>
      <c r="U1619" s="5"/>
    </row>
    <row r="1620" spans="3:21" x14ac:dyDescent="0.25">
      <c r="C1620" s="4">
        <v>7.4856599999999998E-16</v>
      </c>
      <c r="D1620" s="4">
        <v>6.2380499999999999E-16</v>
      </c>
      <c r="E1620" s="4">
        <v>6.2380499999999999E-16</v>
      </c>
      <c r="F1620" s="4">
        <v>3.7428299999999999E-16</v>
      </c>
      <c r="I1620" s="5">
        <v>4.9904399999999999E-16</v>
      </c>
      <c r="U1620" s="5"/>
    </row>
    <row r="1621" spans="3:21" x14ac:dyDescent="0.25">
      <c r="C1621" s="4">
        <v>7.4856599999999998E-16</v>
      </c>
      <c r="D1621" s="4">
        <v>6.2380499999999999E-16</v>
      </c>
      <c r="E1621" s="4">
        <v>6.2380499999999999E-16</v>
      </c>
      <c r="F1621" s="4">
        <v>3.7428299999999999E-16</v>
      </c>
      <c r="I1621" s="5">
        <v>4.9904399999999999E-16</v>
      </c>
      <c r="U1621" s="5"/>
    </row>
    <row r="1622" spans="3:21" x14ac:dyDescent="0.25">
      <c r="C1622" s="4">
        <v>7.4856599999999998E-16</v>
      </c>
      <c r="D1622" s="4">
        <v>6.2380499999999999E-16</v>
      </c>
      <c r="E1622" s="4">
        <v>6.2380499999999999E-16</v>
      </c>
      <c r="F1622" s="4">
        <v>3.7428299999999999E-16</v>
      </c>
      <c r="I1622" s="5">
        <v>4.9904399999999999E-16</v>
      </c>
      <c r="U1622" s="5"/>
    </row>
    <row r="1623" spans="3:21" x14ac:dyDescent="0.25">
      <c r="C1623" s="4">
        <v>7.4856599999999998E-16</v>
      </c>
      <c r="D1623" s="4">
        <v>6.2380499999999999E-16</v>
      </c>
      <c r="E1623" s="4">
        <v>6.2380499999999999E-16</v>
      </c>
      <c r="F1623" s="4">
        <v>3.7428299999999999E-16</v>
      </c>
      <c r="I1623" s="5">
        <v>4.9904399999999999E-16</v>
      </c>
      <c r="U1623" s="5"/>
    </row>
    <row r="1624" spans="3:21" x14ac:dyDescent="0.25">
      <c r="C1624" s="4">
        <v>7.4856599999999998E-16</v>
      </c>
      <c r="D1624" s="4">
        <v>6.2380499999999999E-16</v>
      </c>
      <c r="E1624" s="4">
        <v>6.2380499999999999E-16</v>
      </c>
      <c r="F1624" s="4">
        <v>3.7428299999999999E-16</v>
      </c>
      <c r="I1624" s="5">
        <v>4.9904399999999999E-16</v>
      </c>
      <c r="U1624" s="5"/>
    </row>
    <row r="1625" spans="3:21" x14ac:dyDescent="0.25">
      <c r="C1625" s="4">
        <v>7.4856599999999998E-16</v>
      </c>
      <c r="D1625" s="4">
        <v>6.2380499999999999E-16</v>
      </c>
      <c r="E1625" s="4">
        <v>6.2380499999999999E-16</v>
      </c>
      <c r="F1625" s="4">
        <v>3.7428299999999999E-16</v>
      </c>
      <c r="I1625" s="5">
        <v>4.9904399999999999E-16</v>
      </c>
      <c r="U1625" s="5"/>
    </row>
    <row r="1626" spans="3:21" x14ac:dyDescent="0.25">
      <c r="C1626" s="4">
        <v>7.4856599999999998E-16</v>
      </c>
      <c r="D1626" s="4">
        <v>6.2380499999999999E-16</v>
      </c>
      <c r="E1626" s="4">
        <v>6.2380499999999999E-16</v>
      </c>
      <c r="F1626" s="4">
        <v>3.7428299999999999E-16</v>
      </c>
      <c r="I1626" s="5">
        <v>4.9904399999999999E-16</v>
      </c>
      <c r="U1626" s="5"/>
    </row>
    <row r="1627" spans="3:21" x14ac:dyDescent="0.25">
      <c r="C1627" s="4">
        <v>7.4856599999999998E-16</v>
      </c>
      <c r="D1627" s="4">
        <v>6.2380499999999999E-16</v>
      </c>
      <c r="E1627" s="4">
        <v>6.2380499999999999E-16</v>
      </c>
      <c r="F1627" s="4">
        <v>3.7428299999999999E-16</v>
      </c>
      <c r="I1627" s="5">
        <v>4.9904399999999999E-16</v>
      </c>
      <c r="U1627" s="5"/>
    </row>
    <row r="1628" spans="3:21" x14ac:dyDescent="0.25">
      <c r="C1628" s="4">
        <v>7.4856599999999998E-16</v>
      </c>
      <c r="D1628" s="4">
        <v>6.2380499999999999E-16</v>
      </c>
      <c r="E1628" s="4">
        <v>6.2380499999999999E-16</v>
      </c>
      <c r="F1628" s="4">
        <v>3.7428299999999999E-16</v>
      </c>
      <c r="I1628" s="5">
        <v>4.9904399999999999E-16</v>
      </c>
      <c r="U1628" s="5"/>
    </row>
    <row r="1629" spans="3:21" x14ac:dyDescent="0.25">
      <c r="C1629" s="4">
        <v>7.4856599999999998E-16</v>
      </c>
      <c r="D1629" s="4">
        <v>6.2380499999999999E-16</v>
      </c>
      <c r="E1629" s="4">
        <v>6.2380499999999999E-16</v>
      </c>
      <c r="F1629" s="4">
        <v>3.7428299999999999E-16</v>
      </c>
      <c r="I1629" s="5">
        <v>4.9904399999999999E-16</v>
      </c>
      <c r="U1629" s="5"/>
    </row>
    <row r="1630" spans="3:21" x14ac:dyDescent="0.25">
      <c r="C1630" s="4">
        <v>7.4856599999999998E-16</v>
      </c>
      <c r="D1630" s="4">
        <v>6.2380499999999999E-16</v>
      </c>
      <c r="E1630" s="4">
        <v>6.2380499999999999E-16</v>
      </c>
      <c r="F1630" s="4">
        <v>3.7428299999999999E-16</v>
      </c>
      <c r="I1630" s="5">
        <v>4.9904399999999999E-16</v>
      </c>
      <c r="U1630" s="5"/>
    </row>
    <row r="1631" spans="3:21" x14ac:dyDescent="0.25">
      <c r="C1631" s="4">
        <v>7.4856599999999998E-16</v>
      </c>
      <c r="D1631" s="4">
        <v>4.9904399999999999E-16</v>
      </c>
      <c r="E1631" s="4">
        <v>6.2380499999999999E-16</v>
      </c>
      <c r="F1631" s="4">
        <v>3.7428299999999999E-16</v>
      </c>
      <c r="I1631" s="5">
        <v>4.9904399999999999E-16</v>
      </c>
      <c r="U1631" s="5"/>
    </row>
    <row r="1632" spans="3:21" x14ac:dyDescent="0.25">
      <c r="C1632" s="4">
        <v>7.4856599999999998E-16</v>
      </c>
      <c r="D1632" s="4">
        <v>4.9904399999999999E-16</v>
      </c>
      <c r="E1632" s="4">
        <v>6.2380499999999999E-16</v>
      </c>
      <c r="F1632" s="4">
        <v>3.7428299999999999E-16</v>
      </c>
      <c r="I1632" s="5">
        <v>4.9904399999999999E-16</v>
      </c>
      <c r="U1632" s="5"/>
    </row>
    <row r="1633" spans="3:21" x14ac:dyDescent="0.25">
      <c r="C1633" s="4">
        <v>7.4856599999999998E-16</v>
      </c>
      <c r="D1633" s="4">
        <v>4.9904399999999999E-16</v>
      </c>
      <c r="E1633" s="4">
        <v>6.2380499999999999E-16</v>
      </c>
      <c r="F1633" s="4">
        <v>3.7428299999999999E-16</v>
      </c>
      <c r="I1633" s="5">
        <v>4.9904399999999999E-16</v>
      </c>
      <c r="U1633" s="5"/>
    </row>
    <row r="1634" spans="3:21" x14ac:dyDescent="0.25">
      <c r="C1634" s="4">
        <v>7.4856599999999998E-16</v>
      </c>
      <c r="D1634" s="4">
        <v>4.9904399999999999E-16</v>
      </c>
      <c r="E1634" s="4">
        <v>6.2380499999999999E-16</v>
      </c>
      <c r="F1634" s="4">
        <v>3.7428299999999999E-16</v>
      </c>
      <c r="I1634" s="5">
        <v>4.9904399999999999E-16</v>
      </c>
      <c r="U1634" s="5"/>
    </row>
    <row r="1635" spans="3:21" x14ac:dyDescent="0.25">
      <c r="C1635" s="4">
        <v>7.4856599999999998E-16</v>
      </c>
      <c r="D1635" s="4">
        <v>4.9904399999999999E-16</v>
      </c>
      <c r="E1635" s="4">
        <v>6.2380499999999999E-16</v>
      </c>
      <c r="F1635" s="4">
        <v>3.7428299999999999E-16</v>
      </c>
      <c r="I1635" s="5">
        <v>3.7428299999999999E-16</v>
      </c>
      <c r="U1635" s="5"/>
    </row>
    <row r="1636" spans="3:21" x14ac:dyDescent="0.25">
      <c r="C1636" s="4">
        <v>7.4856599999999998E-16</v>
      </c>
      <c r="D1636" s="4">
        <v>4.9904399999999999E-16</v>
      </c>
      <c r="E1636" s="4">
        <v>6.2380499999999999E-16</v>
      </c>
      <c r="F1636" s="4">
        <v>3.7428299999999999E-16</v>
      </c>
      <c r="I1636" s="5">
        <v>3.7428299999999999E-16</v>
      </c>
      <c r="U1636" s="5"/>
    </row>
    <row r="1637" spans="3:21" x14ac:dyDescent="0.25">
      <c r="C1637" s="4">
        <v>7.4856599999999998E-16</v>
      </c>
      <c r="D1637" s="4">
        <v>4.9904399999999999E-16</v>
      </c>
      <c r="E1637" s="4">
        <v>6.2380499999999999E-16</v>
      </c>
      <c r="F1637" s="4">
        <v>3.7428299999999999E-16</v>
      </c>
      <c r="I1637" s="5">
        <v>3.7428299999999999E-16</v>
      </c>
      <c r="U1637" s="5"/>
    </row>
    <row r="1638" spans="3:21" x14ac:dyDescent="0.25">
      <c r="C1638" s="4">
        <v>7.4856599999999998E-16</v>
      </c>
      <c r="D1638" s="4">
        <v>4.9904399999999999E-16</v>
      </c>
      <c r="E1638" s="4">
        <v>6.2380499999999999E-16</v>
      </c>
      <c r="F1638" s="4">
        <v>3.7428299999999999E-16</v>
      </c>
      <c r="I1638" s="5">
        <v>3.7428299999999999E-16</v>
      </c>
      <c r="U1638" s="5"/>
    </row>
    <row r="1639" spans="3:21" x14ac:dyDescent="0.25">
      <c r="C1639" s="4">
        <v>7.4856599999999998E-16</v>
      </c>
      <c r="D1639" s="4">
        <v>4.9904399999999999E-16</v>
      </c>
      <c r="E1639" s="4">
        <v>4.9904399999999999E-16</v>
      </c>
      <c r="F1639" s="4">
        <v>3.7428299999999999E-16</v>
      </c>
      <c r="I1639" s="5">
        <v>3.7428299999999999E-16</v>
      </c>
      <c r="U1639" s="5"/>
    </row>
    <row r="1640" spans="3:21" x14ac:dyDescent="0.25">
      <c r="C1640" s="4">
        <v>7.4856599999999998E-16</v>
      </c>
      <c r="D1640" s="4">
        <v>4.9904399999999999E-16</v>
      </c>
      <c r="E1640" s="4">
        <v>4.9904399999999999E-16</v>
      </c>
      <c r="F1640" s="4">
        <v>3.7428299999999999E-16</v>
      </c>
      <c r="I1640" s="5">
        <v>3.7428299999999999E-16</v>
      </c>
      <c r="U1640" s="5"/>
    </row>
    <row r="1641" spans="3:21" x14ac:dyDescent="0.25">
      <c r="C1641" s="4">
        <v>7.4856599999999998E-16</v>
      </c>
      <c r="D1641" s="4">
        <v>4.9904399999999999E-16</v>
      </c>
      <c r="E1641" s="4">
        <v>4.9904399999999999E-16</v>
      </c>
      <c r="F1641" s="4">
        <v>3.7428299999999999E-16</v>
      </c>
      <c r="I1641" s="5">
        <v>3.7428299999999999E-16</v>
      </c>
      <c r="U1641" s="5"/>
    </row>
    <row r="1642" spans="3:21" x14ac:dyDescent="0.25">
      <c r="C1642" s="4">
        <v>7.4856599999999998E-16</v>
      </c>
      <c r="D1642" s="4">
        <v>4.9904399999999999E-16</v>
      </c>
      <c r="E1642" s="4">
        <v>4.9904399999999999E-16</v>
      </c>
      <c r="F1642" s="4">
        <v>3.7428299999999999E-16</v>
      </c>
      <c r="I1642" s="5">
        <v>3.7428299999999999E-16</v>
      </c>
      <c r="U1642" s="5"/>
    </row>
    <row r="1643" spans="3:21" x14ac:dyDescent="0.25">
      <c r="C1643" s="4">
        <v>7.4856599999999998E-16</v>
      </c>
      <c r="D1643" s="4">
        <v>4.9904399999999999E-16</v>
      </c>
      <c r="E1643" s="4">
        <v>4.9904399999999999E-16</v>
      </c>
      <c r="F1643" s="4">
        <v>3.7428299999999999E-16</v>
      </c>
      <c r="I1643" s="5">
        <v>3.7428299999999999E-16</v>
      </c>
      <c r="U1643" s="5"/>
    </row>
    <row r="1644" spans="3:21" x14ac:dyDescent="0.25">
      <c r="C1644" s="4">
        <v>7.4856599999999998E-16</v>
      </c>
      <c r="D1644" s="4">
        <v>4.9904399999999999E-16</v>
      </c>
      <c r="E1644" s="4">
        <v>4.9904399999999999E-16</v>
      </c>
      <c r="F1644" s="4">
        <v>3.7428299999999999E-16</v>
      </c>
      <c r="I1644" s="5">
        <v>3.7428299999999999E-16</v>
      </c>
      <c r="U1644" s="5"/>
    </row>
    <row r="1645" spans="3:21" x14ac:dyDescent="0.25">
      <c r="C1645" s="4">
        <v>7.4856599999999998E-16</v>
      </c>
      <c r="D1645" s="4">
        <v>4.9904399999999999E-16</v>
      </c>
      <c r="E1645" s="4">
        <v>4.9904399999999999E-16</v>
      </c>
      <c r="F1645" s="4">
        <v>3.7428299999999999E-16</v>
      </c>
      <c r="I1645" s="5">
        <v>3.7428299999999999E-16</v>
      </c>
      <c r="U1645" s="5"/>
    </row>
    <row r="1646" spans="3:21" x14ac:dyDescent="0.25">
      <c r="C1646" s="4">
        <v>6.2380499999999999E-16</v>
      </c>
      <c r="D1646" s="4">
        <v>4.9904399999999999E-16</v>
      </c>
      <c r="E1646" s="4">
        <v>4.9904399999999999E-16</v>
      </c>
      <c r="F1646" s="4">
        <v>2.4952199999999999E-16</v>
      </c>
      <c r="I1646" s="5">
        <v>3.7428299999999999E-16</v>
      </c>
      <c r="U1646" s="5"/>
    </row>
    <row r="1647" spans="3:21" x14ac:dyDescent="0.25">
      <c r="C1647" s="4">
        <v>6.2380499999999999E-16</v>
      </c>
      <c r="D1647" s="4">
        <v>4.9904399999999999E-16</v>
      </c>
      <c r="E1647" s="4">
        <v>4.9904399999999999E-16</v>
      </c>
      <c r="F1647" s="4">
        <v>2.4952199999999999E-16</v>
      </c>
      <c r="I1647" s="5">
        <v>3.7428299999999999E-16</v>
      </c>
      <c r="U1647" s="5"/>
    </row>
    <row r="1648" spans="3:21" x14ac:dyDescent="0.25">
      <c r="C1648" s="4">
        <v>6.2380499999999999E-16</v>
      </c>
      <c r="D1648" s="4">
        <v>4.9904399999999999E-16</v>
      </c>
      <c r="E1648" s="4">
        <v>4.9904399999999999E-16</v>
      </c>
      <c r="F1648" s="4">
        <v>2.4952199999999999E-16</v>
      </c>
      <c r="I1648" s="5">
        <v>3.7428299999999999E-16</v>
      </c>
      <c r="U1648" s="5"/>
    </row>
    <row r="1649" spans="3:21" x14ac:dyDescent="0.25">
      <c r="C1649" s="4">
        <v>6.2380499999999999E-16</v>
      </c>
      <c r="D1649" s="4">
        <v>4.9904399999999999E-16</v>
      </c>
      <c r="E1649" s="4">
        <v>4.9904399999999999E-16</v>
      </c>
      <c r="F1649" s="4">
        <v>2.4952199999999999E-16</v>
      </c>
      <c r="I1649" s="5">
        <v>3.7428299999999999E-16</v>
      </c>
      <c r="U1649" s="5"/>
    </row>
    <row r="1650" spans="3:21" x14ac:dyDescent="0.25">
      <c r="C1650" s="4">
        <v>6.2380499999999999E-16</v>
      </c>
      <c r="D1650" s="4">
        <v>4.9904399999999999E-16</v>
      </c>
      <c r="E1650" s="4">
        <v>4.9904399999999999E-16</v>
      </c>
      <c r="F1650" s="4">
        <v>2.4952199999999999E-16</v>
      </c>
      <c r="I1650" s="5">
        <v>3.7428299999999999E-16</v>
      </c>
      <c r="U1650" s="5"/>
    </row>
    <row r="1651" spans="3:21" x14ac:dyDescent="0.25">
      <c r="C1651" s="4">
        <v>6.2380499999999999E-16</v>
      </c>
      <c r="D1651" s="4">
        <v>4.9904399999999999E-16</v>
      </c>
      <c r="E1651" s="4">
        <v>4.9904399999999999E-16</v>
      </c>
      <c r="F1651" s="4">
        <v>2.4952199999999999E-16</v>
      </c>
      <c r="I1651" s="5">
        <v>3.7428299999999999E-16</v>
      </c>
      <c r="U1651" s="5"/>
    </row>
    <row r="1652" spans="3:21" x14ac:dyDescent="0.25">
      <c r="C1652" s="4">
        <v>6.2380499999999999E-16</v>
      </c>
      <c r="D1652" s="4">
        <v>4.9904399999999999E-16</v>
      </c>
      <c r="E1652" s="4">
        <v>4.9904399999999999E-16</v>
      </c>
      <c r="F1652" s="4">
        <v>2.4952199999999999E-16</v>
      </c>
      <c r="I1652" s="5">
        <v>3.7428299999999999E-16</v>
      </c>
      <c r="U1652" s="5"/>
    </row>
    <row r="1653" spans="3:21" x14ac:dyDescent="0.25">
      <c r="C1653" s="4">
        <v>6.2380499999999999E-16</v>
      </c>
      <c r="D1653" s="4">
        <v>4.9904399999999999E-16</v>
      </c>
      <c r="E1653" s="4">
        <v>4.9904399999999999E-16</v>
      </c>
      <c r="F1653" s="4">
        <v>2.4952199999999999E-16</v>
      </c>
      <c r="I1653" s="5">
        <v>3.7428299999999999E-16</v>
      </c>
      <c r="U1653" s="5"/>
    </row>
    <row r="1654" spans="3:21" x14ac:dyDescent="0.25">
      <c r="C1654" s="4">
        <v>6.2380499999999999E-16</v>
      </c>
      <c r="D1654" s="4">
        <v>4.9904399999999999E-16</v>
      </c>
      <c r="E1654" s="4">
        <v>4.9904399999999999E-16</v>
      </c>
      <c r="F1654" s="4">
        <v>2.4952199999999999E-16</v>
      </c>
      <c r="I1654" s="5">
        <v>3.7428299999999999E-16</v>
      </c>
      <c r="U1654" s="5"/>
    </row>
    <row r="1655" spans="3:21" x14ac:dyDescent="0.25">
      <c r="C1655" s="4">
        <v>6.2380499999999999E-16</v>
      </c>
      <c r="D1655" s="4">
        <v>4.9904399999999999E-16</v>
      </c>
      <c r="E1655" s="4">
        <v>4.9904399999999999E-16</v>
      </c>
      <c r="F1655" s="4">
        <v>2.4952199999999999E-16</v>
      </c>
      <c r="I1655" s="5">
        <v>3.7428299999999999E-16</v>
      </c>
      <c r="U1655" s="5"/>
    </row>
    <row r="1656" spans="3:21" x14ac:dyDescent="0.25">
      <c r="C1656" s="4">
        <v>6.2380499999999999E-16</v>
      </c>
      <c r="D1656" s="4">
        <v>4.9904399999999999E-16</v>
      </c>
      <c r="E1656" s="4">
        <v>4.9904399999999999E-16</v>
      </c>
      <c r="F1656" s="4">
        <v>2.4952199999999999E-16</v>
      </c>
      <c r="I1656" s="5">
        <v>3.7428299999999999E-16</v>
      </c>
      <c r="U1656" s="5"/>
    </row>
    <row r="1657" spans="3:21" x14ac:dyDescent="0.25">
      <c r="C1657" s="4">
        <v>6.2380499999999999E-16</v>
      </c>
      <c r="D1657" s="4">
        <v>4.9904399999999999E-16</v>
      </c>
      <c r="E1657" s="4">
        <v>4.9904399999999999E-16</v>
      </c>
      <c r="F1657" s="4">
        <v>2.4952199999999999E-16</v>
      </c>
      <c r="I1657" s="5">
        <v>3.7428299999999999E-16</v>
      </c>
      <c r="U1657" s="5"/>
    </row>
    <row r="1658" spans="3:21" x14ac:dyDescent="0.25">
      <c r="C1658" s="4">
        <v>6.2380499999999999E-16</v>
      </c>
      <c r="D1658" s="4">
        <v>4.9904399999999999E-16</v>
      </c>
      <c r="E1658" s="4">
        <v>4.9904399999999999E-16</v>
      </c>
      <c r="F1658" s="4">
        <v>2.4952199999999999E-16</v>
      </c>
      <c r="I1658" s="5">
        <v>3.7428299999999999E-16</v>
      </c>
      <c r="U1658" s="5"/>
    </row>
    <row r="1659" spans="3:21" x14ac:dyDescent="0.25">
      <c r="C1659" s="4">
        <v>6.2380499999999999E-16</v>
      </c>
      <c r="D1659" s="4">
        <v>4.9904399999999999E-16</v>
      </c>
      <c r="E1659" s="4">
        <v>4.9904399999999999E-16</v>
      </c>
      <c r="F1659" s="4">
        <v>2.4952199999999999E-16</v>
      </c>
      <c r="I1659" s="5">
        <v>3.7428299999999999E-16</v>
      </c>
      <c r="U1659" s="5"/>
    </row>
    <row r="1660" spans="3:21" x14ac:dyDescent="0.25">
      <c r="C1660" s="4">
        <v>6.2380499999999999E-16</v>
      </c>
      <c r="D1660" s="4">
        <v>4.9904399999999999E-16</v>
      </c>
      <c r="E1660" s="4">
        <v>4.9904399999999999E-16</v>
      </c>
      <c r="F1660" s="4">
        <v>2.4952199999999999E-16</v>
      </c>
      <c r="I1660" s="5">
        <v>3.7428299999999999E-16</v>
      </c>
      <c r="U1660" s="5"/>
    </row>
    <row r="1661" spans="3:21" x14ac:dyDescent="0.25">
      <c r="C1661" s="4">
        <v>6.2380499999999999E-16</v>
      </c>
      <c r="D1661" s="4">
        <v>4.9904399999999999E-16</v>
      </c>
      <c r="E1661" s="4">
        <v>4.9904399999999999E-16</v>
      </c>
      <c r="F1661" s="4">
        <v>2.4952199999999999E-16</v>
      </c>
      <c r="I1661" s="5">
        <v>3.7428299999999999E-16</v>
      </c>
      <c r="U1661" s="5"/>
    </row>
    <row r="1662" spans="3:21" x14ac:dyDescent="0.25">
      <c r="C1662" s="4">
        <v>6.2380499999999999E-16</v>
      </c>
      <c r="D1662" s="4">
        <v>4.9904399999999999E-16</v>
      </c>
      <c r="E1662" s="4">
        <v>4.9904399999999999E-16</v>
      </c>
      <c r="F1662" s="4">
        <v>2.4952199999999999E-16</v>
      </c>
      <c r="I1662" s="5">
        <v>3.7428299999999999E-16</v>
      </c>
      <c r="U1662" s="5"/>
    </row>
    <row r="1663" spans="3:21" x14ac:dyDescent="0.25">
      <c r="C1663" s="4">
        <v>6.2380499999999999E-16</v>
      </c>
      <c r="D1663" s="4">
        <v>4.9904399999999999E-16</v>
      </c>
      <c r="E1663" s="4">
        <v>4.9904399999999999E-16</v>
      </c>
      <c r="F1663" s="4">
        <v>2.4952199999999999E-16</v>
      </c>
      <c r="I1663" s="5">
        <v>3.7428299999999999E-16</v>
      </c>
      <c r="U1663" s="5"/>
    </row>
    <row r="1664" spans="3:21" x14ac:dyDescent="0.25">
      <c r="C1664" s="4">
        <v>6.2380499999999999E-16</v>
      </c>
      <c r="D1664" s="4">
        <v>4.9904399999999999E-16</v>
      </c>
      <c r="E1664" s="4">
        <v>4.9904399999999999E-16</v>
      </c>
      <c r="F1664" s="4">
        <v>2.4952199999999999E-16</v>
      </c>
      <c r="I1664" s="5">
        <v>3.7428299999999999E-16</v>
      </c>
      <c r="U1664" s="5"/>
    </row>
    <row r="1665" spans="3:21" x14ac:dyDescent="0.25">
      <c r="C1665" s="4">
        <v>6.2380499999999999E-16</v>
      </c>
      <c r="D1665" s="4">
        <v>4.9904399999999999E-16</v>
      </c>
      <c r="E1665" s="4">
        <v>4.9904399999999999E-16</v>
      </c>
      <c r="F1665" s="4">
        <v>2.4952199999999999E-16</v>
      </c>
      <c r="I1665" s="5">
        <v>3.7428299999999999E-16</v>
      </c>
      <c r="U1665" s="5"/>
    </row>
    <row r="1666" spans="3:21" x14ac:dyDescent="0.25">
      <c r="C1666" s="4">
        <v>6.2380499999999999E-16</v>
      </c>
      <c r="D1666" s="4">
        <v>4.9904399999999999E-16</v>
      </c>
      <c r="E1666" s="4">
        <v>4.9904399999999999E-16</v>
      </c>
      <c r="F1666" s="4">
        <v>2.4952199999999999E-16</v>
      </c>
      <c r="I1666" s="5">
        <v>3.7428299999999999E-16</v>
      </c>
      <c r="U1666" s="5"/>
    </row>
    <row r="1667" spans="3:21" x14ac:dyDescent="0.25">
      <c r="C1667" s="4">
        <v>6.2380499999999999E-16</v>
      </c>
      <c r="D1667" s="4">
        <v>4.9904399999999999E-16</v>
      </c>
      <c r="E1667" s="4">
        <v>4.9904399999999999E-16</v>
      </c>
      <c r="F1667" s="4">
        <v>2.4952199999999999E-16</v>
      </c>
      <c r="I1667" s="5">
        <v>3.7428299999999999E-16</v>
      </c>
      <c r="U1667" s="5"/>
    </row>
    <row r="1668" spans="3:21" x14ac:dyDescent="0.25">
      <c r="C1668" s="4">
        <v>6.2380499999999999E-16</v>
      </c>
      <c r="D1668" s="4">
        <v>4.9904399999999999E-16</v>
      </c>
      <c r="E1668" s="4">
        <v>4.9904399999999999E-16</v>
      </c>
      <c r="F1668" s="4">
        <v>2.4952199999999999E-16</v>
      </c>
      <c r="I1668" s="5">
        <v>3.7428299999999999E-16</v>
      </c>
      <c r="U1668" s="5"/>
    </row>
    <row r="1669" spans="3:21" x14ac:dyDescent="0.25">
      <c r="C1669" s="4">
        <v>6.2380499999999999E-16</v>
      </c>
      <c r="D1669" s="4">
        <v>4.9904399999999999E-16</v>
      </c>
      <c r="E1669" s="4">
        <v>4.9904399999999999E-16</v>
      </c>
      <c r="F1669" s="4">
        <v>2.4952199999999999E-16</v>
      </c>
      <c r="I1669" s="5">
        <v>3.7428299999999999E-16</v>
      </c>
      <c r="U1669" s="5"/>
    </row>
    <row r="1670" spans="3:21" x14ac:dyDescent="0.25">
      <c r="C1670" s="4">
        <v>6.2380499999999999E-16</v>
      </c>
      <c r="D1670" s="4">
        <v>4.9904399999999999E-16</v>
      </c>
      <c r="E1670" s="4">
        <v>4.9904399999999999E-16</v>
      </c>
      <c r="F1670" s="4">
        <v>2.4952199999999999E-16</v>
      </c>
      <c r="I1670" s="5">
        <v>3.7428299999999999E-16</v>
      </c>
      <c r="U1670" s="5"/>
    </row>
    <row r="1671" spans="3:21" x14ac:dyDescent="0.25">
      <c r="C1671" s="4">
        <v>6.2380499999999999E-16</v>
      </c>
      <c r="D1671" s="4">
        <v>4.9904399999999999E-16</v>
      </c>
      <c r="E1671" s="4">
        <v>4.9904399999999999E-16</v>
      </c>
      <c r="F1671" s="4">
        <v>2.4952199999999999E-16</v>
      </c>
      <c r="I1671" s="5">
        <v>3.7428299999999999E-16</v>
      </c>
      <c r="U1671" s="5"/>
    </row>
    <row r="1672" spans="3:21" x14ac:dyDescent="0.25">
      <c r="C1672" s="4">
        <v>6.2380499999999999E-16</v>
      </c>
      <c r="D1672" s="4">
        <v>4.9904399999999999E-16</v>
      </c>
      <c r="E1672" s="4">
        <v>4.9904399999999999E-16</v>
      </c>
      <c r="F1672" s="4">
        <v>2.4952199999999999E-16</v>
      </c>
      <c r="I1672" s="5">
        <v>3.7428299999999999E-16</v>
      </c>
      <c r="U1672" s="5"/>
    </row>
    <row r="1673" spans="3:21" x14ac:dyDescent="0.25">
      <c r="C1673" s="4">
        <v>6.2380499999999999E-16</v>
      </c>
      <c r="D1673" s="4">
        <v>4.9904399999999999E-16</v>
      </c>
      <c r="E1673" s="4">
        <v>4.9904399999999999E-16</v>
      </c>
      <c r="F1673" s="4">
        <v>2.4952199999999999E-16</v>
      </c>
      <c r="I1673" s="5">
        <v>3.7428299999999999E-16</v>
      </c>
      <c r="U1673" s="5"/>
    </row>
    <row r="1674" spans="3:21" x14ac:dyDescent="0.25">
      <c r="C1674" s="4">
        <v>6.2380499999999999E-16</v>
      </c>
      <c r="D1674" s="4">
        <v>4.9904399999999999E-16</v>
      </c>
      <c r="E1674" s="4">
        <v>4.9904399999999999E-16</v>
      </c>
      <c r="F1674" s="4">
        <v>2.4952199999999999E-16</v>
      </c>
      <c r="I1674" s="5">
        <v>3.7428299999999999E-16</v>
      </c>
      <c r="U1674" s="5"/>
    </row>
    <row r="1675" spans="3:21" x14ac:dyDescent="0.25">
      <c r="C1675" s="4">
        <v>6.2380499999999999E-16</v>
      </c>
      <c r="D1675" s="4">
        <v>4.9904399999999999E-16</v>
      </c>
      <c r="E1675" s="4">
        <v>4.9904399999999999E-16</v>
      </c>
      <c r="F1675" s="4">
        <v>2.4952199999999999E-16</v>
      </c>
      <c r="I1675" s="5">
        <v>3.7428299999999999E-16</v>
      </c>
      <c r="U1675" s="5"/>
    </row>
    <row r="1676" spans="3:21" x14ac:dyDescent="0.25">
      <c r="C1676" s="4">
        <v>6.2380499999999999E-16</v>
      </c>
      <c r="D1676" s="4">
        <v>4.9904399999999999E-16</v>
      </c>
      <c r="E1676" s="4">
        <v>4.9904399999999999E-16</v>
      </c>
      <c r="F1676" s="4">
        <v>2.4952199999999999E-16</v>
      </c>
      <c r="I1676" s="5">
        <v>3.7428299999999999E-16</v>
      </c>
      <c r="U1676" s="5"/>
    </row>
    <row r="1677" spans="3:21" x14ac:dyDescent="0.25">
      <c r="C1677" s="4">
        <v>6.2380499999999999E-16</v>
      </c>
      <c r="D1677" s="4">
        <v>4.9904399999999999E-16</v>
      </c>
      <c r="E1677" s="4">
        <v>4.9904399999999999E-16</v>
      </c>
      <c r="F1677" s="4">
        <v>2.4952199999999999E-16</v>
      </c>
      <c r="I1677" s="5">
        <v>3.7428299999999999E-16</v>
      </c>
      <c r="U1677" s="5"/>
    </row>
    <row r="1678" spans="3:21" x14ac:dyDescent="0.25">
      <c r="C1678" s="4">
        <v>6.2380499999999999E-16</v>
      </c>
      <c r="D1678" s="4">
        <v>4.9904399999999999E-16</v>
      </c>
      <c r="E1678" s="4">
        <v>4.9904399999999999E-16</v>
      </c>
      <c r="F1678" s="4">
        <v>2.4952199999999999E-16</v>
      </c>
      <c r="I1678" s="5">
        <v>3.7428299999999999E-16</v>
      </c>
      <c r="U1678" s="5"/>
    </row>
    <row r="1679" spans="3:21" x14ac:dyDescent="0.25">
      <c r="C1679" s="4">
        <v>6.2380499999999999E-16</v>
      </c>
      <c r="D1679" s="4">
        <v>4.9904399999999999E-16</v>
      </c>
      <c r="E1679" s="4">
        <v>4.9904399999999999E-16</v>
      </c>
      <c r="F1679" s="4">
        <v>2.4952199999999999E-16</v>
      </c>
      <c r="I1679" s="5">
        <v>3.7428299999999999E-16</v>
      </c>
      <c r="U1679" s="5"/>
    </row>
    <row r="1680" spans="3:21" x14ac:dyDescent="0.25">
      <c r="C1680" s="4">
        <v>6.2380499999999999E-16</v>
      </c>
      <c r="D1680" s="4">
        <v>4.9904399999999999E-16</v>
      </c>
      <c r="E1680" s="4">
        <v>4.9904399999999999E-16</v>
      </c>
      <c r="F1680" s="4">
        <v>2.4952199999999999E-16</v>
      </c>
      <c r="I1680" s="5">
        <v>3.7428299999999999E-16</v>
      </c>
      <c r="U1680" s="5"/>
    </row>
    <row r="1681" spans="3:21" x14ac:dyDescent="0.25">
      <c r="C1681" s="4">
        <v>6.2380499999999999E-16</v>
      </c>
      <c r="D1681" s="4">
        <v>4.9904399999999999E-16</v>
      </c>
      <c r="E1681" s="4">
        <v>4.9904399999999999E-16</v>
      </c>
      <c r="F1681" s="4">
        <v>2.4952199999999999E-16</v>
      </c>
      <c r="I1681" s="5">
        <v>3.7428299999999999E-16</v>
      </c>
      <c r="U1681" s="5"/>
    </row>
    <row r="1682" spans="3:21" x14ac:dyDescent="0.25">
      <c r="C1682" s="4">
        <v>6.2380499999999999E-16</v>
      </c>
      <c r="D1682" s="4">
        <v>4.9904399999999999E-16</v>
      </c>
      <c r="E1682" s="4">
        <v>4.9904399999999999E-16</v>
      </c>
      <c r="F1682" s="4">
        <v>2.4952199999999999E-16</v>
      </c>
      <c r="I1682" s="5">
        <v>3.7428299999999999E-16</v>
      </c>
      <c r="U1682" s="5"/>
    </row>
    <row r="1683" spans="3:21" x14ac:dyDescent="0.25">
      <c r="C1683" s="4">
        <v>6.2380499999999999E-16</v>
      </c>
      <c r="D1683" s="4">
        <v>4.9904399999999999E-16</v>
      </c>
      <c r="E1683" s="4">
        <v>4.9904399999999999E-16</v>
      </c>
      <c r="F1683" s="4">
        <v>2.4952199999999999E-16</v>
      </c>
      <c r="I1683" s="5">
        <v>3.7428299999999999E-16</v>
      </c>
      <c r="U1683" s="5"/>
    </row>
    <row r="1684" spans="3:21" x14ac:dyDescent="0.25">
      <c r="C1684" s="4">
        <v>6.2380499999999999E-16</v>
      </c>
      <c r="D1684" s="4">
        <v>4.9904399999999999E-16</v>
      </c>
      <c r="E1684" s="4">
        <v>4.9904399999999999E-16</v>
      </c>
      <c r="F1684" s="4">
        <v>2.4952199999999999E-16</v>
      </c>
      <c r="I1684" s="5">
        <v>3.7428299999999999E-16</v>
      </c>
      <c r="U1684" s="5"/>
    </row>
    <row r="1685" spans="3:21" x14ac:dyDescent="0.25">
      <c r="C1685" s="4">
        <v>6.2380499999999999E-16</v>
      </c>
      <c r="D1685" s="4">
        <v>4.9904399999999999E-16</v>
      </c>
      <c r="E1685" s="4">
        <v>4.9904399999999999E-16</v>
      </c>
      <c r="F1685" s="4">
        <v>2.4952199999999999E-16</v>
      </c>
      <c r="I1685" s="5">
        <v>3.7428299999999999E-16</v>
      </c>
      <c r="U1685" s="5"/>
    </row>
    <row r="1686" spans="3:21" x14ac:dyDescent="0.25">
      <c r="C1686" s="4">
        <v>6.2380499999999999E-16</v>
      </c>
      <c r="D1686" s="4">
        <v>3.7428299999999999E-16</v>
      </c>
      <c r="E1686" s="4">
        <v>4.9904399999999999E-16</v>
      </c>
      <c r="F1686" s="4">
        <v>2.4952199999999999E-16</v>
      </c>
      <c r="I1686" s="5">
        <v>3.7428299999999999E-16</v>
      </c>
      <c r="U1686" s="5"/>
    </row>
    <row r="1687" spans="3:21" x14ac:dyDescent="0.25">
      <c r="C1687" s="4">
        <v>6.2380499999999999E-16</v>
      </c>
      <c r="D1687" s="4">
        <v>3.7428299999999999E-16</v>
      </c>
      <c r="E1687" s="4">
        <v>4.9904399999999999E-16</v>
      </c>
      <c r="F1687" s="4">
        <v>2.4952199999999999E-16</v>
      </c>
      <c r="I1687" s="5">
        <v>3.7428299999999999E-16</v>
      </c>
      <c r="U1687" s="5"/>
    </row>
    <row r="1688" spans="3:21" x14ac:dyDescent="0.25">
      <c r="C1688" s="4">
        <v>6.2380499999999999E-16</v>
      </c>
      <c r="D1688" s="4">
        <v>3.7428299999999999E-16</v>
      </c>
      <c r="E1688" s="4">
        <v>4.9904399999999999E-16</v>
      </c>
      <c r="F1688" s="4">
        <v>2.4952199999999999E-16</v>
      </c>
      <c r="I1688" s="5">
        <v>3.7428299999999999E-16</v>
      </c>
      <c r="U1688" s="5"/>
    </row>
    <row r="1689" spans="3:21" x14ac:dyDescent="0.25">
      <c r="C1689" s="4">
        <v>6.2380499999999999E-16</v>
      </c>
      <c r="D1689" s="4">
        <v>3.7428299999999999E-16</v>
      </c>
      <c r="E1689" s="4">
        <v>4.9904399999999999E-16</v>
      </c>
      <c r="F1689" s="4">
        <v>2.4952199999999999E-16</v>
      </c>
      <c r="I1689" s="5">
        <v>3.7428299999999999E-16</v>
      </c>
      <c r="U1689" s="5"/>
    </row>
    <row r="1690" spans="3:21" x14ac:dyDescent="0.25">
      <c r="C1690" s="4">
        <v>6.2380499999999999E-16</v>
      </c>
      <c r="D1690" s="4">
        <v>3.7428299999999999E-16</v>
      </c>
      <c r="E1690" s="4">
        <v>4.9904399999999999E-16</v>
      </c>
      <c r="F1690" s="4">
        <v>2.4952199999999999E-16</v>
      </c>
      <c r="I1690" s="5">
        <v>3.7428299999999999E-16</v>
      </c>
      <c r="U1690" s="5"/>
    </row>
    <row r="1691" spans="3:21" x14ac:dyDescent="0.25">
      <c r="C1691" s="4">
        <v>6.2380499999999999E-16</v>
      </c>
      <c r="D1691" s="4">
        <v>3.7428299999999999E-16</v>
      </c>
      <c r="E1691" s="4">
        <v>4.9904399999999999E-16</v>
      </c>
      <c r="F1691" s="4">
        <v>2.4952199999999999E-16</v>
      </c>
      <c r="I1691" s="5">
        <v>3.7428299999999999E-16</v>
      </c>
      <c r="U1691" s="5"/>
    </row>
    <row r="1692" spans="3:21" x14ac:dyDescent="0.25">
      <c r="C1692" s="4">
        <v>6.2380499999999999E-16</v>
      </c>
      <c r="D1692" s="4">
        <v>3.7428299999999999E-16</v>
      </c>
      <c r="E1692" s="4">
        <v>4.9904399999999999E-16</v>
      </c>
      <c r="F1692" s="4">
        <v>2.4952199999999999E-16</v>
      </c>
      <c r="I1692" s="5">
        <v>3.7428299999999999E-16</v>
      </c>
      <c r="U1692" s="5"/>
    </row>
    <row r="1693" spans="3:21" x14ac:dyDescent="0.25">
      <c r="C1693" s="4">
        <v>6.2380499999999999E-16</v>
      </c>
      <c r="D1693" s="4">
        <v>3.7428299999999999E-16</v>
      </c>
      <c r="E1693" s="4">
        <v>4.9904399999999999E-16</v>
      </c>
      <c r="F1693" s="4">
        <v>2.4952199999999999E-16</v>
      </c>
      <c r="I1693" s="5">
        <v>3.7428299999999999E-16</v>
      </c>
      <c r="U1693" s="5"/>
    </row>
    <row r="1694" spans="3:21" x14ac:dyDescent="0.25">
      <c r="C1694" s="4">
        <v>6.2380499999999999E-16</v>
      </c>
      <c r="D1694" s="4">
        <v>3.7428299999999999E-16</v>
      </c>
      <c r="E1694" s="4">
        <v>4.9904399999999999E-16</v>
      </c>
      <c r="F1694" s="4">
        <v>2.4952199999999999E-16</v>
      </c>
      <c r="I1694" s="5">
        <v>3.7428299999999999E-16</v>
      </c>
      <c r="U1694" s="5"/>
    </row>
    <row r="1695" spans="3:21" x14ac:dyDescent="0.25">
      <c r="C1695" s="4">
        <v>6.2380499999999999E-16</v>
      </c>
      <c r="D1695" s="4">
        <v>3.7428299999999999E-16</v>
      </c>
      <c r="E1695" s="4">
        <v>4.9904399999999999E-16</v>
      </c>
      <c r="F1695" s="4">
        <v>2.4952199999999999E-16</v>
      </c>
      <c r="I1695" s="5">
        <v>3.7428299999999999E-16</v>
      </c>
      <c r="U1695" s="5"/>
    </row>
    <row r="1696" spans="3:21" x14ac:dyDescent="0.25">
      <c r="C1696" s="4">
        <v>6.2380499999999999E-16</v>
      </c>
      <c r="D1696" s="4">
        <v>3.7428299999999999E-16</v>
      </c>
      <c r="E1696" s="4">
        <v>4.9904399999999999E-16</v>
      </c>
      <c r="F1696" s="4">
        <v>2.4952199999999999E-16</v>
      </c>
      <c r="I1696" s="5">
        <v>3.7428299999999999E-16</v>
      </c>
      <c r="U1696" s="5"/>
    </row>
    <row r="1697" spans="3:21" x14ac:dyDescent="0.25">
      <c r="C1697" s="4">
        <v>6.2380499999999999E-16</v>
      </c>
      <c r="D1697" s="4">
        <v>3.7428299999999999E-16</v>
      </c>
      <c r="E1697" s="4">
        <v>4.9904399999999999E-16</v>
      </c>
      <c r="F1697" s="4">
        <v>2.4952199999999999E-16</v>
      </c>
      <c r="I1697" s="5">
        <v>3.7428299999999999E-16</v>
      </c>
      <c r="U1697" s="5"/>
    </row>
    <row r="1698" spans="3:21" x14ac:dyDescent="0.25">
      <c r="C1698" s="4">
        <v>6.2380499999999999E-16</v>
      </c>
      <c r="D1698" s="4">
        <v>3.7428299999999999E-16</v>
      </c>
      <c r="E1698" s="4">
        <v>4.9904399999999999E-16</v>
      </c>
      <c r="F1698" s="4">
        <v>2.4952199999999999E-16</v>
      </c>
      <c r="I1698" s="5">
        <v>3.7428299999999999E-16</v>
      </c>
      <c r="U1698" s="5"/>
    </row>
    <row r="1699" spans="3:21" x14ac:dyDescent="0.25">
      <c r="C1699" s="4">
        <v>6.2380499999999999E-16</v>
      </c>
      <c r="D1699" s="4">
        <v>3.7428299999999999E-16</v>
      </c>
      <c r="E1699" s="4">
        <v>4.9904399999999999E-16</v>
      </c>
      <c r="F1699" s="4">
        <v>2.4952199999999999E-16</v>
      </c>
      <c r="I1699" s="5">
        <v>3.7428299999999999E-16</v>
      </c>
      <c r="U1699" s="5"/>
    </row>
    <row r="1700" spans="3:21" x14ac:dyDescent="0.25">
      <c r="C1700" s="4">
        <v>6.2380499999999999E-16</v>
      </c>
      <c r="D1700" s="4">
        <v>3.7428299999999999E-16</v>
      </c>
      <c r="E1700" s="4">
        <v>4.9904399999999999E-16</v>
      </c>
      <c r="F1700" s="4">
        <v>2.4952199999999999E-16</v>
      </c>
      <c r="I1700" s="5">
        <v>3.7428299999999999E-16</v>
      </c>
      <c r="U1700" s="5"/>
    </row>
    <row r="1701" spans="3:21" x14ac:dyDescent="0.25">
      <c r="C1701" s="4">
        <v>6.2380499999999999E-16</v>
      </c>
      <c r="D1701" s="4">
        <v>3.7428299999999999E-16</v>
      </c>
      <c r="E1701" s="4">
        <v>4.9904399999999999E-16</v>
      </c>
      <c r="F1701" s="4">
        <v>2.4952199999999999E-16</v>
      </c>
      <c r="I1701" s="5">
        <v>3.7428299999999999E-16</v>
      </c>
      <c r="U1701" s="5"/>
    </row>
    <row r="1702" spans="3:21" x14ac:dyDescent="0.25">
      <c r="C1702" s="4">
        <v>6.2380499999999999E-16</v>
      </c>
      <c r="D1702" s="4">
        <v>3.7428299999999999E-16</v>
      </c>
      <c r="E1702" s="4">
        <v>4.9904399999999999E-16</v>
      </c>
      <c r="F1702" s="4">
        <v>2.4952199999999999E-16</v>
      </c>
      <c r="I1702" s="5">
        <v>3.7428299999999999E-16</v>
      </c>
      <c r="U1702" s="5"/>
    </row>
    <row r="1703" spans="3:21" x14ac:dyDescent="0.25">
      <c r="C1703" s="4">
        <v>6.2380499999999999E-16</v>
      </c>
      <c r="D1703" s="4">
        <v>3.7428299999999999E-16</v>
      </c>
      <c r="E1703" s="4">
        <v>4.9904399999999999E-16</v>
      </c>
      <c r="F1703" s="4">
        <v>2.4952199999999999E-16</v>
      </c>
      <c r="I1703" s="5">
        <v>3.7428299999999999E-16</v>
      </c>
      <c r="U1703" s="5"/>
    </row>
    <row r="1704" spans="3:21" x14ac:dyDescent="0.25">
      <c r="C1704" s="4">
        <v>6.2380499999999999E-16</v>
      </c>
      <c r="D1704" s="4">
        <v>3.7428299999999999E-16</v>
      </c>
      <c r="E1704" s="4">
        <v>4.9904399999999999E-16</v>
      </c>
      <c r="F1704" s="4">
        <v>2.4952199999999999E-16</v>
      </c>
      <c r="I1704" s="5">
        <v>3.7428299999999999E-16</v>
      </c>
      <c r="U1704" s="5"/>
    </row>
    <row r="1705" spans="3:21" x14ac:dyDescent="0.25">
      <c r="C1705" s="4">
        <v>6.2380499999999999E-16</v>
      </c>
      <c r="D1705" s="4">
        <v>3.7428299999999999E-16</v>
      </c>
      <c r="E1705" s="4">
        <v>4.9904399999999999E-16</v>
      </c>
      <c r="F1705" s="4">
        <v>2.4952199999999999E-16</v>
      </c>
      <c r="I1705" s="5">
        <v>3.7428299999999999E-16</v>
      </c>
      <c r="U1705" s="5"/>
    </row>
    <row r="1706" spans="3:21" x14ac:dyDescent="0.25">
      <c r="C1706" s="4">
        <v>6.2380499999999999E-16</v>
      </c>
      <c r="D1706" s="4">
        <v>3.7428299999999999E-16</v>
      </c>
      <c r="E1706" s="4">
        <v>4.9904399999999999E-16</v>
      </c>
      <c r="F1706" s="4">
        <v>2.4952199999999999E-16</v>
      </c>
      <c r="I1706" s="5">
        <v>3.7428299999999999E-16</v>
      </c>
      <c r="U1706" s="5"/>
    </row>
    <row r="1707" spans="3:21" x14ac:dyDescent="0.25">
      <c r="C1707" s="4">
        <v>4.9904399999999999E-16</v>
      </c>
      <c r="D1707" s="4">
        <v>3.7428299999999999E-16</v>
      </c>
      <c r="E1707" s="4">
        <v>4.9904399999999999E-16</v>
      </c>
      <c r="F1707" s="4">
        <v>2.4952199999999999E-16</v>
      </c>
      <c r="I1707" s="5">
        <v>3.7428299999999999E-16</v>
      </c>
      <c r="U1707" s="5"/>
    </row>
    <row r="1708" spans="3:21" x14ac:dyDescent="0.25">
      <c r="C1708" s="4">
        <v>4.9904399999999999E-16</v>
      </c>
      <c r="D1708" s="4">
        <v>3.7428299999999999E-16</v>
      </c>
      <c r="E1708" s="4">
        <v>4.9904399999999999E-16</v>
      </c>
      <c r="F1708" s="4">
        <v>2.4952199999999999E-16</v>
      </c>
      <c r="I1708" s="5">
        <v>3.7428299999999999E-16</v>
      </c>
      <c r="U1708" s="5"/>
    </row>
    <row r="1709" spans="3:21" x14ac:dyDescent="0.25">
      <c r="C1709" s="4">
        <v>4.9904399999999999E-16</v>
      </c>
      <c r="D1709" s="4">
        <v>3.7428299999999999E-16</v>
      </c>
      <c r="E1709" s="4">
        <v>4.9904399999999999E-16</v>
      </c>
      <c r="F1709" s="4">
        <v>2.4952199999999999E-16</v>
      </c>
      <c r="I1709" s="5">
        <v>3.7428299999999999E-16</v>
      </c>
      <c r="U1709" s="5"/>
    </row>
    <row r="1710" spans="3:21" x14ac:dyDescent="0.25">
      <c r="C1710" s="4">
        <v>4.9904399999999999E-16</v>
      </c>
      <c r="D1710" s="4">
        <v>3.7428299999999999E-16</v>
      </c>
      <c r="E1710" s="4">
        <v>4.9904399999999999E-16</v>
      </c>
      <c r="F1710" s="4">
        <v>2.4952199999999999E-16</v>
      </c>
      <c r="I1710" s="5">
        <v>3.7428299999999999E-16</v>
      </c>
      <c r="U1710" s="5"/>
    </row>
    <row r="1711" spans="3:21" x14ac:dyDescent="0.25">
      <c r="C1711" s="4">
        <v>4.9904399999999999E-16</v>
      </c>
      <c r="D1711" s="4">
        <v>3.7428299999999999E-16</v>
      </c>
      <c r="E1711" s="4">
        <v>4.9904399999999999E-16</v>
      </c>
      <c r="F1711" s="4">
        <v>2.4952199999999999E-16</v>
      </c>
      <c r="I1711" s="5">
        <v>3.7428299999999999E-16</v>
      </c>
      <c r="U1711" s="5"/>
    </row>
    <row r="1712" spans="3:21" x14ac:dyDescent="0.25">
      <c r="C1712" s="4">
        <v>4.9904399999999999E-16</v>
      </c>
      <c r="D1712" s="4">
        <v>3.7428299999999999E-16</v>
      </c>
      <c r="E1712" s="4">
        <v>4.9904399999999999E-16</v>
      </c>
      <c r="F1712" s="4">
        <v>2.4952199999999999E-16</v>
      </c>
      <c r="I1712" s="5">
        <v>3.7428299999999999E-16</v>
      </c>
      <c r="U1712" s="5"/>
    </row>
    <row r="1713" spans="3:21" x14ac:dyDescent="0.25">
      <c r="C1713" s="4">
        <v>4.9904399999999999E-16</v>
      </c>
      <c r="D1713" s="4">
        <v>3.7428299999999999E-16</v>
      </c>
      <c r="E1713" s="4">
        <v>4.9904399999999999E-16</v>
      </c>
      <c r="F1713" s="4">
        <v>2.4952199999999999E-16</v>
      </c>
      <c r="I1713" s="5">
        <v>3.7428299999999999E-16</v>
      </c>
      <c r="U1713" s="5"/>
    </row>
    <row r="1714" spans="3:21" x14ac:dyDescent="0.25">
      <c r="C1714" s="4">
        <v>4.9904399999999999E-16</v>
      </c>
      <c r="D1714" s="4">
        <v>3.7428299999999999E-16</v>
      </c>
      <c r="E1714" s="4">
        <v>4.9904399999999999E-16</v>
      </c>
      <c r="F1714" s="4">
        <v>2.4952199999999999E-16</v>
      </c>
      <c r="I1714" s="5">
        <v>3.7428299999999999E-16</v>
      </c>
      <c r="U1714" s="5"/>
    </row>
    <row r="1715" spans="3:21" x14ac:dyDescent="0.25">
      <c r="C1715" s="4">
        <v>4.9904399999999999E-16</v>
      </c>
      <c r="D1715" s="4">
        <v>3.7428299999999999E-16</v>
      </c>
      <c r="E1715" s="4">
        <v>4.9904399999999999E-16</v>
      </c>
      <c r="F1715" s="4">
        <v>2.4952199999999999E-16</v>
      </c>
      <c r="I1715" s="5">
        <v>3.7428299999999999E-16</v>
      </c>
      <c r="U1715" s="5"/>
    </row>
    <row r="1716" spans="3:21" x14ac:dyDescent="0.25">
      <c r="C1716" s="4">
        <v>4.9904399999999999E-16</v>
      </c>
      <c r="D1716" s="4">
        <v>3.7428299999999999E-16</v>
      </c>
      <c r="E1716" s="4">
        <v>4.9904399999999999E-16</v>
      </c>
      <c r="F1716" s="4">
        <v>2.4952199999999999E-16</v>
      </c>
      <c r="I1716" s="5">
        <v>3.7428299999999999E-16</v>
      </c>
      <c r="U1716" s="5"/>
    </row>
    <row r="1717" spans="3:21" x14ac:dyDescent="0.25">
      <c r="C1717" s="4">
        <v>4.9904399999999999E-16</v>
      </c>
      <c r="D1717" s="4">
        <v>3.7428299999999999E-16</v>
      </c>
      <c r="E1717" s="4">
        <v>4.9904399999999999E-16</v>
      </c>
      <c r="F1717" s="4">
        <v>2.4952199999999999E-16</v>
      </c>
      <c r="I1717" s="5">
        <v>3.7428299999999999E-16</v>
      </c>
      <c r="U1717" s="5"/>
    </row>
    <row r="1718" spans="3:21" x14ac:dyDescent="0.25">
      <c r="C1718" s="4">
        <v>4.9904399999999999E-16</v>
      </c>
      <c r="D1718" s="4">
        <v>3.7428299999999999E-16</v>
      </c>
      <c r="E1718" s="4">
        <v>4.9904399999999999E-16</v>
      </c>
      <c r="F1718" s="4">
        <v>2.4952199999999999E-16</v>
      </c>
      <c r="I1718" s="5">
        <v>3.7428299999999999E-16</v>
      </c>
      <c r="U1718" s="5"/>
    </row>
    <row r="1719" spans="3:21" x14ac:dyDescent="0.25">
      <c r="C1719" s="4">
        <v>4.9904399999999999E-16</v>
      </c>
      <c r="D1719" s="4">
        <v>3.7428299999999999E-16</v>
      </c>
      <c r="E1719" s="4">
        <v>3.7428299999999999E-16</v>
      </c>
      <c r="F1719" s="4">
        <v>2.4952199999999999E-16</v>
      </c>
      <c r="I1719" s="5">
        <v>3.7428299999999999E-16</v>
      </c>
      <c r="U1719" s="5"/>
    </row>
    <row r="1720" spans="3:21" x14ac:dyDescent="0.25">
      <c r="C1720" s="4">
        <v>4.9904399999999999E-16</v>
      </c>
      <c r="D1720" s="4">
        <v>3.7428299999999999E-16</v>
      </c>
      <c r="E1720" s="4">
        <v>3.7428299999999999E-16</v>
      </c>
      <c r="F1720" s="4">
        <v>2.4952199999999999E-16</v>
      </c>
      <c r="I1720" s="5">
        <v>3.7428299999999999E-16</v>
      </c>
      <c r="U1720" s="5"/>
    </row>
    <row r="1721" spans="3:21" x14ac:dyDescent="0.25">
      <c r="C1721" s="4">
        <v>4.9904399999999999E-16</v>
      </c>
      <c r="D1721" s="4">
        <v>3.7428299999999999E-16</v>
      </c>
      <c r="E1721" s="4">
        <v>3.7428299999999999E-16</v>
      </c>
      <c r="F1721" s="4">
        <v>2.4952199999999999E-16</v>
      </c>
      <c r="I1721" s="5">
        <v>3.7428299999999999E-16</v>
      </c>
      <c r="U1721" s="5"/>
    </row>
    <row r="1722" spans="3:21" x14ac:dyDescent="0.25">
      <c r="C1722" s="4">
        <v>4.9904399999999999E-16</v>
      </c>
      <c r="D1722" s="4">
        <v>3.7428299999999999E-16</v>
      </c>
      <c r="E1722" s="4">
        <v>3.7428299999999999E-16</v>
      </c>
      <c r="F1722" s="4">
        <v>2.4952199999999999E-16</v>
      </c>
      <c r="I1722" s="5">
        <v>3.7428299999999999E-16</v>
      </c>
      <c r="U1722" s="5"/>
    </row>
    <row r="1723" spans="3:21" x14ac:dyDescent="0.25">
      <c r="C1723" s="4">
        <v>4.9904399999999999E-16</v>
      </c>
      <c r="D1723" s="4">
        <v>3.7428299999999999E-16</v>
      </c>
      <c r="E1723" s="4">
        <v>3.7428299999999999E-16</v>
      </c>
      <c r="F1723" s="4">
        <v>2.4952199999999999E-16</v>
      </c>
      <c r="I1723" s="5">
        <v>3.7428299999999999E-16</v>
      </c>
      <c r="U1723" s="5"/>
    </row>
    <row r="1724" spans="3:21" x14ac:dyDescent="0.25">
      <c r="C1724" s="4">
        <v>4.9904399999999999E-16</v>
      </c>
      <c r="D1724" s="4">
        <v>3.7428299999999999E-16</v>
      </c>
      <c r="E1724" s="4">
        <v>3.7428299999999999E-16</v>
      </c>
      <c r="F1724" s="4">
        <v>2.4952199999999999E-16</v>
      </c>
      <c r="I1724" s="5">
        <v>3.7428299999999999E-16</v>
      </c>
      <c r="U1724" s="5"/>
    </row>
    <row r="1725" spans="3:21" x14ac:dyDescent="0.25">
      <c r="C1725" s="4">
        <v>4.9904399999999999E-16</v>
      </c>
      <c r="D1725" s="4">
        <v>3.7428299999999999E-16</v>
      </c>
      <c r="E1725" s="4">
        <v>3.7428299999999999E-16</v>
      </c>
      <c r="F1725" s="4">
        <v>2.4952199999999999E-16</v>
      </c>
      <c r="I1725" s="5">
        <v>3.7428299999999999E-16</v>
      </c>
      <c r="U1725" s="5"/>
    </row>
    <row r="1726" spans="3:21" x14ac:dyDescent="0.25">
      <c r="C1726" s="4">
        <v>4.9904399999999999E-16</v>
      </c>
      <c r="D1726" s="4">
        <v>3.7428299999999999E-16</v>
      </c>
      <c r="E1726" s="4">
        <v>3.7428299999999999E-16</v>
      </c>
      <c r="F1726" s="4">
        <v>2.4952199999999999E-16</v>
      </c>
      <c r="I1726" s="5">
        <v>3.7428299999999999E-16</v>
      </c>
      <c r="U1726" s="5"/>
    </row>
    <row r="1727" spans="3:21" x14ac:dyDescent="0.25">
      <c r="C1727" s="4">
        <v>4.9904399999999999E-16</v>
      </c>
      <c r="D1727" s="4">
        <v>3.7428299999999999E-16</v>
      </c>
      <c r="E1727" s="4">
        <v>3.7428299999999999E-16</v>
      </c>
      <c r="F1727" s="4">
        <v>2.4952199999999999E-16</v>
      </c>
      <c r="I1727" s="5">
        <v>3.7428299999999999E-16</v>
      </c>
      <c r="U1727" s="5"/>
    </row>
    <row r="1728" spans="3:21" x14ac:dyDescent="0.25">
      <c r="C1728" s="4">
        <v>4.9904399999999999E-16</v>
      </c>
      <c r="D1728" s="4">
        <v>3.7428299999999999E-16</v>
      </c>
      <c r="E1728" s="4">
        <v>3.7428299999999999E-16</v>
      </c>
      <c r="F1728" s="4">
        <v>2.4952199999999999E-16</v>
      </c>
      <c r="I1728" s="5">
        <v>3.7428299999999999E-16</v>
      </c>
      <c r="U1728" s="5"/>
    </row>
    <row r="1729" spans="3:21" x14ac:dyDescent="0.25">
      <c r="C1729" s="4">
        <v>4.9904399999999999E-16</v>
      </c>
      <c r="D1729" s="4">
        <v>3.7428299999999999E-16</v>
      </c>
      <c r="E1729" s="4">
        <v>3.7428299999999999E-16</v>
      </c>
      <c r="F1729" s="4">
        <v>2.4952199999999999E-16</v>
      </c>
      <c r="I1729" s="5">
        <v>3.7428299999999999E-16</v>
      </c>
      <c r="U1729" s="5"/>
    </row>
    <row r="1730" spans="3:21" x14ac:dyDescent="0.25">
      <c r="C1730" s="4">
        <v>4.9904399999999999E-16</v>
      </c>
      <c r="D1730" s="4">
        <v>3.7428299999999999E-16</v>
      </c>
      <c r="E1730" s="4">
        <v>3.7428299999999999E-16</v>
      </c>
      <c r="F1730" s="4">
        <v>2.4952199999999999E-16</v>
      </c>
      <c r="I1730" s="5">
        <v>3.7428299999999999E-16</v>
      </c>
      <c r="U1730" s="5"/>
    </row>
    <row r="1731" spans="3:21" x14ac:dyDescent="0.25">
      <c r="C1731" s="4">
        <v>4.9904399999999999E-16</v>
      </c>
      <c r="D1731" s="4">
        <v>3.7428299999999999E-16</v>
      </c>
      <c r="E1731" s="4">
        <v>3.7428299999999999E-16</v>
      </c>
      <c r="F1731" s="4">
        <v>2.4952199999999999E-16</v>
      </c>
      <c r="I1731" s="5">
        <v>3.7428299999999999E-16</v>
      </c>
      <c r="U1731" s="5"/>
    </row>
    <row r="1732" spans="3:21" x14ac:dyDescent="0.25">
      <c r="C1732" s="4">
        <v>4.9904399999999999E-16</v>
      </c>
      <c r="D1732" s="4">
        <v>3.7428299999999999E-16</v>
      </c>
      <c r="E1732" s="4">
        <v>3.7428299999999999E-16</v>
      </c>
      <c r="F1732" s="4">
        <v>1.24761E-16</v>
      </c>
      <c r="I1732" s="5">
        <v>3.7428299999999999E-16</v>
      </c>
      <c r="U1732" s="5"/>
    </row>
    <row r="1733" spans="3:21" x14ac:dyDescent="0.25">
      <c r="C1733" s="4">
        <v>4.9904399999999999E-16</v>
      </c>
      <c r="D1733" s="4">
        <v>3.7428299999999999E-16</v>
      </c>
      <c r="E1733" s="4">
        <v>3.7428299999999999E-16</v>
      </c>
      <c r="F1733" s="4">
        <v>1.24761E-16</v>
      </c>
      <c r="I1733" s="5">
        <v>3.7428299999999999E-16</v>
      </c>
      <c r="U1733" s="5"/>
    </row>
    <row r="1734" spans="3:21" x14ac:dyDescent="0.25">
      <c r="C1734" s="4">
        <v>4.9904399999999999E-16</v>
      </c>
      <c r="D1734" s="4">
        <v>3.7428299999999999E-16</v>
      </c>
      <c r="E1734" s="4">
        <v>3.7428299999999999E-16</v>
      </c>
      <c r="F1734" s="4">
        <v>1.24761E-16</v>
      </c>
      <c r="I1734" s="5">
        <v>3.7428299999999999E-16</v>
      </c>
      <c r="U1734" s="5"/>
    </row>
    <row r="1735" spans="3:21" x14ac:dyDescent="0.25">
      <c r="C1735" s="4">
        <v>4.9904399999999999E-16</v>
      </c>
      <c r="D1735" s="4">
        <v>2.4952199999999999E-16</v>
      </c>
      <c r="E1735" s="4">
        <v>3.7428299999999999E-16</v>
      </c>
      <c r="F1735" s="4">
        <v>1.24761E-16</v>
      </c>
      <c r="I1735" s="5">
        <v>3.7428299999999999E-16</v>
      </c>
      <c r="U1735" s="5"/>
    </row>
    <row r="1736" spans="3:21" x14ac:dyDescent="0.25">
      <c r="C1736" s="4">
        <v>4.9904399999999999E-16</v>
      </c>
      <c r="D1736" s="4">
        <v>2.4952199999999999E-16</v>
      </c>
      <c r="E1736" s="4">
        <v>3.7428299999999999E-16</v>
      </c>
      <c r="F1736" s="4">
        <v>1.24761E-16</v>
      </c>
      <c r="I1736" s="5">
        <v>3.7428299999999999E-16</v>
      </c>
      <c r="U1736" s="5"/>
    </row>
    <row r="1737" spans="3:21" x14ac:dyDescent="0.25">
      <c r="C1737" s="4">
        <v>4.9904399999999999E-16</v>
      </c>
      <c r="D1737" s="4">
        <v>2.4952199999999999E-16</v>
      </c>
      <c r="E1737" s="4">
        <v>3.7428299999999999E-16</v>
      </c>
      <c r="F1737" s="4">
        <v>1.24761E-16</v>
      </c>
      <c r="I1737" s="5">
        <v>3.7428299999999999E-16</v>
      </c>
      <c r="U1737" s="5"/>
    </row>
    <row r="1738" spans="3:21" x14ac:dyDescent="0.25">
      <c r="C1738" s="4">
        <v>4.9904399999999999E-16</v>
      </c>
      <c r="D1738" s="4">
        <v>2.4952199999999999E-16</v>
      </c>
      <c r="E1738" s="4">
        <v>3.7428299999999999E-16</v>
      </c>
      <c r="F1738" s="4">
        <v>1.24761E-16</v>
      </c>
      <c r="I1738" s="5">
        <v>3.7428299999999999E-16</v>
      </c>
      <c r="U1738" s="5"/>
    </row>
    <row r="1739" spans="3:21" x14ac:dyDescent="0.25">
      <c r="C1739" s="4">
        <v>4.9904399999999999E-16</v>
      </c>
      <c r="D1739" s="4">
        <v>2.4952199999999999E-16</v>
      </c>
      <c r="E1739" s="4">
        <v>3.7428299999999999E-16</v>
      </c>
      <c r="F1739" s="4">
        <v>1.24761E-16</v>
      </c>
      <c r="I1739" s="5">
        <v>3.7428299999999999E-16</v>
      </c>
      <c r="U1739" s="5"/>
    </row>
    <row r="1740" spans="3:21" x14ac:dyDescent="0.25">
      <c r="C1740" s="4">
        <v>4.9904399999999999E-16</v>
      </c>
      <c r="D1740" s="4">
        <v>2.4952199999999999E-16</v>
      </c>
      <c r="E1740" s="4">
        <v>3.7428299999999999E-16</v>
      </c>
      <c r="F1740" s="4">
        <v>1.24761E-16</v>
      </c>
      <c r="I1740" s="5">
        <v>3.7428299999999999E-16</v>
      </c>
      <c r="U1740" s="5"/>
    </row>
    <row r="1741" spans="3:21" x14ac:dyDescent="0.25">
      <c r="C1741" s="4">
        <v>4.9904399999999999E-16</v>
      </c>
      <c r="D1741" s="4">
        <v>2.4952199999999999E-16</v>
      </c>
      <c r="E1741" s="4">
        <v>3.7428299999999999E-16</v>
      </c>
      <c r="F1741" s="4">
        <v>1.24761E-16</v>
      </c>
      <c r="I1741" s="5">
        <v>3.7428299999999999E-16</v>
      </c>
      <c r="U1741" s="5"/>
    </row>
    <row r="1742" spans="3:21" x14ac:dyDescent="0.25">
      <c r="C1742" s="4">
        <v>4.9904399999999999E-16</v>
      </c>
      <c r="D1742" s="4">
        <v>2.4952199999999999E-16</v>
      </c>
      <c r="E1742" s="4">
        <v>3.7428299999999999E-16</v>
      </c>
      <c r="F1742" s="4">
        <v>1.24761E-16</v>
      </c>
      <c r="I1742" s="5">
        <v>3.7428299999999999E-16</v>
      </c>
      <c r="U1742" s="5"/>
    </row>
    <row r="1743" spans="3:21" x14ac:dyDescent="0.25">
      <c r="C1743" s="4">
        <v>4.9904399999999999E-16</v>
      </c>
      <c r="D1743" s="4">
        <v>2.4952199999999999E-16</v>
      </c>
      <c r="E1743" s="4">
        <v>3.7428299999999999E-16</v>
      </c>
      <c r="F1743" s="4">
        <v>1.24761E-16</v>
      </c>
      <c r="I1743" s="5">
        <v>3.7428299999999999E-16</v>
      </c>
      <c r="U1743" s="5"/>
    </row>
    <row r="1744" spans="3:21" x14ac:dyDescent="0.25">
      <c r="C1744" s="4">
        <v>4.9904399999999999E-16</v>
      </c>
      <c r="D1744" s="4">
        <v>2.4952199999999999E-16</v>
      </c>
      <c r="E1744" s="4">
        <v>3.7428299999999999E-16</v>
      </c>
      <c r="F1744" s="4">
        <v>1.24761E-16</v>
      </c>
      <c r="I1744" s="5">
        <v>3.7428299999999999E-16</v>
      </c>
      <c r="U1744" s="5"/>
    </row>
    <row r="1745" spans="3:21" x14ac:dyDescent="0.25">
      <c r="C1745" s="4">
        <v>4.9904399999999999E-16</v>
      </c>
      <c r="D1745" s="4">
        <v>2.4952199999999999E-16</v>
      </c>
      <c r="E1745" s="4">
        <v>3.7428299999999999E-16</v>
      </c>
      <c r="F1745" s="4">
        <v>1.24761E-16</v>
      </c>
      <c r="I1745" s="5">
        <v>3.7428299999999999E-16</v>
      </c>
      <c r="U1745" s="5"/>
    </row>
    <row r="1746" spans="3:21" x14ac:dyDescent="0.25">
      <c r="C1746" s="4">
        <v>4.9904399999999999E-16</v>
      </c>
      <c r="D1746" s="4">
        <v>2.4952199999999999E-16</v>
      </c>
      <c r="E1746" s="4">
        <v>3.7428299999999999E-16</v>
      </c>
      <c r="F1746" s="4">
        <v>1.24761E-16</v>
      </c>
      <c r="I1746" s="5">
        <v>3.7428299999999999E-16</v>
      </c>
      <c r="U1746" s="5"/>
    </row>
    <row r="1747" spans="3:21" x14ac:dyDescent="0.25">
      <c r="C1747" s="4">
        <v>4.9904399999999999E-16</v>
      </c>
      <c r="D1747" s="4">
        <v>2.4952199999999999E-16</v>
      </c>
      <c r="E1747" s="4">
        <v>3.7428299999999999E-16</v>
      </c>
      <c r="F1747" s="4">
        <v>1.24761E-16</v>
      </c>
      <c r="I1747" s="5">
        <v>3.7428299999999999E-16</v>
      </c>
      <c r="U1747" s="5"/>
    </row>
    <row r="1748" spans="3:21" x14ac:dyDescent="0.25">
      <c r="C1748" s="4">
        <v>4.9904399999999999E-16</v>
      </c>
      <c r="D1748" s="4">
        <v>2.4952199999999999E-16</v>
      </c>
      <c r="E1748" s="4">
        <v>3.7428299999999999E-16</v>
      </c>
      <c r="F1748" s="4">
        <v>1.24761E-16</v>
      </c>
      <c r="I1748" s="5">
        <v>3.7428299999999999E-16</v>
      </c>
      <c r="U1748" s="5"/>
    </row>
    <row r="1749" spans="3:21" x14ac:dyDescent="0.25">
      <c r="C1749" s="4">
        <v>4.9904399999999999E-16</v>
      </c>
      <c r="D1749" s="4">
        <v>2.4952199999999999E-16</v>
      </c>
      <c r="E1749" s="4">
        <v>3.7428299999999999E-16</v>
      </c>
      <c r="F1749" s="4">
        <v>1.24761E-16</v>
      </c>
      <c r="I1749" s="5">
        <v>3.7428299999999999E-16</v>
      </c>
      <c r="U1749" s="5"/>
    </row>
    <row r="1750" spans="3:21" x14ac:dyDescent="0.25">
      <c r="C1750" s="4">
        <v>4.9904399999999999E-16</v>
      </c>
      <c r="D1750" s="4">
        <v>2.4952199999999999E-16</v>
      </c>
      <c r="E1750" s="4">
        <v>3.7428299999999999E-16</v>
      </c>
      <c r="F1750" s="4">
        <v>1.24761E-16</v>
      </c>
      <c r="I1750" s="5">
        <v>3.7428299999999999E-16</v>
      </c>
      <c r="U1750" s="5"/>
    </row>
    <row r="1751" spans="3:21" x14ac:dyDescent="0.25">
      <c r="C1751" s="4">
        <v>4.9904399999999999E-16</v>
      </c>
      <c r="D1751" s="4">
        <v>2.4952199999999999E-16</v>
      </c>
      <c r="E1751" s="4">
        <v>3.7428299999999999E-16</v>
      </c>
      <c r="F1751" s="4">
        <v>1.24761E-16</v>
      </c>
      <c r="I1751" s="5">
        <v>3.7428299999999999E-16</v>
      </c>
      <c r="U1751" s="5"/>
    </row>
    <row r="1752" spans="3:21" x14ac:dyDescent="0.25">
      <c r="C1752" s="4">
        <v>4.9904399999999999E-16</v>
      </c>
      <c r="D1752" s="4">
        <v>2.4952199999999999E-16</v>
      </c>
      <c r="E1752" s="4">
        <v>3.7428299999999999E-16</v>
      </c>
      <c r="F1752" s="4">
        <v>1.24761E-16</v>
      </c>
      <c r="I1752" s="5">
        <v>3.7428299999999999E-16</v>
      </c>
      <c r="U1752" s="5"/>
    </row>
    <row r="1753" spans="3:21" x14ac:dyDescent="0.25">
      <c r="C1753" s="4">
        <v>4.9904399999999999E-16</v>
      </c>
      <c r="D1753" s="4">
        <v>2.4952199999999999E-16</v>
      </c>
      <c r="E1753" s="4">
        <v>3.7428299999999999E-16</v>
      </c>
      <c r="F1753" s="4">
        <v>1.24761E-16</v>
      </c>
      <c r="I1753" s="5">
        <v>3.7428299999999999E-16</v>
      </c>
      <c r="U1753" s="5"/>
    </row>
    <row r="1754" spans="3:21" x14ac:dyDescent="0.25">
      <c r="C1754" s="4">
        <v>4.9904399999999999E-16</v>
      </c>
      <c r="D1754" s="4">
        <v>2.4952199999999999E-16</v>
      </c>
      <c r="E1754" s="4">
        <v>3.7428299999999999E-16</v>
      </c>
      <c r="F1754" s="4">
        <v>1.24761E-16</v>
      </c>
      <c r="I1754" s="5">
        <v>3.7428299999999999E-16</v>
      </c>
      <c r="U1754" s="5"/>
    </row>
    <row r="1755" spans="3:21" x14ac:dyDescent="0.25">
      <c r="C1755" s="4">
        <v>4.9904399999999999E-16</v>
      </c>
      <c r="D1755" s="4">
        <v>2.4952199999999999E-16</v>
      </c>
      <c r="E1755" s="4">
        <v>3.7428299999999999E-16</v>
      </c>
      <c r="F1755" s="4">
        <v>1.24761E-16</v>
      </c>
      <c r="I1755" s="5">
        <v>3.7428299999999999E-16</v>
      </c>
      <c r="U1755" s="5"/>
    </row>
    <row r="1756" spans="3:21" x14ac:dyDescent="0.25">
      <c r="C1756" s="4">
        <v>4.9904399999999999E-16</v>
      </c>
      <c r="D1756" s="4">
        <v>2.4952199999999999E-16</v>
      </c>
      <c r="E1756" s="4">
        <v>3.7428299999999999E-16</v>
      </c>
      <c r="F1756" s="4">
        <v>1.24761E-16</v>
      </c>
      <c r="I1756" s="5">
        <v>3.7428299999999999E-16</v>
      </c>
      <c r="U1756" s="5"/>
    </row>
    <row r="1757" spans="3:21" x14ac:dyDescent="0.25">
      <c r="C1757" s="4">
        <v>4.9904399999999999E-16</v>
      </c>
      <c r="D1757" s="4">
        <v>2.4952199999999999E-16</v>
      </c>
      <c r="E1757" s="4">
        <v>3.7428299999999999E-16</v>
      </c>
      <c r="F1757" s="4">
        <v>1.24761E-16</v>
      </c>
      <c r="I1757" s="5">
        <v>3.7428299999999999E-16</v>
      </c>
      <c r="U1757" s="5"/>
    </row>
    <row r="1758" spans="3:21" x14ac:dyDescent="0.25">
      <c r="C1758" s="4">
        <v>4.9904399999999999E-16</v>
      </c>
      <c r="D1758" s="4">
        <v>2.4952199999999999E-16</v>
      </c>
      <c r="E1758" s="4">
        <v>3.7428299999999999E-16</v>
      </c>
      <c r="F1758" s="4">
        <v>1.24761E-16</v>
      </c>
      <c r="I1758" s="5">
        <v>3.7428299999999999E-16</v>
      </c>
      <c r="U1758" s="5"/>
    </row>
    <row r="1759" spans="3:21" x14ac:dyDescent="0.25">
      <c r="C1759" s="4">
        <v>4.9904399999999999E-16</v>
      </c>
      <c r="D1759" s="4">
        <v>2.4952199999999999E-16</v>
      </c>
      <c r="E1759" s="4">
        <v>3.7428299999999999E-16</v>
      </c>
      <c r="F1759" s="4">
        <v>1.24761E-16</v>
      </c>
      <c r="I1759" s="5">
        <v>3.7428299999999999E-16</v>
      </c>
      <c r="U1759" s="5"/>
    </row>
    <row r="1760" spans="3:21" x14ac:dyDescent="0.25">
      <c r="C1760" s="4">
        <v>4.9904399999999999E-16</v>
      </c>
      <c r="D1760" s="4">
        <v>2.4952199999999999E-16</v>
      </c>
      <c r="E1760" s="4">
        <v>3.7428299999999999E-16</v>
      </c>
      <c r="F1760" s="4">
        <v>1.24761E-16</v>
      </c>
      <c r="I1760" s="5">
        <v>3.7428299999999999E-16</v>
      </c>
      <c r="U1760" s="5"/>
    </row>
    <row r="1761" spans="3:21" x14ac:dyDescent="0.25">
      <c r="C1761" s="4">
        <v>4.9904399999999999E-16</v>
      </c>
      <c r="D1761" s="4">
        <v>2.4952199999999999E-16</v>
      </c>
      <c r="E1761" s="4">
        <v>3.7428299999999999E-16</v>
      </c>
      <c r="F1761" s="4">
        <v>1.24761E-16</v>
      </c>
      <c r="I1761" s="5">
        <v>3.7428299999999999E-16</v>
      </c>
      <c r="U1761" s="5"/>
    </row>
    <row r="1762" spans="3:21" x14ac:dyDescent="0.25">
      <c r="C1762" s="4">
        <v>4.9904399999999999E-16</v>
      </c>
      <c r="D1762" s="4">
        <v>2.4952199999999999E-16</v>
      </c>
      <c r="E1762" s="4">
        <v>3.7428299999999999E-16</v>
      </c>
      <c r="F1762" s="4">
        <v>1.24761E-16</v>
      </c>
      <c r="I1762" s="5">
        <v>2.4952199999999999E-16</v>
      </c>
      <c r="U1762" s="5"/>
    </row>
    <row r="1763" spans="3:21" x14ac:dyDescent="0.25">
      <c r="C1763" s="4">
        <v>4.9904399999999999E-16</v>
      </c>
      <c r="D1763" s="4">
        <v>2.4952199999999999E-16</v>
      </c>
      <c r="E1763" s="4">
        <v>3.7428299999999999E-16</v>
      </c>
      <c r="F1763" s="4">
        <v>1.24761E-16</v>
      </c>
      <c r="I1763" s="5">
        <v>2.4952199999999999E-16</v>
      </c>
      <c r="U1763" s="5"/>
    </row>
    <row r="1764" spans="3:21" x14ac:dyDescent="0.25">
      <c r="C1764" s="4">
        <v>4.9904399999999999E-16</v>
      </c>
      <c r="D1764" s="4">
        <v>2.4952199999999999E-16</v>
      </c>
      <c r="E1764" s="4">
        <v>3.7428299999999999E-16</v>
      </c>
      <c r="F1764" s="4">
        <v>1.24761E-16</v>
      </c>
      <c r="I1764" s="5">
        <v>2.4952199999999999E-16</v>
      </c>
      <c r="U1764" s="5"/>
    </row>
    <row r="1765" spans="3:21" x14ac:dyDescent="0.25">
      <c r="C1765" s="4">
        <v>4.9904399999999999E-16</v>
      </c>
      <c r="D1765" s="4">
        <v>2.4952199999999999E-16</v>
      </c>
      <c r="E1765" s="4">
        <v>3.7428299999999999E-16</v>
      </c>
      <c r="F1765" s="4">
        <v>1.24761E-16</v>
      </c>
      <c r="I1765" s="5">
        <v>2.4952199999999999E-16</v>
      </c>
      <c r="U1765" s="5"/>
    </row>
    <row r="1766" spans="3:21" x14ac:dyDescent="0.25">
      <c r="C1766" s="4">
        <v>4.9904399999999999E-16</v>
      </c>
      <c r="D1766" s="4">
        <v>2.4952199999999999E-16</v>
      </c>
      <c r="E1766" s="4">
        <v>3.7428299999999999E-16</v>
      </c>
      <c r="F1766" s="4">
        <v>1.24761E-16</v>
      </c>
      <c r="I1766" s="5">
        <v>2.4952199999999999E-16</v>
      </c>
      <c r="U1766" s="5"/>
    </row>
    <row r="1767" spans="3:21" x14ac:dyDescent="0.25">
      <c r="C1767" s="4">
        <v>4.9904399999999999E-16</v>
      </c>
      <c r="D1767" s="4">
        <v>2.4952199999999999E-16</v>
      </c>
      <c r="E1767" s="4">
        <v>3.7428299999999999E-16</v>
      </c>
      <c r="F1767" s="4">
        <v>1.24761E-16</v>
      </c>
      <c r="I1767" s="5">
        <v>2.4952199999999999E-16</v>
      </c>
      <c r="U1767" s="5"/>
    </row>
    <row r="1768" spans="3:21" x14ac:dyDescent="0.25">
      <c r="C1768" s="4">
        <v>4.9904399999999999E-16</v>
      </c>
      <c r="D1768" s="4">
        <v>2.4952199999999999E-16</v>
      </c>
      <c r="E1768" s="4">
        <v>3.7428299999999999E-16</v>
      </c>
      <c r="F1768" s="4">
        <v>1.24761E-16</v>
      </c>
      <c r="I1768" s="5">
        <v>2.4952199999999999E-16</v>
      </c>
      <c r="U1768" s="5"/>
    </row>
    <row r="1769" spans="3:21" x14ac:dyDescent="0.25">
      <c r="C1769" s="4">
        <v>4.9904399999999999E-16</v>
      </c>
      <c r="D1769" s="4">
        <v>2.4952199999999999E-16</v>
      </c>
      <c r="E1769" s="4">
        <v>3.7428299999999999E-16</v>
      </c>
      <c r="F1769" s="4">
        <v>1.24761E-16</v>
      </c>
      <c r="I1769" s="5">
        <v>2.4952199999999999E-16</v>
      </c>
      <c r="U1769" s="5"/>
    </row>
    <row r="1770" spans="3:21" x14ac:dyDescent="0.25">
      <c r="C1770" s="4">
        <v>4.9904399999999999E-16</v>
      </c>
      <c r="D1770" s="4">
        <v>2.4952199999999999E-16</v>
      </c>
      <c r="E1770" s="4">
        <v>3.7428299999999999E-16</v>
      </c>
      <c r="F1770" s="4">
        <v>1.24761E-16</v>
      </c>
      <c r="I1770" s="5">
        <v>2.4952199999999999E-16</v>
      </c>
      <c r="U1770" s="5"/>
    </row>
    <row r="1771" spans="3:21" x14ac:dyDescent="0.25">
      <c r="C1771" s="4">
        <v>4.9904399999999999E-16</v>
      </c>
      <c r="D1771" s="4">
        <v>2.4952199999999999E-16</v>
      </c>
      <c r="E1771" s="4">
        <v>3.7428299999999999E-16</v>
      </c>
      <c r="F1771" s="4">
        <v>1.24761E-16</v>
      </c>
      <c r="I1771" s="5">
        <v>2.4952199999999999E-16</v>
      </c>
      <c r="U1771" s="5"/>
    </row>
    <row r="1772" spans="3:21" x14ac:dyDescent="0.25">
      <c r="C1772" s="4">
        <v>4.9904399999999999E-16</v>
      </c>
      <c r="D1772" s="4">
        <v>2.4952199999999999E-16</v>
      </c>
      <c r="E1772" s="4">
        <v>3.7428299999999999E-16</v>
      </c>
      <c r="F1772" s="4">
        <v>1.24761E-16</v>
      </c>
      <c r="I1772" s="5">
        <v>2.4952199999999999E-16</v>
      </c>
      <c r="U1772" s="5"/>
    </row>
    <row r="1773" spans="3:21" x14ac:dyDescent="0.25">
      <c r="C1773" s="4">
        <v>4.9904399999999999E-16</v>
      </c>
      <c r="D1773" s="4">
        <v>2.4952199999999999E-16</v>
      </c>
      <c r="E1773" s="4">
        <v>3.7428299999999999E-16</v>
      </c>
      <c r="F1773" s="4">
        <v>1.24761E-16</v>
      </c>
      <c r="I1773" s="5">
        <v>2.4952199999999999E-16</v>
      </c>
      <c r="U1773" s="5"/>
    </row>
    <row r="1774" spans="3:21" x14ac:dyDescent="0.25">
      <c r="C1774" s="4">
        <v>4.9904399999999999E-16</v>
      </c>
      <c r="D1774" s="4">
        <v>2.4952199999999999E-16</v>
      </c>
      <c r="E1774" s="4">
        <v>3.7428299999999999E-16</v>
      </c>
      <c r="F1774" s="4">
        <v>1.24761E-16</v>
      </c>
      <c r="I1774" s="5">
        <v>2.4952199999999999E-16</v>
      </c>
      <c r="U1774" s="5"/>
    </row>
    <row r="1775" spans="3:21" x14ac:dyDescent="0.25">
      <c r="C1775" s="4">
        <v>4.9904399999999999E-16</v>
      </c>
      <c r="D1775" s="4">
        <v>2.4952199999999999E-16</v>
      </c>
      <c r="E1775" s="4">
        <v>3.7428299999999999E-16</v>
      </c>
      <c r="F1775" s="4">
        <v>1.24761E-16</v>
      </c>
      <c r="I1775" s="5">
        <v>2.4952199999999999E-16</v>
      </c>
      <c r="U1775" s="5"/>
    </row>
    <row r="1776" spans="3:21" x14ac:dyDescent="0.25">
      <c r="C1776" s="4">
        <v>4.9904399999999999E-16</v>
      </c>
      <c r="D1776" s="4">
        <v>2.4952199999999999E-16</v>
      </c>
      <c r="E1776" s="4">
        <v>3.7428299999999999E-16</v>
      </c>
      <c r="F1776" s="4">
        <v>1.24761E-16</v>
      </c>
      <c r="I1776" s="5">
        <v>2.4952199999999999E-16</v>
      </c>
      <c r="U1776" s="5"/>
    </row>
    <row r="1777" spans="3:21" x14ac:dyDescent="0.25">
      <c r="C1777" s="4">
        <v>3.7428299999999999E-16</v>
      </c>
      <c r="D1777" s="4">
        <v>2.4952199999999999E-16</v>
      </c>
      <c r="E1777" s="4">
        <v>3.7428299999999999E-16</v>
      </c>
      <c r="F1777" s="4">
        <v>1.24761E-16</v>
      </c>
      <c r="I1777" s="5">
        <v>2.4952199999999999E-16</v>
      </c>
      <c r="U1777" s="5"/>
    </row>
    <row r="1778" spans="3:21" x14ac:dyDescent="0.25">
      <c r="C1778" s="4">
        <v>3.7428299999999999E-16</v>
      </c>
      <c r="D1778" s="4">
        <v>2.4952199999999999E-16</v>
      </c>
      <c r="E1778" s="4">
        <v>3.7428299999999999E-16</v>
      </c>
      <c r="F1778" s="4">
        <v>1.24761E-16</v>
      </c>
      <c r="I1778" s="5">
        <v>2.4952199999999999E-16</v>
      </c>
      <c r="U1778" s="5"/>
    </row>
    <row r="1779" spans="3:21" x14ac:dyDescent="0.25">
      <c r="C1779" s="4">
        <v>3.7428299999999999E-16</v>
      </c>
      <c r="D1779" s="4">
        <v>2.4952199999999999E-16</v>
      </c>
      <c r="E1779" s="4">
        <v>3.7428299999999999E-16</v>
      </c>
      <c r="F1779" s="4">
        <v>1.24761E-16</v>
      </c>
      <c r="I1779" s="5">
        <v>2.4952199999999999E-16</v>
      </c>
      <c r="U1779" s="5"/>
    </row>
    <row r="1780" spans="3:21" x14ac:dyDescent="0.25">
      <c r="C1780" s="4">
        <v>3.7428299999999999E-16</v>
      </c>
      <c r="D1780" s="4">
        <v>2.4952199999999999E-16</v>
      </c>
      <c r="E1780" s="4">
        <v>3.7428299999999999E-16</v>
      </c>
      <c r="F1780" s="4">
        <v>1.24761E-16</v>
      </c>
      <c r="I1780" s="5">
        <v>2.4952199999999999E-16</v>
      </c>
      <c r="U1780" s="5"/>
    </row>
    <row r="1781" spans="3:21" x14ac:dyDescent="0.25">
      <c r="C1781" s="4">
        <v>3.7428299999999999E-16</v>
      </c>
      <c r="D1781" s="4">
        <v>2.4952199999999999E-16</v>
      </c>
      <c r="E1781" s="4">
        <v>3.7428299999999999E-16</v>
      </c>
      <c r="F1781" s="4">
        <v>1.24761E-16</v>
      </c>
      <c r="I1781" s="5">
        <v>2.4952199999999999E-16</v>
      </c>
      <c r="U1781" s="5"/>
    </row>
    <row r="1782" spans="3:21" x14ac:dyDescent="0.25">
      <c r="C1782" s="4">
        <v>3.7428299999999999E-16</v>
      </c>
      <c r="D1782" s="4">
        <v>2.4952199999999999E-16</v>
      </c>
      <c r="E1782" s="4">
        <v>3.7428299999999999E-16</v>
      </c>
      <c r="F1782" s="4">
        <v>1.24761E-16</v>
      </c>
      <c r="I1782" s="5">
        <v>2.4952199999999999E-16</v>
      </c>
      <c r="U1782" s="5"/>
    </row>
    <row r="1783" spans="3:21" x14ac:dyDescent="0.25">
      <c r="C1783" s="4">
        <v>3.7428299999999999E-16</v>
      </c>
      <c r="D1783" s="4">
        <v>2.4952199999999999E-16</v>
      </c>
      <c r="E1783" s="4">
        <v>3.7428299999999999E-16</v>
      </c>
      <c r="F1783" s="4">
        <v>1.24761E-16</v>
      </c>
      <c r="I1783" s="5">
        <v>2.4952199999999999E-16</v>
      </c>
      <c r="U1783" s="5"/>
    </row>
    <row r="1784" spans="3:21" x14ac:dyDescent="0.25">
      <c r="C1784" s="4">
        <v>3.7428299999999999E-16</v>
      </c>
      <c r="D1784" s="4">
        <v>2.4952199999999999E-16</v>
      </c>
      <c r="E1784" s="4">
        <v>3.7428299999999999E-16</v>
      </c>
      <c r="F1784" s="4">
        <v>1.24761E-16</v>
      </c>
      <c r="I1784" s="5">
        <v>2.4952199999999999E-16</v>
      </c>
      <c r="U1784" s="5"/>
    </row>
    <row r="1785" spans="3:21" x14ac:dyDescent="0.25">
      <c r="C1785" s="4">
        <v>3.7428299999999999E-16</v>
      </c>
      <c r="D1785" s="4">
        <v>2.4952199999999999E-16</v>
      </c>
      <c r="E1785" s="4">
        <v>3.7428299999999999E-16</v>
      </c>
      <c r="F1785" s="4">
        <v>1.24761E-16</v>
      </c>
      <c r="I1785" s="5">
        <v>2.4952199999999999E-16</v>
      </c>
      <c r="U1785" s="5"/>
    </row>
    <row r="1786" spans="3:21" x14ac:dyDescent="0.25">
      <c r="C1786" s="4">
        <v>3.7428299999999999E-16</v>
      </c>
      <c r="D1786" s="4">
        <v>2.4952199999999999E-16</v>
      </c>
      <c r="E1786" s="4">
        <v>3.7428299999999999E-16</v>
      </c>
      <c r="F1786" s="4">
        <v>1.24761E-16</v>
      </c>
      <c r="I1786" s="5">
        <v>2.4952199999999999E-16</v>
      </c>
      <c r="U1786" s="5"/>
    </row>
    <row r="1787" spans="3:21" x14ac:dyDescent="0.25">
      <c r="C1787" s="4">
        <v>3.7428299999999999E-16</v>
      </c>
      <c r="D1787" s="4">
        <v>2.4952199999999999E-16</v>
      </c>
      <c r="E1787" s="4">
        <v>3.7428299999999999E-16</v>
      </c>
      <c r="F1787" s="4">
        <v>1.24761E-16</v>
      </c>
      <c r="I1787" s="5">
        <v>2.4952199999999999E-16</v>
      </c>
      <c r="U1787" s="5"/>
    </row>
    <row r="1788" spans="3:21" x14ac:dyDescent="0.25">
      <c r="C1788" s="4">
        <v>3.7428299999999999E-16</v>
      </c>
      <c r="D1788" s="4">
        <v>2.4952199999999999E-16</v>
      </c>
      <c r="E1788" s="4">
        <v>3.7428299999999999E-16</v>
      </c>
      <c r="F1788" s="4">
        <v>1.24761E-16</v>
      </c>
      <c r="I1788" s="5">
        <v>2.4952199999999999E-16</v>
      </c>
      <c r="U1788" s="5"/>
    </row>
    <row r="1789" spans="3:21" x14ac:dyDescent="0.25">
      <c r="C1789" s="4">
        <v>3.7428299999999999E-16</v>
      </c>
      <c r="D1789" s="4">
        <v>2.4952199999999999E-16</v>
      </c>
      <c r="E1789" s="4">
        <v>3.7428299999999999E-16</v>
      </c>
      <c r="F1789" s="4">
        <v>1.24761E-16</v>
      </c>
      <c r="I1789" s="5">
        <v>2.4952199999999999E-16</v>
      </c>
      <c r="U1789" s="5"/>
    </row>
    <row r="1790" spans="3:21" x14ac:dyDescent="0.25">
      <c r="C1790" s="4">
        <v>3.7428299999999999E-16</v>
      </c>
      <c r="D1790" s="4">
        <v>2.4952199999999999E-16</v>
      </c>
      <c r="E1790" s="4">
        <v>3.7428299999999999E-16</v>
      </c>
      <c r="F1790" s="4">
        <v>1.24761E-16</v>
      </c>
      <c r="I1790" s="5">
        <v>2.4952199999999999E-16</v>
      </c>
      <c r="U1790" s="5"/>
    </row>
    <row r="1791" spans="3:21" x14ac:dyDescent="0.25">
      <c r="C1791" s="4">
        <v>3.7428299999999999E-16</v>
      </c>
      <c r="D1791" s="4">
        <v>2.4952199999999999E-16</v>
      </c>
      <c r="E1791" s="4">
        <v>3.7428299999999999E-16</v>
      </c>
      <c r="F1791" s="4">
        <v>1.24761E-16</v>
      </c>
      <c r="I1791" s="5">
        <v>2.4952199999999999E-16</v>
      </c>
      <c r="U1791" s="5"/>
    </row>
    <row r="1792" spans="3:21" x14ac:dyDescent="0.25">
      <c r="C1792" s="4">
        <v>3.7428299999999999E-16</v>
      </c>
      <c r="D1792" s="4">
        <v>2.4952199999999999E-16</v>
      </c>
      <c r="E1792" s="4">
        <v>3.7428299999999999E-16</v>
      </c>
      <c r="F1792" s="4">
        <v>1.24761E-16</v>
      </c>
      <c r="I1792" s="5">
        <v>2.4952199999999999E-16</v>
      </c>
      <c r="U1792" s="5"/>
    </row>
    <row r="1793" spans="3:21" x14ac:dyDescent="0.25">
      <c r="C1793" s="4">
        <v>3.7428299999999999E-16</v>
      </c>
      <c r="D1793" s="4">
        <v>2.4952199999999999E-16</v>
      </c>
      <c r="E1793" s="4">
        <v>3.7428299999999999E-16</v>
      </c>
      <c r="F1793" s="4">
        <v>1.24761E-16</v>
      </c>
      <c r="I1793" s="5">
        <v>2.4952199999999999E-16</v>
      </c>
      <c r="U1793" s="5"/>
    </row>
    <row r="1794" spans="3:21" x14ac:dyDescent="0.25">
      <c r="C1794" s="4">
        <v>3.7428299999999999E-16</v>
      </c>
      <c r="D1794" s="4">
        <v>2.4952199999999999E-16</v>
      </c>
      <c r="E1794" s="4">
        <v>3.7428299999999999E-16</v>
      </c>
      <c r="F1794" s="4">
        <v>1.24761E-16</v>
      </c>
      <c r="I1794" s="5">
        <v>2.4952199999999999E-16</v>
      </c>
      <c r="U1794" s="5"/>
    </row>
    <row r="1795" spans="3:21" x14ac:dyDescent="0.25">
      <c r="C1795" s="4">
        <v>3.7428299999999999E-16</v>
      </c>
      <c r="D1795" s="4">
        <v>2.4952199999999999E-16</v>
      </c>
      <c r="E1795" s="4">
        <v>3.7428299999999999E-16</v>
      </c>
      <c r="F1795" s="4">
        <v>1.24761E-16</v>
      </c>
      <c r="I1795" s="5">
        <v>2.4952199999999999E-16</v>
      </c>
      <c r="U1795" s="5"/>
    </row>
    <row r="1796" spans="3:21" x14ac:dyDescent="0.25">
      <c r="C1796" s="4">
        <v>3.7428299999999999E-16</v>
      </c>
      <c r="D1796" s="4">
        <v>2.4952199999999999E-16</v>
      </c>
      <c r="E1796" s="4">
        <v>3.7428299999999999E-16</v>
      </c>
      <c r="F1796" s="4">
        <v>1.24761E-16</v>
      </c>
      <c r="I1796" s="5">
        <v>2.4952199999999999E-16</v>
      </c>
      <c r="U1796" s="5"/>
    </row>
    <row r="1797" spans="3:21" x14ac:dyDescent="0.25">
      <c r="C1797" s="4">
        <v>3.7428299999999999E-16</v>
      </c>
      <c r="D1797" s="4">
        <v>2.4952199999999999E-16</v>
      </c>
      <c r="E1797" s="4">
        <v>3.7428299999999999E-16</v>
      </c>
      <c r="F1797" s="4">
        <v>1.24761E-16</v>
      </c>
      <c r="I1797" s="5">
        <v>2.4952199999999999E-16</v>
      </c>
      <c r="U1797" s="5"/>
    </row>
    <row r="1798" spans="3:21" x14ac:dyDescent="0.25">
      <c r="C1798" s="4">
        <v>3.7428299999999999E-16</v>
      </c>
      <c r="D1798" s="4">
        <v>2.4952199999999999E-16</v>
      </c>
      <c r="E1798" s="4">
        <v>3.7428299999999999E-16</v>
      </c>
      <c r="F1798" s="4">
        <v>1.24761E-16</v>
      </c>
      <c r="I1798" s="5">
        <v>2.4952199999999999E-16</v>
      </c>
      <c r="U1798" s="5"/>
    </row>
    <row r="1799" spans="3:21" x14ac:dyDescent="0.25">
      <c r="C1799" s="4">
        <v>3.7428299999999999E-16</v>
      </c>
      <c r="D1799" s="4">
        <v>2.4952199999999999E-16</v>
      </c>
      <c r="E1799" s="4">
        <v>3.7428299999999999E-16</v>
      </c>
      <c r="F1799" s="4">
        <v>1.24761E-16</v>
      </c>
      <c r="I1799" s="5">
        <v>2.4952199999999999E-16</v>
      </c>
      <c r="U1799" s="5"/>
    </row>
    <row r="1800" spans="3:21" x14ac:dyDescent="0.25">
      <c r="C1800" s="4">
        <v>3.7428299999999999E-16</v>
      </c>
      <c r="D1800" s="4">
        <v>2.4952199999999999E-16</v>
      </c>
      <c r="E1800" s="4">
        <v>3.7428299999999999E-16</v>
      </c>
      <c r="F1800" s="4">
        <v>1.24761E-16</v>
      </c>
      <c r="I1800" s="5">
        <v>2.4952199999999999E-16</v>
      </c>
      <c r="U1800" s="5"/>
    </row>
    <row r="1801" spans="3:21" x14ac:dyDescent="0.25">
      <c r="C1801" s="4">
        <v>3.7428299999999999E-16</v>
      </c>
      <c r="D1801" s="4">
        <v>2.4952199999999999E-16</v>
      </c>
      <c r="E1801" s="4">
        <v>3.7428299999999999E-16</v>
      </c>
      <c r="F1801" s="4">
        <v>1.24761E-16</v>
      </c>
      <c r="I1801" s="5">
        <v>2.4952199999999999E-16</v>
      </c>
      <c r="U1801" s="5"/>
    </row>
    <row r="1802" spans="3:21" x14ac:dyDescent="0.25">
      <c r="C1802" s="4">
        <v>3.7428299999999999E-16</v>
      </c>
      <c r="D1802" s="4">
        <v>2.4952199999999999E-16</v>
      </c>
      <c r="E1802" s="4">
        <v>3.7428299999999999E-16</v>
      </c>
      <c r="F1802" s="4">
        <v>1.24761E-16</v>
      </c>
      <c r="I1802" s="5">
        <v>2.4952199999999999E-16</v>
      </c>
      <c r="U1802" s="5"/>
    </row>
    <row r="1803" spans="3:21" x14ac:dyDescent="0.25">
      <c r="C1803" s="4">
        <v>3.7428299999999999E-16</v>
      </c>
      <c r="D1803" s="4">
        <v>2.4952199999999999E-16</v>
      </c>
      <c r="E1803" s="4">
        <v>3.7428299999999999E-16</v>
      </c>
      <c r="F1803" s="4">
        <v>1.24761E-16</v>
      </c>
      <c r="I1803" s="5">
        <v>2.4952199999999999E-16</v>
      </c>
      <c r="U1803" s="5"/>
    </row>
    <row r="1804" spans="3:21" x14ac:dyDescent="0.25">
      <c r="C1804" s="4">
        <v>3.7428299999999999E-16</v>
      </c>
      <c r="D1804" s="4">
        <v>2.4952199999999999E-16</v>
      </c>
      <c r="E1804" s="4">
        <v>3.7428299999999999E-16</v>
      </c>
      <c r="F1804" s="4">
        <v>1.24761E-16</v>
      </c>
      <c r="I1804" s="5">
        <v>2.4952199999999999E-16</v>
      </c>
      <c r="U1804" s="5"/>
    </row>
    <row r="1805" spans="3:21" x14ac:dyDescent="0.25">
      <c r="C1805" s="4">
        <v>3.7428299999999999E-16</v>
      </c>
      <c r="D1805" s="4">
        <v>2.4952199999999999E-16</v>
      </c>
      <c r="E1805" s="4">
        <v>3.7428299999999999E-16</v>
      </c>
      <c r="F1805" s="4">
        <v>1.24761E-16</v>
      </c>
      <c r="I1805" s="5">
        <v>2.4952199999999999E-16</v>
      </c>
      <c r="U1805" s="5"/>
    </row>
    <row r="1806" spans="3:21" x14ac:dyDescent="0.25">
      <c r="C1806" s="4">
        <v>3.7428299999999999E-16</v>
      </c>
      <c r="D1806" s="4">
        <v>2.4952199999999999E-16</v>
      </c>
      <c r="E1806" s="4">
        <v>3.7428299999999999E-16</v>
      </c>
      <c r="F1806" s="4">
        <v>1.24761E-16</v>
      </c>
      <c r="I1806" s="5">
        <v>2.4952199999999999E-16</v>
      </c>
      <c r="U1806" s="5"/>
    </row>
    <row r="1807" spans="3:21" x14ac:dyDescent="0.25">
      <c r="C1807" s="4">
        <v>3.7428299999999999E-16</v>
      </c>
      <c r="D1807" s="4">
        <v>2.4952199999999999E-16</v>
      </c>
      <c r="E1807" s="4">
        <v>3.7428299999999999E-16</v>
      </c>
      <c r="F1807" s="4">
        <v>1.24761E-16</v>
      </c>
      <c r="I1807" s="5">
        <v>2.4952199999999999E-16</v>
      </c>
      <c r="U1807" s="5"/>
    </row>
    <row r="1808" spans="3:21" x14ac:dyDescent="0.25">
      <c r="C1808" s="4">
        <v>3.7428299999999999E-16</v>
      </c>
      <c r="D1808" s="4">
        <v>2.4952199999999999E-16</v>
      </c>
      <c r="E1808" s="4">
        <v>3.7428299999999999E-16</v>
      </c>
      <c r="F1808" s="4">
        <v>1.24761E-16</v>
      </c>
      <c r="I1808" s="5">
        <v>2.4952199999999999E-16</v>
      </c>
      <c r="U1808" s="5"/>
    </row>
    <row r="1809" spans="3:21" x14ac:dyDescent="0.25">
      <c r="C1809" s="4">
        <v>3.7428299999999999E-16</v>
      </c>
      <c r="D1809" s="4">
        <v>2.4952199999999999E-16</v>
      </c>
      <c r="E1809" s="4">
        <v>3.7428299999999999E-16</v>
      </c>
      <c r="F1809" s="4">
        <v>1.24761E-16</v>
      </c>
      <c r="I1809" s="5">
        <v>2.4952199999999999E-16</v>
      </c>
      <c r="U1809" s="5"/>
    </row>
    <row r="1810" spans="3:21" x14ac:dyDescent="0.25">
      <c r="C1810" s="4">
        <v>3.7428299999999999E-16</v>
      </c>
      <c r="D1810" s="4">
        <v>2.4952199999999999E-16</v>
      </c>
      <c r="E1810" s="4">
        <v>3.7428299999999999E-16</v>
      </c>
      <c r="F1810" s="4">
        <v>1.24761E-16</v>
      </c>
      <c r="I1810" s="5">
        <v>2.4952199999999999E-16</v>
      </c>
      <c r="U1810" s="5"/>
    </row>
    <row r="1811" spans="3:21" x14ac:dyDescent="0.25">
      <c r="C1811" s="4">
        <v>3.7428299999999999E-16</v>
      </c>
      <c r="D1811" s="4">
        <v>2.4952199999999999E-16</v>
      </c>
      <c r="E1811" s="4">
        <v>3.7428299999999999E-16</v>
      </c>
      <c r="F1811" s="4">
        <v>1.24761E-16</v>
      </c>
      <c r="I1811" s="5">
        <v>2.4952199999999999E-16</v>
      </c>
      <c r="U1811" s="5"/>
    </row>
    <row r="1812" spans="3:21" x14ac:dyDescent="0.25">
      <c r="C1812" s="4">
        <v>3.7428299999999999E-16</v>
      </c>
      <c r="D1812" s="4">
        <v>2.4952199999999999E-16</v>
      </c>
      <c r="E1812" s="4">
        <v>3.7428299999999999E-16</v>
      </c>
      <c r="F1812" s="4">
        <v>1.24761E-16</v>
      </c>
      <c r="I1812" s="5">
        <v>2.4952199999999999E-16</v>
      </c>
      <c r="U1812" s="5"/>
    </row>
    <row r="1813" spans="3:21" x14ac:dyDescent="0.25">
      <c r="C1813" s="4">
        <v>3.7428299999999999E-16</v>
      </c>
      <c r="D1813" s="4">
        <v>2.4952199999999999E-16</v>
      </c>
      <c r="E1813" s="4">
        <v>3.7428299999999999E-16</v>
      </c>
      <c r="F1813" s="4">
        <v>1.24761E-16</v>
      </c>
      <c r="I1813" s="5">
        <v>2.4952199999999999E-16</v>
      </c>
      <c r="U1813" s="5"/>
    </row>
    <row r="1814" spans="3:21" x14ac:dyDescent="0.25">
      <c r="C1814" s="4">
        <v>3.7428299999999999E-16</v>
      </c>
      <c r="D1814" s="4">
        <v>2.4952199999999999E-16</v>
      </c>
      <c r="E1814" s="4">
        <v>3.7428299999999999E-16</v>
      </c>
      <c r="F1814" s="4">
        <v>1.24761E-16</v>
      </c>
      <c r="I1814" s="5">
        <v>2.4952199999999999E-16</v>
      </c>
      <c r="U1814" s="5"/>
    </row>
    <row r="1815" spans="3:21" x14ac:dyDescent="0.25">
      <c r="C1815" s="4">
        <v>3.7428299999999999E-16</v>
      </c>
      <c r="D1815" s="4">
        <v>2.4952199999999999E-16</v>
      </c>
      <c r="E1815" s="4">
        <v>3.7428299999999999E-16</v>
      </c>
      <c r="F1815" s="4">
        <v>1.24761E-16</v>
      </c>
      <c r="I1815" s="5">
        <v>2.4952199999999999E-16</v>
      </c>
      <c r="U1815" s="5"/>
    </row>
    <row r="1816" spans="3:21" x14ac:dyDescent="0.25">
      <c r="C1816" s="4">
        <v>3.7428299999999999E-16</v>
      </c>
      <c r="D1816" s="4">
        <v>2.4952199999999999E-16</v>
      </c>
      <c r="E1816" s="4">
        <v>3.7428299999999999E-16</v>
      </c>
      <c r="F1816" s="4">
        <v>1.24761E-16</v>
      </c>
      <c r="I1816" s="5">
        <v>2.4952199999999999E-16</v>
      </c>
      <c r="U1816" s="5"/>
    </row>
    <row r="1817" spans="3:21" x14ac:dyDescent="0.25">
      <c r="C1817" s="4">
        <v>3.7428299999999999E-16</v>
      </c>
      <c r="D1817" s="4">
        <v>2.4952199999999999E-16</v>
      </c>
      <c r="E1817" s="4">
        <v>2.4952199999999999E-16</v>
      </c>
      <c r="F1817" s="4">
        <v>1.24761E-16</v>
      </c>
      <c r="I1817" s="5">
        <v>2.4952199999999999E-16</v>
      </c>
      <c r="U1817" s="5"/>
    </row>
    <row r="1818" spans="3:21" x14ac:dyDescent="0.25">
      <c r="C1818" s="4">
        <v>3.7428299999999999E-16</v>
      </c>
      <c r="D1818" s="4">
        <v>2.4952199999999999E-16</v>
      </c>
      <c r="E1818" s="4">
        <v>2.4952199999999999E-16</v>
      </c>
      <c r="F1818" s="4">
        <v>1.24761E-16</v>
      </c>
      <c r="I1818" s="5">
        <v>2.4952199999999999E-16</v>
      </c>
      <c r="U1818" s="5"/>
    </row>
    <row r="1819" spans="3:21" x14ac:dyDescent="0.25">
      <c r="C1819" s="4">
        <v>3.7428299999999999E-16</v>
      </c>
      <c r="D1819" s="4">
        <v>2.4952199999999999E-16</v>
      </c>
      <c r="E1819" s="4">
        <v>2.4952199999999999E-16</v>
      </c>
      <c r="F1819" s="4">
        <v>1.24761E-16</v>
      </c>
      <c r="I1819" s="5">
        <v>2.4952199999999999E-16</v>
      </c>
      <c r="U1819" s="5"/>
    </row>
    <row r="1820" spans="3:21" x14ac:dyDescent="0.25">
      <c r="C1820" s="4">
        <v>3.7428299999999999E-16</v>
      </c>
      <c r="D1820" s="4">
        <v>2.4952199999999999E-16</v>
      </c>
      <c r="E1820" s="4">
        <v>2.4952199999999999E-16</v>
      </c>
      <c r="F1820" s="4">
        <v>1.24761E-16</v>
      </c>
      <c r="I1820" s="5">
        <v>2.4952199999999999E-16</v>
      </c>
      <c r="U1820" s="5"/>
    </row>
    <row r="1821" spans="3:21" x14ac:dyDescent="0.25">
      <c r="C1821" s="4">
        <v>3.7428299999999999E-16</v>
      </c>
      <c r="D1821" s="4">
        <v>2.4952199999999999E-16</v>
      </c>
      <c r="E1821" s="4">
        <v>2.4952199999999999E-16</v>
      </c>
      <c r="F1821" s="4">
        <v>1.24761E-16</v>
      </c>
      <c r="I1821" s="5">
        <v>2.4952199999999999E-16</v>
      </c>
      <c r="U1821" s="5"/>
    </row>
    <row r="1822" spans="3:21" x14ac:dyDescent="0.25">
      <c r="C1822" s="4">
        <v>3.7428299999999999E-16</v>
      </c>
      <c r="D1822" s="4">
        <v>2.4952199999999999E-16</v>
      </c>
      <c r="E1822" s="4">
        <v>2.4952199999999999E-16</v>
      </c>
      <c r="F1822" s="4">
        <v>1.24761E-16</v>
      </c>
      <c r="I1822" s="5">
        <v>2.4952199999999999E-16</v>
      </c>
      <c r="U1822" s="5"/>
    </row>
    <row r="1823" spans="3:21" x14ac:dyDescent="0.25">
      <c r="C1823" s="4">
        <v>3.7428299999999999E-16</v>
      </c>
      <c r="D1823" s="4">
        <v>2.4952199999999999E-16</v>
      </c>
      <c r="E1823" s="4">
        <v>2.4952199999999999E-16</v>
      </c>
      <c r="F1823" s="4">
        <v>1.24761E-16</v>
      </c>
      <c r="I1823" s="5">
        <v>2.4952199999999999E-16</v>
      </c>
      <c r="U1823" s="5"/>
    </row>
    <row r="1824" spans="3:21" x14ac:dyDescent="0.25">
      <c r="C1824" s="4">
        <v>3.7428299999999999E-16</v>
      </c>
      <c r="D1824" s="4">
        <v>2.4952199999999999E-16</v>
      </c>
      <c r="E1824" s="4">
        <v>2.4952199999999999E-16</v>
      </c>
      <c r="F1824" s="4">
        <v>1.24761E-16</v>
      </c>
      <c r="I1824" s="5">
        <v>2.4952199999999999E-16</v>
      </c>
      <c r="U1824" s="5"/>
    </row>
    <row r="1825" spans="3:21" x14ac:dyDescent="0.25">
      <c r="C1825" s="4">
        <v>3.7428299999999999E-16</v>
      </c>
      <c r="D1825" s="4">
        <v>2.4952199999999999E-16</v>
      </c>
      <c r="E1825" s="4">
        <v>2.4952199999999999E-16</v>
      </c>
      <c r="F1825" s="4">
        <v>1.24761E-16</v>
      </c>
      <c r="I1825" s="5">
        <v>2.4952199999999999E-16</v>
      </c>
      <c r="U1825" s="5"/>
    </row>
    <row r="1826" spans="3:21" x14ac:dyDescent="0.25">
      <c r="C1826" s="4">
        <v>3.7428299999999999E-16</v>
      </c>
      <c r="D1826" s="4">
        <v>2.4952199999999999E-16</v>
      </c>
      <c r="E1826" s="4">
        <v>2.4952199999999999E-16</v>
      </c>
      <c r="F1826" s="4">
        <v>1.24761E-16</v>
      </c>
      <c r="I1826" s="5">
        <v>2.4952199999999999E-16</v>
      </c>
      <c r="U1826" s="5"/>
    </row>
    <row r="1827" spans="3:21" x14ac:dyDescent="0.25">
      <c r="C1827" s="4">
        <v>3.7428299999999999E-16</v>
      </c>
      <c r="D1827" s="4">
        <v>2.4952199999999999E-16</v>
      </c>
      <c r="E1827" s="4">
        <v>2.4952199999999999E-16</v>
      </c>
      <c r="F1827" s="4">
        <v>1.24761E-16</v>
      </c>
      <c r="I1827" s="5">
        <v>2.4952199999999999E-16</v>
      </c>
      <c r="U1827" s="5"/>
    </row>
    <row r="1828" spans="3:21" x14ac:dyDescent="0.25">
      <c r="C1828" s="4">
        <v>3.7428299999999999E-16</v>
      </c>
      <c r="D1828" s="4">
        <v>2.4952199999999999E-16</v>
      </c>
      <c r="E1828" s="4">
        <v>2.4952199999999999E-16</v>
      </c>
      <c r="F1828" s="4">
        <v>1.24761E-16</v>
      </c>
      <c r="I1828" s="5">
        <v>2.4952199999999999E-16</v>
      </c>
      <c r="U1828" s="5"/>
    </row>
    <row r="1829" spans="3:21" x14ac:dyDescent="0.25">
      <c r="C1829" s="4">
        <v>3.7428299999999999E-16</v>
      </c>
      <c r="D1829" s="4">
        <v>1.24761E-16</v>
      </c>
      <c r="E1829" s="4">
        <v>2.4952199999999999E-16</v>
      </c>
      <c r="F1829" s="4">
        <v>1.24761E-16</v>
      </c>
      <c r="I1829" s="5">
        <v>2.4952199999999999E-16</v>
      </c>
      <c r="U1829" s="5"/>
    </row>
    <row r="1830" spans="3:21" x14ac:dyDescent="0.25">
      <c r="C1830" s="4">
        <v>3.7428299999999999E-16</v>
      </c>
      <c r="D1830" s="4">
        <v>1.24761E-16</v>
      </c>
      <c r="E1830" s="4">
        <v>2.4952199999999999E-16</v>
      </c>
      <c r="F1830" s="4">
        <v>1.24761E-16</v>
      </c>
      <c r="I1830" s="5">
        <v>2.4952199999999999E-16</v>
      </c>
      <c r="U1830" s="5"/>
    </row>
    <row r="1831" spans="3:21" x14ac:dyDescent="0.25">
      <c r="C1831" s="4">
        <v>3.7428299999999999E-16</v>
      </c>
      <c r="D1831" s="4">
        <v>1.24761E-16</v>
      </c>
      <c r="E1831" s="4">
        <v>2.4952199999999999E-16</v>
      </c>
      <c r="F1831" s="4">
        <v>1.24761E-16</v>
      </c>
      <c r="I1831" s="5">
        <v>2.4952199999999999E-16</v>
      </c>
      <c r="U1831" s="5"/>
    </row>
    <row r="1832" spans="3:21" x14ac:dyDescent="0.25">
      <c r="C1832" s="4">
        <v>3.7428299999999999E-16</v>
      </c>
      <c r="D1832" s="4">
        <v>1.24761E-16</v>
      </c>
      <c r="E1832" s="4">
        <v>2.4952199999999999E-16</v>
      </c>
      <c r="F1832" s="4">
        <v>1.24761E-16</v>
      </c>
      <c r="I1832" s="5">
        <v>2.4952199999999999E-16</v>
      </c>
      <c r="U1832" s="5"/>
    </row>
    <row r="1833" spans="3:21" x14ac:dyDescent="0.25">
      <c r="C1833" s="4">
        <v>3.7428299999999999E-16</v>
      </c>
      <c r="D1833" s="4">
        <v>1.24761E-16</v>
      </c>
      <c r="E1833" s="4">
        <v>2.4952199999999999E-16</v>
      </c>
      <c r="F1833" s="4">
        <v>1.24761E-16</v>
      </c>
      <c r="I1833" s="5">
        <v>2.4952199999999999E-16</v>
      </c>
      <c r="U1833" s="5"/>
    </row>
    <row r="1834" spans="3:21" x14ac:dyDescent="0.25">
      <c r="C1834" s="4">
        <v>3.7428299999999999E-16</v>
      </c>
      <c r="D1834" s="4">
        <v>1.24761E-16</v>
      </c>
      <c r="E1834" s="4">
        <v>2.4952199999999999E-16</v>
      </c>
      <c r="F1834" s="4">
        <v>1.24761E-16</v>
      </c>
      <c r="I1834" s="5">
        <v>2.4952199999999999E-16</v>
      </c>
      <c r="U1834" s="5"/>
    </row>
    <row r="1835" spans="3:21" x14ac:dyDescent="0.25">
      <c r="C1835" s="4">
        <v>3.7428299999999999E-16</v>
      </c>
      <c r="D1835" s="4">
        <v>1.24761E-16</v>
      </c>
      <c r="E1835" s="4">
        <v>2.4952199999999999E-16</v>
      </c>
      <c r="F1835" s="4">
        <v>1.24761E-16</v>
      </c>
      <c r="I1835" s="5">
        <v>2.4952199999999999E-16</v>
      </c>
      <c r="U1835" s="5"/>
    </row>
    <row r="1836" spans="3:21" x14ac:dyDescent="0.25">
      <c r="C1836" s="4">
        <v>3.7428299999999999E-16</v>
      </c>
      <c r="D1836" s="4">
        <v>1.24761E-16</v>
      </c>
      <c r="E1836" s="4">
        <v>2.4952199999999999E-16</v>
      </c>
      <c r="F1836" s="4">
        <v>1.24761E-16</v>
      </c>
      <c r="I1836" s="5">
        <v>2.4952199999999999E-16</v>
      </c>
      <c r="U1836" s="5"/>
    </row>
    <row r="1837" spans="3:21" x14ac:dyDescent="0.25">
      <c r="C1837" s="4">
        <v>3.7428299999999999E-16</v>
      </c>
      <c r="D1837" s="4">
        <v>1.24761E-16</v>
      </c>
      <c r="E1837" s="4">
        <v>2.4952199999999999E-16</v>
      </c>
      <c r="F1837" s="4">
        <v>1.24761E-16</v>
      </c>
      <c r="I1837" s="5">
        <v>2.4952199999999999E-16</v>
      </c>
      <c r="U1837" s="5"/>
    </row>
    <row r="1838" spans="3:21" x14ac:dyDescent="0.25">
      <c r="C1838" s="4">
        <v>3.7428299999999999E-16</v>
      </c>
      <c r="D1838" s="5">
        <v>1.24761E-16</v>
      </c>
      <c r="E1838" s="4">
        <v>2.4952199999999999E-16</v>
      </c>
      <c r="F1838" s="4">
        <v>1.24761E-16</v>
      </c>
      <c r="I1838" s="4">
        <v>2.4952199999999999E-16</v>
      </c>
      <c r="U1838" s="5"/>
    </row>
    <row r="1839" spans="3:21" x14ac:dyDescent="0.25">
      <c r="C1839" s="4">
        <v>3.7428299999999999E-16</v>
      </c>
      <c r="D1839" s="4">
        <v>1.24761E-16</v>
      </c>
      <c r="E1839" s="4">
        <v>2.4952199999999999E-16</v>
      </c>
      <c r="F1839" s="4">
        <v>1.24761E-16</v>
      </c>
      <c r="I1839" s="4">
        <v>2.4952199999999999E-16</v>
      </c>
      <c r="U1839" s="5"/>
    </row>
    <row r="1840" spans="3:21" x14ac:dyDescent="0.25">
      <c r="C1840" s="4">
        <v>3.7428299999999999E-16</v>
      </c>
      <c r="D1840" s="4">
        <v>1.24761E-16</v>
      </c>
      <c r="E1840" s="4">
        <v>2.4952199999999999E-16</v>
      </c>
      <c r="F1840" s="4">
        <v>1.24761E-16</v>
      </c>
      <c r="I1840" s="4">
        <v>2.4952199999999999E-16</v>
      </c>
      <c r="U1840" s="5"/>
    </row>
    <row r="1841" spans="3:21" x14ac:dyDescent="0.25">
      <c r="C1841" s="4">
        <v>3.7428299999999999E-16</v>
      </c>
      <c r="D1841" s="4">
        <v>1.24761E-16</v>
      </c>
      <c r="E1841" s="4">
        <v>2.4952199999999999E-16</v>
      </c>
      <c r="F1841" s="4">
        <v>1.24761E-16</v>
      </c>
      <c r="I1841" s="4">
        <v>2.4952199999999999E-16</v>
      </c>
      <c r="U1841" s="5"/>
    </row>
    <row r="1842" spans="3:21" x14ac:dyDescent="0.25">
      <c r="C1842" s="4">
        <v>3.7428299999999999E-16</v>
      </c>
      <c r="D1842" s="4">
        <v>1.24761E-16</v>
      </c>
      <c r="E1842" s="4">
        <v>2.4952199999999999E-16</v>
      </c>
      <c r="F1842" s="4">
        <v>1.24761E-16</v>
      </c>
      <c r="I1842" s="4">
        <v>2.4952199999999999E-16</v>
      </c>
      <c r="U1842" s="5"/>
    </row>
    <row r="1843" spans="3:21" x14ac:dyDescent="0.25">
      <c r="C1843" s="4">
        <v>3.7428299999999999E-16</v>
      </c>
      <c r="D1843" s="4">
        <v>1.24761E-16</v>
      </c>
      <c r="E1843" s="4">
        <v>2.4952199999999999E-16</v>
      </c>
      <c r="F1843" s="4">
        <v>1.24761E-16</v>
      </c>
      <c r="I1843" s="4">
        <v>2.4952199999999999E-16</v>
      </c>
      <c r="U1843" s="5"/>
    </row>
    <row r="1844" spans="3:21" x14ac:dyDescent="0.25">
      <c r="C1844" s="4">
        <v>3.7428299999999999E-16</v>
      </c>
      <c r="D1844" s="4">
        <v>1.24761E-16</v>
      </c>
      <c r="E1844" s="4">
        <v>2.4952199999999999E-16</v>
      </c>
      <c r="F1844" s="4">
        <v>1.24761E-16</v>
      </c>
      <c r="I1844" s="4">
        <v>2.4952199999999999E-16</v>
      </c>
      <c r="U1844" s="5"/>
    </row>
    <row r="1845" spans="3:21" x14ac:dyDescent="0.25">
      <c r="C1845" s="4">
        <v>3.7428299999999999E-16</v>
      </c>
      <c r="D1845" s="4">
        <v>1.24761E-16</v>
      </c>
      <c r="E1845" s="4">
        <v>2.4952199999999999E-16</v>
      </c>
      <c r="F1845" s="4">
        <v>1.24761E-16</v>
      </c>
      <c r="I1845" s="4">
        <v>2.4952199999999999E-16</v>
      </c>
      <c r="U1845" s="5"/>
    </row>
    <row r="1846" spans="3:21" x14ac:dyDescent="0.25">
      <c r="C1846" s="4">
        <v>3.7428299999999999E-16</v>
      </c>
      <c r="D1846" s="4">
        <v>1.24761E-16</v>
      </c>
      <c r="E1846" s="4">
        <v>2.4952199999999999E-16</v>
      </c>
      <c r="F1846" s="4">
        <v>1.24761E-16</v>
      </c>
      <c r="I1846" s="4">
        <v>2.4952199999999999E-16</v>
      </c>
      <c r="U1846" s="5"/>
    </row>
    <row r="1847" spans="3:21" x14ac:dyDescent="0.25">
      <c r="C1847" s="4">
        <v>3.7428299999999999E-16</v>
      </c>
      <c r="D1847" s="4">
        <v>1.24761E-16</v>
      </c>
      <c r="E1847" s="4">
        <v>2.4952199999999999E-16</v>
      </c>
      <c r="F1847" s="4">
        <v>1.24761E-16</v>
      </c>
      <c r="I1847" s="4">
        <v>2.4952199999999999E-16</v>
      </c>
      <c r="U1847" s="5"/>
    </row>
    <row r="1848" spans="3:21" x14ac:dyDescent="0.25">
      <c r="C1848" s="4">
        <v>3.7428299999999999E-16</v>
      </c>
      <c r="D1848" s="4">
        <v>1.24761E-16</v>
      </c>
      <c r="E1848" s="4">
        <v>2.4952199999999999E-16</v>
      </c>
      <c r="F1848" s="4">
        <v>1.24761E-16</v>
      </c>
      <c r="I1848" s="4">
        <v>2.4952199999999999E-16</v>
      </c>
      <c r="U1848" s="5"/>
    </row>
    <row r="1849" spans="3:21" x14ac:dyDescent="0.25">
      <c r="C1849" s="4">
        <v>3.7428299999999999E-16</v>
      </c>
      <c r="D1849" s="4">
        <v>1.24761E-16</v>
      </c>
      <c r="E1849" s="4">
        <v>2.4952199999999999E-16</v>
      </c>
      <c r="F1849" s="4">
        <v>1.24761E-16</v>
      </c>
      <c r="I1849" s="4">
        <v>2.4952199999999999E-16</v>
      </c>
      <c r="U1849" s="5"/>
    </row>
    <row r="1850" spans="3:21" x14ac:dyDescent="0.25">
      <c r="C1850" s="4">
        <v>3.7428299999999999E-16</v>
      </c>
      <c r="D1850" s="4">
        <v>1.24761E-16</v>
      </c>
      <c r="E1850" s="4">
        <v>2.4952199999999999E-16</v>
      </c>
      <c r="F1850" s="4">
        <v>1.24761E-16</v>
      </c>
      <c r="I1850" s="4">
        <v>2.4952199999999999E-16</v>
      </c>
      <c r="U1850" s="5"/>
    </row>
    <row r="1851" spans="3:21" x14ac:dyDescent="0.25">
      <c r="C1851" s="4">
        <v>3.7428299999999999E-16</v>
      </c>
      <c r="D1851" s="4">
        <v>1.24761E-16</v>
      </c>
      <c r="E1851" s="4">
        <v>2.4952199999999999E-16</v>
      </c>
      <c r="F1851" s="4">
        <v>1.24761E-16</v>
      </c>
      <c r="I1851" s="4">
        <v>2.4952199999999999E-16</v>
      </c>
      <c r="U1851" s="5"/>
    </row>
    <row r="1852" spans="3:21" x14ac:dyDescent="0.25">
      <c r="C1852" s="4">
        <v>3.7428299999999999E-16</v>
      </c>
      <c r="D1852" s="4">
        <v>1.24761E-16</v>
      </c>
      <c r="E1852" s="4">
        <v>2.4952199999999999E-16</v>
      </c>
      <c r="F1852" s="4">
        <v>1.24761E-16</v>
      </c>
      <c r="I1852" s="4">
        <v>2.4952199999999999E-16</v>
      </c>
      <c r="U1852" s="5"/>
    </row>
    <row r="1853" spans="3:21" x14ac:dyDescent="0.25">
      <c r="C1853" s="4">
        <v>3.7428299999999999E-16</v>
      </c>
      <c r="D1853" s="4">
        <v>1.24761E-16</v>
      </c>
      <c r="E1853" s="4">
        <v>2.4952199999999999E-16</v>
      </c>
      <c r="F1853" s="4">
        <v>1.24761E-16</v>
      </c>
      <c r="I1853" s="4">
        <v>2.4952199999999999E-16</v>
      </c>
      <c r="U1853" s="5"/>
    </row>
    <row r="1854" spans="3:21" x14ac:dyDescent="0.25">
      <c r="C1854" s="4">
        <v>3.7428299999999999E-16</v>
      </c>
      <c r="D1854" s="4">
        <v>1.24761E-16</v>
      </c>
      <c r="E1854" s="4">
        <v>2.4952199999999999E-16</v>
      </c>
      <c r="F1854" s="4">
        <v>1.24761E-16</v>
      </c>
      <c r="I1854" s="4">
        <v>2.4952199999999999E-16</v>
      </c>
      <c r="U1854" s="5"/>
    </row>
    <row r="1855" spans="3:21" x14ac:dyDescent="0.25">
      <c r="C1855" s="4">
        <v>2.4952199999999999E-16</v>
      </c>
      <c r="D1855" s="4">
        <v>1.24761E-16</v>
      </c>
      <c r="E1855" s="4">
        <v>2.4952199999999999E-16</v>
      </c>
      <c r="F1855" s="4">
        <v>1.24761E-16</v>
      </c>
      <c r="I1855" s="4">
        <v>2.4952199999999999E-16</v>
      </c>
      <c r="U1855" s="5"/>
    </row>
    <row r="1856" spans="3:21" x14ac:dyDescent="0.25">
      <c r="C1856" s="4">
        <v>2.4952199999999999E-16</v>
      </c>
      <c r="D1856" s="4">
        <v>1.24761E-16</v>
      </c>
      <c r="E1856" s="4">
        <v>2.4952199999999999E-16</v>
      </c>
      <c r="F1856" s="4">
        <v>1.24761E-16</v>
      </c>
      <c r="I1856" s="4">
        <v>2.4952199999999999E-16</v>
      </c>
      <c r="U1856" s="5"/>
    </row>
    <row r="1857" spans="3:21" x14ac:dyDescent="0.25">
      <c r="C1857" s="4">
        <v>2.4952199999999999E-16</v>
      </c>
      <c r="D1857" s="4">
        <v>1.24761E-16</v>
      </c>
      <c r="E1857" s="4">
        <v>2.4952199999999999E-16</v>
      </c>
      <c r="F1857" s="4">
        <v>1.24761E-16</v>
      </c>
      <c r="I1857" s="4">
        <v>2.4952199999999999E-16</v>
      </c>
      <c r="U1857" s="5"/>
    </row>
    <row r="1858" spans="3:21" x14ac:dyDescent="0.25">
      <c r="C1858" s="4">
        <v>2.4952199999999999E-16</v>
      </c>
      <c r="D1858" s="4">
        <v>1.24761E-16</v>
      </c>
      <c r="E1858" s="4">
        <v>2.4952199999999999E-16</v>
      </c>
      <c r="F1858" s="4">
        <v>1.24761E-16</v>
      </c>
      <c r="I1858" s="4">
        <v>2.4952199999999999E-16</v>
      </c>
      <c r="U1858" s="5"/>
    </row>
    <row r="1859" spans="3:21" x14ac:dyDescent="0.25">
      <c r="C1859" s="4">
        <v>2.4952199999999999E-16</v>
      </c>
      <c r="D1859" s="4">
        <v>1.24761E-16</v>
      </c>
      <c r="E1859" s="4">
        <v>2.4952199999999999E-16</v>
      </c>
      <c r="F1859" s="4">
        <v>1.24761E-16</v>
      </c>
      <c r="I1859" s="4">
        <v>2.4952199999999999E-16</v>
      </c>
      <c r="U1859" s="5"/>
    </row>
    <row r="1860" spans="3:21" x14ac:dyDescent="0.25">
      <c r="C1860" s="4">
        <v>2.4952199999999999E-16</v>
      </c>
      <c r="D1860" s="4">
        <v>1.24761E-16</v>
      </c>
      <c r="E1860" s="4">
        <v>2.4952199999999999E-16</v>
      </c>
      <c r="F1860" s="4">
        <v>1.24761E-16</v>
      </c>
      <c r="I1860" s="4">
        <v>2.4952199999999999E-16</v>
      </c>
      <c r="U1860" s="5"/>
    </row>
    <row r="1861" spans="3:21" x14ac:dyDescent="0.25">
      <c r="C1861" s="4">
        <v>2.4952199999999999E-16</v>
      </c>
      <c r="D1861" s="4">
        <v>1.24761E-16</v>
      </c>
      <c r="E1861" s="4">
        <v>2.4952199999999999E-16</v>
      </c>
      <c r="F1861" s="4">
        <v>1.24761E-16</v>
      </c>
      <c r="I1861" s="4">
        <v>2.4952199999999999E-16</v>
      </c>
      <c r="U1861" s="5"/>
    </row>
    <row r="1862" spans="3:21" x14ac:dyDescent="0.25">
      <c r="C1862" s="4">
        <v>2.4952199999999999E-16</v>
      </c>
      <c r="D1862" s="4">
        <v>1.24761E-16</v>
      </c>
      <c r="E1862" s="4">
        <v>2.4952199999999999E-16</v>
      </c>
      <c r="F1862" s="4">
        <v>1.24761E-16</v>
      </c>
      <c r="I1862" s="4">
        <v>2.4952199999999999E-16</v>
      </c>
      <c r="U1862" s="5"/>
    </row>
    <row r="1863" spans="3:21" x14ac:dyDescent="0.25">
      <c r="C1863" s="4">
        <v>2.4952199999999999E-16</v>
      </c>
      <c r="D1863" s="4">
        <v>1.24761E-16</v>
      </c>
      <c r="E1863" s="4">
        <v>2.4952199999999999E-16</v>
      </c>
      <c r="F1863" s="4">
        <v>1.24761E-16</v>
      </c>
      <c r="I1863" s="4">
        <v>2.4952199999999999E-16</v>
      </c>
      <c r="U1863" s="5"/>
    </row>
    <row r="1864" spans="3:21" x14ac:dyDescent="0.25">
      <c r="C1864" s="4">
        <v>2.4952199999999999E-16</v>
      </c>
      <c r="D1864" s="4">
        <v>1.24761E-16</v>
      </c>
      <c r="E1864" s="4">
        <v>2.4952199999999999E-16</v>
      </c>
      <c r="F1864" s="4">
        <v>1.24761E-16</v>
      </c>
      <c r="I1864" s="4">
        <v>2.4952199999999999E-16</v>
      </c>
      <c r="U1864" s="5"/>
    </row>
    <row r="1865" spans="3:21" x14ac:dyDescent="0.25">
      <c r="C1865" s="4">
        <v>2.4952199999999999E-16</v>
      </c>
      <c r="D1865" s="4">
        <v>1.24761E-16</v>
      </c>
      <c r="E1865" s="4">
        <v>2.4952199999999999E-16</v>
      </c>
      <c r="F1865" s="4">
        <v>1.24761E-16</v>
      </c>
      <c r="I1865" s="4">
        <v>2.4952199999999999E-16</v>
      </c>
      <c r="U1865" s="5"/>
    </row>
    <row r="1866" spans="3:21" x14ac:dyDescent="0.25">
      <c r="C1866" s="4">
        <v>2.4952199999999999E-16</v>
      </c>
      <c r="D1866" s="4">
        <v>1.24761E-16</v>
      </c>
      <c r="E1866" s="4">
        <v>2.4952199999999999E-16</v>
      </c>
      <c r="F1866" s="4">
        <v>1.24761E-16</v>
      </c>
      <c r="I1866" s="4">
        <v>2.4952199999999999E-16</v>
      </c>
      <c r="U1866" s="5"/>
    </row>
    <row r="1867" spans="3:21" x14ac:dyDescent="0.25">
      <c r="C1867" s="4">
        <v>2.4952199999999999E-16</v>
      </c>
      <c r="D1867" s="4">
        <v>1.24761E-16</v>
      </c>
      <c r="E1867" s="4">
        <v>2.4952199999999999E-16</v>
      </c>
      <c r="F1867" s="4">
        <v>1.24761E-16</v>
      </c>
      <c r="I1867" s="4">
        <v>2.4952199999999999E-16</v>
      </c>
      <c r="U1867" s="5"/>
    </row>
    <row r="1868" spans="3:21" x14ac:dyDescent="0.25">
      <c r="C1868" s="4">
        <v>2.4952199999999999E-16</v>
      </c>
      <c r="D1868" s="4">
        <v>1.24761E-16</v>
      </c>
      <c r="E1868" s="4">
        <v>2.4952199999999999E-16</v>
      </c>
      <c r="F1868" s="4">
        <v>1.24761E-16</v>
      </c>
      <c r="I1868" s="4">
        <v>2.4952199999999999E-16</v>
      </c>
      <c r="U1868" s="5"/>
    </row>
    <row r="1869" spans="3:21" x14ac:dyDescent="0.25">
      <c r="C1869" s="4">
        <v>2.4952199999999999E-16</v>
      </c>
      <c r="D1869" s="4">
        <v>1.24761E-16</v>
      </c>
      <c r="E1869" s="4">
        <v>2.4952199999999999E-16</v>
      </c>
      <c r="F1869" s="4">
        <v>1.24761E-16</v>
      </c>
      <c r="I1869" s="4">
        <v>2.4952199999999999E-16</v>
      </c>
      <c r="U1869" s="5"/>
    </row>
    <row r="1870" spans="3:21" x14ac:dyDescent="0.25">
      <c r="C1870" s="4">
        <v>2.4952199999999999E-16</v>
      </c>
      <c r="D1870" s="4">
        <v>1.24761E-16</v>
      </c>
      <c r="E1870" s="4">
        <v>2.4952199999999999E-16</v>
      </c>
      <c r="F1870" s="4">
        <v>1.24761E-16</v>
      </c>
      <c r="I1870" s="4">
        <v>2.4952199999999999E-16</v>
      </c>
      <c r="U1870" s="5"/>
    </row>
    <row r="1871" spans="3:21" x14ac:dyDescent="0.25">
      <c r="C1871" s="4">
        <v>2.4952199999999999E-16</v>
      </c>
      <c r="D1871" s="4">
        <v>1.24761E-16</v>
      </c>
      <c r="E1871" s="4">
        <v>2.4952199999999999E-16</v>
      </c>
      <c r="F1871" s="4">
        <v>1.24761E-16</v>
      </c>
      <c r="I1871" s="4">
        <v>2.4952199999999999E-16</v>
      </c>
      <c r="U1871" s="5"/>
    </row>
    <row r="1872" spans="3:21" x14ac:dyDescent="0.25">
      <c r="C1872" s="4">
        <v>2.4952199999999999E-16</v>
      </c>
      <c r="D1872" s="4">
        <v>1.24761E-16</v>
      </c>
      <c r="E1872" s="4">
        <v>2.4952199999999999E-16</v>
      </c>
      <c r="F1872" s="4">
        <v>1.24761E-16</v>
      </c>
      <c r="I1872" s="4">
        <v>2.4952199999999999E-16</v>
      </c>
      <c r="U1872" s="5"/>
    </row>
    <row r="1873" spans="3:21" x14ac:dyDescent="0.25">
      <c r="C1873" s="4">
        <v>2.4952199999999999E-16</v>
      </c>
      <c r="D1873" s="4">
        <v>1.24761E-16</v>
      </c>
      <c r="E1873" s="4">
        <v>2.4952199999999999E-16</v>
      </c>
      <c r="F1873" s="4">
        <v>1.24761E-16</v>
      </c>
      <c r="I1873" s="4">
        <v>2.4952199999999999E-16</v>
      </c>
      <c r="U1873" s="5"/>
    </row>
    <row r="1874" spans="3:21" x14ac:dyDescent="0.25">
      <c r="C1874" s="4">
        <v>2.4952199999999999E-16</v>
      </c>
      <c r="D1874" s="4">
        <v>1.24761E-16</v>
      </c>
      <c r="E1874" s="4">
        <v>2.4952199999999999E-16</v>
      </c>
      <c r="F1874" s="4">
        <v>1.24761E-16</v>
      </c>
      <c r="I1874" s="4">
        <v>2.4952199999999999E-16</v>
      </c>
      <c r="U1874" s="5"/>
    </row>
    <row r="1875" spans="3:21" x14ac:dyDescent="0.25">
      <c r="C1875" s="4">
        <v>2.4952199999999999E-16</v>
      </c>
      <c r="D1875" s="4">
        <v>1.24761E-16</v>
      </c>
      <c r="E1875" s="4">
        <v>2.4952199999999999E-16</v>
      </c>
      <c r="F1875" s="4">
        <v>1.24761E-16</v>
      </c>
      <c r="I1875" s="4">
        <v>2.4952199999999999E-16</v>
      </c>
      <c r="U1875" s="5"/>
    </row>
    <row r="1876" spans="3:21" x14ac:dyDescent="0.25">
      <c r="C1876" s="4">
        <v>2.4952199999999999E-16</v>
      </c>
      <c r="D1876" s="4">
        <v>1.24761E-16</v>
      </c>
      <c r="E1876" s="4">
        <v>2.4952199999999999E-16</v>
      </c>
      <c r="F1876" s="4">
        <v>1.24761E-16</v>
      </c>
      <c r="I1876" s="4">
        <v>2.4952199999999999E-16</v>
      </c>
      <c r="U1876" s="5"/>
    </row>
    <row r="1877" spans="3:21" x14ac:dyDescent="0.25">
      <c r="C1877" s="4">
        <v>2.4952199999999999E-16</v>
      </c>
      <c r="D1877" s="4">
        <v>1.24761E-16</v>
      </c>
      <c r="E1877" s="4">
        <v>2.4952199999999999E-16</v>
      </c>
      <c r="F1877" s="4">
        <v>1.24761E-16</v>
      </c>
      <c r="I1877" s="4">
        <v>2.4952199999999999E-16</v>
      </c>
      <c r="U1877" s="5"/>
    </row>
    <row r="1878" spans="3:21" x14ac:dyDescent="0.25">
      <c r="C1878" s="4">
        <v>2.4952199999999999E-16</v>
      </c>
      <c r="D1878" s="4">
        <v>1.24761E-16</v>
      </c>
      <c r="E1878" s="4">
        <v>2.4952199999999999E-16</v>
      </c>
      <c r="F1878" s="4">
        <v>1.24761E-16</v>
      </c>
      <c r="I1878" s="4">
        <v>2.4952199999999999E-16</v>
      </c>
      <c r="U1878" s="5"/>
    </row>
    <row r="1879" spans="3:21" x14ac:dyDescent="0.25">
      <c r="C1879" s="4">
        <v>2.4952199999999999E-16</v>
      </c>
      <c r="D1879" s="4">
        <v>1.24761E-16</v>
      </c>
      <c r="E1879" s="4">
        <v>2.4952199999999999E-16</v>
      </c>
      <c r="F1879" s="4">
        <v>1.24761E-16</v>
      </c>
      <c r="I1879" s="4">
        <v>2.4952199999999999E-16</v>
      </c>
      <c r="U1879" s="5"/>
    </row>
    <row r="1880" spans="3:21" x14ac:dyDescent="0.25">
      <c r="C1880" s="4">
        <v>2.4952199999999999E-16</v>
      </c>
      <c r="D1880" s="4">
        <v>1.24761E-16</v>
      </c>
      <c r="E1880" s="4">
        <v>2.4952199999999999E-16</v>
      </c>
      <c r="F1880" s="4">
        <v>1.24761E-16</v>
      </c>
      <c r="I1880" s="4">
        <v>2.4952199999999999E-16</v>
      </c>
      <c r="U1880" s="5"/>
    </row>
    <row r="1881" spans="3:21" x14ac:dyDescent="0.25">
      <c r="C1881" s="4">
        <v>2.4952199999999999E-16</v>
      </c>
      <c r="D1881" s="4">
        <v>1.24761E-16</v>
      </c>
      <c r="E1881" s="4">
        <v>2.4952199999999999E-16</v>
      </c>
      <c r="I1881" s="4">
        <v>2.4952199999999999E-16</v>
      </c>
      <c r="U1881" s="5"/>
    </row>
    <row r="1882" spans="3:21" x14ac:dyDescent="0.25">
      <c r="C1882" s="4">
        <v>2.4952199999999999E-16</v>
      </c>
      <c r="D1882" s="4">
        <v>1.24761E-16</v>
      </c>
      <c r="E1882" s="4">
        <v>2.4952199999999999E-16</v>
      </c>
      <c r="I1882" s="4">
        <v>2.4952199999999999E-16</v>
      </c>
      <c r="U1882" s="5"/>
    </row>
    <row r="1883" spans="3:21" x14ac:dyDescent="0.25">
      <c r="C1883" s="4">
        <v>2.4952199999999999E-16</v>
      </c>
      <c r="D1883" s="4">
        <v>1.24761E-16</v>
      </c>
      <c r="E1883" s="4">
        <v>2.4952199999999999E-16</v>
      </c>
      <c r="I1883" s="4">
        <v>2.4952199999999999E-16</v>
      </c>
      <c r="U1883" s="5"/>
    </row>
    <row r="1884" spans="3:21" x14ac:dyDescent="0.25">
      <c r="C1884" s="4">
        <v>2.4952199999999999E-16</v>
      </c>
      <c r="D1884" s="4">
        <v>1.24761E-16</v>
      </c>
      <c r="E1884" s="4">
        <v>2.4952199999999999E-16</v>
      </c>
      <c r="I1884" s="4">
        <v>2.4952199999999999E-16</v>
      </c>
      <c r="U1884" s="5"/>
    </row>
    <row r="1885" spans="3:21" x14ac:dyDescent="0.25">
      <c r="C1885" s="4">
        <v>2.4952199999999999E-16</v>
      </c>
      <c r="D1885" s="4">
        <v>1.24761E-16</v>
      </c>
      <c r="E1885" s="4">
        <v>2.4952199999999999E-16</v>
      </c>
      <c r="I1885" s="4">
        <v>2.4952199999999999E-16</v>
      </c>
      <c r="U1885" s="5"/>
    </row>
    <row r="1886" spans="3:21" x14ac:dyDescent="0.25">
      <c r="C1886" s="4">
        <v>2.4952199999999999E-16</v>
      </c>
      <c r="D1886" s="4">
        <v>1.24761E-16</v>
      </c>
      <c r="E1886" s="4">
        <v>2.4952199999999999E-16</v>
      </c>
      <c r="I1886" s="4">
        <v>2.4952199999999999E-16</v>
      </c>
      <c r="U1886" s="5"/>
    </row>
    <row r="1887" spans="3:21" x14ac:dyDescent="0.25">
      <c r="C1887" s="4">
        <v>2.4952199999999999E-16</v>
      </c>
      <c r="D1887" s="4">
        <v>1.24761E-16</v>
      </c>
      <c r="E1887" s="4">
        <v>2.4952199999999999E-16</v>
      </c>
      <c r="I1887" s="4">
        <v>2.4952199999999999E-16</v>
      </c>
      <c r="U1887" s="5"/>
    </row>
    <row r="1888" spans="3:21" x14ac:dyDescent="0.25">
      <c r="C1888" s="4">
        <v>2.4952199999999999E-16</v>
      </c>
      <c r="D1888" s="4">
        <v>1.24761E-16</v>
      </c>
      <c r="E1888" s="4">
        <v>2.4952199999999999E-16</v>
      </c>
      <c r="I1888" s="4">
        <v>2.4952199999999999E-16</v>
      </c>
      <c r="U1888" s="5"/>
    </row>
    <row r="1889" spans="3:21" x14ac:dyDescent="0.25">
      <c r="C1889" s="4">
        <v>2.4952199999999999E-16</v>
      </c>
      <c r="D1889" s="4">
        <v>1.24761E-16</v>
      </c>
      <c r="E1889" s="4">
        <v>2.4952199999999999E-16</v>
      </c>
      <c r="I1889" s="4">
        <v>2.4952199999999999E-16</v>
      </c>
      <c r="U1889" s="5"/>
    </row>
    <row r="1890" spans="3:21" x14ac:dyDescent="0.25">
      <c r="C1890" s="4">
        <v>2.4952199999999999E-16</v>
      </c>
      <c r="D1890" s="4">
        <v>1.24761E-16</v>
      </c>
      <c r="E1890" s="4">
        <v>2.4952199999999999E-16</v>
      </c>
      <c r="I1890" s="4">
        <v>2.4952199999999999E-16</v>
      </c>
      <c r="U1890" s="5"/>
    </row>
    <row r="1891" spans="3:21" x14ac:dyDescent="0.25">
      <c r="C1891" s="4">
        <v>2.4952199999999999E-16</v>
      </c>
      <c r="D1891" s="4">
        <v>1.24761E-16</v>
      </c>
      <c r="E1891" s="4">
        <v>2.4952199999999999E-16</v>
      </c>
      <c r="I1891" s="4">
        <v>2.4952199999999999E-16</v>
      </c>
      <c r="U1891" s="5"/>
    </row>
    <row r="1892" spans="3:21" x14ac:dyDescent="0.25">
      <c r="C1892" s="4">
        <v>2.4952199999999999E-16</v>
      </c>
      <c r="D1892" s="4">
        <v>1.24761E-16</v>
      </c>
      <c r="E1892" s="4">
        <v>2.4952199999999999E-16</v>
      </c>
      <c r="I1892" s="4">
        <v>2.4952199999999999E-16</v>
      </c>
      <c r="U1892" s="5"/>
    </row>
    <row r="1893" spans="3:21" x14ac:dyDescent="0.25">
      <c r="C1893" s="4">
        <v>2.4952199999999999E-16</v>
      </c>
      <c r="D1893" s="4">
        <v>1.24761E-16</v>
      </c>
      <c r="E1893" s="4">
        <v>2.4952199999999999E-16</v>
      </c>
      <c r="I1893" s="4">
        <v>2.4952199999999999E-16</v>
      </c>
      <c r="U1893" s="5"/>
    </row>
    <row r="1894" spans="3:21" x14ac:dyDescent="0.25">
      <c r="C1894" s="4">
        <v>2.4952199999999999E-16</v>
      </c>
      <c r="D1894" s="4">
        <v>1.24761E-16</v>
      </c>
      <c r="E1894" s="4">
        <v>2.4952199999999999E-16</v>
      </c>
      <c r="I1894" s="4">
        <v>2.4952199999999999E-16</v>
      </c>
      <c r="U1894" s="5"/>
    </row>
    <row r="1895" spans="3:21" x14ac:dyDescent="0.25">
      <c r="C1895" s="4">
        <v>2.4952199999999999E-16</v>
      </c>
      <c r="D1895" s="4">
        <v>1.24761E-16</v>
      </c>
      <c r="E1895" s="4">
        <v>2.4952199999999999E-16</v>
      </c>
      <c r="I1895" s="4">
        <v>2.4952199999999999E-16</v>
      </c>
      <c r="U1895" s="5"/>
    </row>
    <row r="1896" spans="3:21" x14ac:dyDescent="0.25">
      <c r="C1896" s="4">
        <v>2.4952199999999999E-16</v>
      </c>
      <c r="D1896" s="4">
        <v>1.24761E-16</v>
      </c>
      <c r="E1896" s="4">
        <v>2.4952199999999999E-16</v>
      </c>
      <c r="I1896" s="4">
        <v>2.4952199999999999E-16</v>
      </c>
      <c r="U1896" s="5"/>
    </row>
    <row r="1897" spans="3:21" x14ac:dyDescent="0.25">
      <c r="C1897" s="4">
        <v>2.4952199999999999E-16</v>
      </c>
      <c r="D1897" s="4">
        <v>1.24761E-16</v>
      </c>
      <c r="E1897" s="4">
        <v>2.4952199999999999E-16</v>
      </c>
      <c r="I1897" s="4">
        <v>2.4952199999999999E-16</v>
      </c>
      <c r="U1897" s="5"/>
    </row>
    <row r="1898" spans="3:21" x14ac:dyDescent="0.25">
      <c r="C1898" s="4">
        <v>2.4952199999999999E-16</v>
      </c>
      <c r="D1898" s="4">
        <v>1.24761E-16</v>
      </c>
      <c r="E1898" s="4">
        <v>2.4952199999999999E-16</v>
      </c>
      <c r="I1898" s="4">
        <v>2.4952199999999999E-16</v>
      </c>
      <c r="U1898" s="5"/>
    </row>
    <row r="1899" spans="3:21" x14ac:dyDescent="0.25">
      <c r="C1899" s="4">
        <v>2.4952199999999999E-16</v>
      </c>
      <c r="D1899" s="4">
        <v>1.24761E-16</v>
      </c>
      <c r="E1899" s="4">
        <v>2.4952199999999999E-16</v>
      </c>
      <c r="I1899" s="4">
        <v>2.4952199999999999E-16</v>
      </c>
      <c r="U1899" s="5"/>
    </row>
    <row r="1900" spans="3:21" x14ac:dyDescent="0.25">
      <c r="C1900" s="4">
        <v>2.4952199999999999E-16</v>
      </c>
      <c r="D1900" s="4">
        <v>1.24761E-16</v>
      </c>
      <c r="E1900" s="4">
        <v>2.4952199999999999E-16</v>
      </c>
      <c r="I1900" s="4">
        <v>2.4952199999999999E-16</v>
      </c>
      <c r="U1900" s="5"/>
    </row>
    <row r="1901" spans="3:21" x14ac:dyDescent="0.25">
      <c r="C1901" s="4">
        <v>2.4952199999999999E-16</v>
      </c>
      <c r="D1901" s="4">
        <v>1.24761E-16</v>
      </c>
      <c r="E1901" s="4">
        <v>2.4952199999999999E-16</v>
      </c>
      <c r="I1901" s="4">
        <v>2.4952199999999999E-16</v>
      </c>
      <c r="U1901" s="5"/>
    </row>
    <row r="1902" spans="3:21" x14ac:dyDescent="0.25">
      <c r="C1902" s="4">
        <v>2.4952199999999999E-16</v>
      </c>
      <c r="D1902" s="4">
        <v>1.24761E-16</v>
      </c>
      <c r="E1902" s="4">
        <v>2.4952199999999999E-16</v>
      </c>
      <c r="I1902" s="4">
        <v>2.4952199999999999E-16</v>
      </c>
      <c r="U1902" s="5"/>
    </row>
    <row r="1903" spans="3:21" x14ac:dyDescent="0.25">
      <c r="C1903" s="4">
        <v>2.4952199999999999E-16</v>
      </c>
      <c r="D1903" s="4">
        <v>1.24761E-16</v>
      </c>
      <c r="E1903" s="4">
        <v>2.4952199999999999E-16</v>
      </c>
      <c r="I1903" s="4">
        <v>2.4952199999999999E-16</v>
      </c>
      <c r="U1903" s="5"/>
    </row>
    <row r="1904" spans="3:21" x14ac:dyDescent="0.25">
      <c r="C1904" s="4">
        <v>2.4952199999999999E-16</v>
      </c>
      <c r="D1904" s="4">
        <v>1.24761E-16</v>
      </c>
      <c r="E1904" s="4">
        <v>2.4952199999999999E-16</v>
      </c>
      <c r="I1904" s="4">
        <v>2.4952199999999999E-16</v>
      </c>
      <c r="U1904" s="5"/>
    </row>
    <row r="1905" spans="3:21" x14ac:dyDescent="0.25">
      <c r="C1905" s="4">
        <v>2.4952199999999999E-16</v>
      </c>
      <c r="D1905" s="4">
        <v>1.24761E-16</v>
      </c>
      <c r="E1905" s="4">
        <v>2.4952199999999999E-16</v>
      </c>
      <c r="I1905" s="4">
        <v>2.4952199999999999E-16</v>
      </c>
      <c r="U1905" s="5"/>
    </row>
    <row r="1906" spans="3:21" x14ac:dyDescent="0.25">
      <c r="C1906" s="4">
        <v>2.4952199999999999E-16</v>
      </c>
      <c r="D1906" s="4">
        <v>1.24761E-16</v>
      </c>
      <c r="E1906" s="4">
        <v>2.4952199999999999E-16</v>
      </c>
      <c r="I1906" s="4">
        <v>2.4952199999999999E-16</v>
      </c>
      <c r="U1906" s="5"/>
    </row>
    <row r="1907" spans="3:21" x14ac:dyDescent="0.25">
      <c r="C1907" s="4">
        <v>2.4952199999999999E-16</v>
      </c>
      <c r="D1907" s="4">
        <v>1.24761E-16</v>
      </c>
      <c r="E1907" s="4">
        <v>2.4952199999999999E-16</v>
      </c>
      <c r="I1907" s="4">
        <v>2.4952199999999999E-16</v>
      </c>
      <c r="U1907" s="5"/>
    </row>
    <row r="1908" spans="3:21" x14ac:dyDescent="0.25">
      <c r="C1908" s="4">
        <v>2.4952199999999999E-16</v>
      </c>
      <c r="D1908" s="4">
        <v>1.24761E-16</v>
      </c>
      <c r="E1908" s="4">
        <v>2.4952199999999999E-16</v>
      </c>
      <c r="I1908" s="4">
        <v>2.4952199999999999E-16</v>
      </c>
      <c r="U1908" s="5"/>
    </row>
    <row r="1909" spans="3:21" x14ac:dyDescent="0.25">
      <c r="C1909" s="4">
        <v>2.4952199999999999E-16</v>
      </c>
      <c r="D1909" s="4">
        <v>1.24761E-16</v>
      </c>
      <c r="E1909" s="4">
        <v>2.4952199999999999E-16</v>
      </c>
      <c r="I1909" s="4">
        <v>2.4952199999999999E-16</v>
      </c>
      <c r="U1909" s="5"/>
    </row>
    <row r="1910" spans="3:21" x14ac:dyDescent="0.25">
      <c r="C1910" s="4">
        <v>2.4952199999999999E-16</v>
      </c>
      <c r="D1910" s="4">
        <v>1.24761E-16</v>
      </c>
      <c r="E1910" s="4">
        <v>2.4952199999999999E-16</v>
      </c>
      <c r="I1910" s="4">
        <v>2.4952199999999999E-16</v>
      </c>
      <c r="U1910" s="5"/>
    </row>
    <row r="1911" spans="3:21" x14ac:dyDescent="0.25">
      <c r="C1911" s="4">
        <v>2.4952199999999999E-16</v>
      </c>
      <c r="D1911" s="4">
        <v>1.24761E-16</v>
      </c>
      <c r="E1911" s="4">
        <v>2.4952199999999999E-16</v>
      </c>
      <c r="I1911" s="4">
        <v>2.4952199999999999E-16</v>
      </c>
      <c r="U1911" s="5"/>
    </row>
    <row r="1912" spans="3:21" x14ac:dyDescent="0.25">
      <c r="C1912" s="4">
        <v>2.4952199999999999E-16</v>
      </c>
      <c r="D1912" s="4">
        <v>1.24761E-16</v>
      </c>
      <c r="E1912" s="4">
        <v>2.4952199999999999E-16</v>
      </c>
      <c r="I1912" s="4">
        <v>2.4952199999999999E-16</v>
      </c>
      <c r="U1912" s="5"/>
    </row>
    <row r="1913" spans="3:21" x14ac:dyDescent="0.25">
      <c r="C1913" s="4">
        <v>2.4952199999999999E-16</v>
      </c>
      <c r="D1913" s="4">
        <v>1.24761E-16</v>
      </c>
      <c r="E1913" s="4">
        <v>2.4952199999999999E-16</v>
      </c>
      <c r="I1913" s="4">
        <v>2.4952199999999999E-16</v>
      </c>
      <c r="U1913" s="5"/>
    </row>
    <row r="1914" spans="3:21" x14ac:dyDescent="0.25">
      <c r="C1914" s="4">
        <v>2.4952199999999999E-16</v>
      </c>
      <c r="D1914" s="4">
        <v>1.24761E-16</v>
      </c>
      <c r="E1914" s="4">
        <v>2.4952199999999999E-16</v>
      </c>
      <c r="I1914" s="4">
        <v>2.4952199999999999E-16</v>
      </c>
      <c r="U1914" s="5"/>
    </row>
    <row r="1915" spans="3:21" x14ac:dyDescent="0.25">
      <c r="C1915" s="4">
        <v>2.4952199999999999E-16</v>
      </c>
      <c r="D1915" s="4">
        <v>1.24761E-16</v>
      </c>
      <c r="E1915" s="4">
        <v>2.4952199999999999E-16</v>
      </c>
      <c r="I1915" s="4">
        <v>2.4952199999999999E-16</v>
      </c>
      <c r="U1915" s="5"/>
    </row>
    <row r="1916" spans="3:21" x14ac:dyDescent="0.25">
      <c r="C1916" s="4">
        <v>2.4952199999999999E-16</v>
      </c>
      <c r="D1916" s="4">
        <v>1.24761E-16</v>
      </c>
      <c r="E1916" s="4">
        <v>2.4952199999999999E-16</v>
      </c>
      <c r="I1916" s="4">
        <v>2.4952199999999999E-16</v>
      </c>
      <c r="U1916" s="5"/>
    </row>
    <row r="1917" spans="3:21" x14ac:dyDescent="0.25">
      <c r="C1917" s="4">
        <v>2.4952199999999999E-16</v>
      </c>
      <c r="D1917" s="4">
        <v>1.24761E-16</v>
      </c>
      <c r="E1917" s="4">
        <v>2.4952199999999999E-16</v>
      </c>
      <c r="I1917" s="4">
        <v>2.4952199999999999E-16</v>
      </c>
      <c r="U1917" s="5"/>
    </row>
    <row r="1918" spans="3:21" x14ac:dyDescent="0.25">
      <c r="C1918" s="4">
        <v>2.4952199999999999E-16</v>
      </c>
      <c r="D1918" s="4">
        <v>1.24761E-16</v>
      </c>
      <c r="E1918" s="4">
        <v>2.4952199999999999E-16</v>
      </c>
      <c r="I1918" s="4">
        <v>2.4952199999999999E-16</v>
      </c>
      <c r="U1918" s="5"/>
    </row>
    <row r="1919" spans="3:21" x14ac:dyDescent="0.25">
      <c r="C1919" s="4">
        <v>2.4952199999999999E-16</v>
      </c>
      <c r="D1919" s="4">
        <v>1.24761E-16</v>
      </c>
      <c r="E1919" s="4">
        <v>2.4952199999999999E-16</v>
      </c>
      <c r="I1919" s="4">
        <v>2.4952199999999999E-16</v>
      </c>
      <c r="U1919" s="5"/>
    </row>
    <row r="1920" spans="3:21" x14ac:dyDescent="0.25">
      <c r="C1920" s="4">
        <v>2.4952199999999999E-16</v>
      </c>
      <c r="D1920" s="4">
        <v>1.24761E-16</v>
      </c>
      <c r="E1920" s="4">
        <v>2.4952199999999999E-16</v>
      </c>
      <c r="I1920" s="4">
        <v>2.4952199999999999E-16</v>
      </c>
      <c r="U1920" s="5"/>
    </row>
    <row r="1921" spans="3:21" x14ac:dyDescent="0.25">
      <c r="C1921" s="4">
        <v>2.4952199999999999E-16</v>
      </c>
      <c r="D1921" s="4">
        <v>1.24761E-16</v>
      </c>
      <c r="E1921" s="4">
        <v>2.4952199999999999E-16</v>
      </c>
      <c r="I1921" s="4">
        <v>2.4952199999999999E-16</v>
      </c>
      <c r="U1921" s="5"/>
    </row>
    <row r="1922" spans="3:21" x14ac:dyDescent="0.25">
      <c r="C1922" s="4">
        <v>2.4952199999999999E-16</v>
      </c>
      <c r="D1922" s="4">
        <v>1.24761E-16</v>
      </c>
      <c r="E1922" s="4">
        <v>2.4952199999999999E-16</v>
      </c>
      <c r="I1922" s="4">
        <v>2.4952199999999999E-16</v>
      </c>
      <c r="U1922" s="5"/>
    </row>
    <row r="1923" spans="3:21" x14ac:dyDescent="0.25">
      <c r="C1923" s="4">
        <v>2.4952199999999999E-16</v>
      </c>
      <c r="D1923" s="4">
        <v>1.24761E-16</v>
      </c>
      <c r="E1923" s="4">
        <v>2.4952199999999999E-16</v>
      </c>
      <c r="I1923" s="4">
        <v>2.4952199999999999E-16</v>
      </c>
      <c r="U1923" s="5"/>
    </row>
    <row r="1924" spans="3:21" x14ac:dyDescent="0.25">
      <c r="C1924" s="4">
        <v>2.4952199999999999E-16</v>
      </c>
      <c r="D1924" s="4">
        <v>1.24761E-16</v>
      </c>
      <c r="E1924" s="4">
        <v>2.4952199999999999E-16</v>
      </c>
      <c r="I1924" s="4">
        <v>2.4952199999999999E-16</v>
      </c>
      <c r="U1924" s="5"/>
    </row>
    <row r="1925" spans="3:21" x14ac:dyDescent="0.25">
      <c r="C1925" s="4">
        <v>2.4952199999999999E-16</v>
      </c>
      <c r="D1925" s="4">
        <v>1.24761E-16</v>
      </c>
      <c r="E1925" s="4">
        <v>2.4952199999999999E-16</v>
      </c>
      <c r="I1925" s="4">
        <v>2.4952199999999999E-16</v>
      </c>
      <c r="U1925" s="5"/>
    </row>
    <row r="1926" spans="3:21" x14ac:dyDescent="0.25">
      <c r="C1926" s="4">
        <v>2.4952199999999999E-16</v>
      </c>
      <c r="D1926" s="4">
        <v>1.24761E-16</v>
      </c>
      <c r="E1926" s="4">
        <v>2.4952199999999999E-16</v>
      </c>
      <c r="I1926" s="4">
        <v>2.4952199999999999E-16</v>
      </c>
      <c r="U1926" s="5"/>
    </row>
    <row r="1927" spans="3:21" x14ac:dyDescent="0.25">
      <c r="C1927" s="4">
        <v>2.4952199999999999E-16</v>
      </c>
      <c r="D1927" s="4">
        <v>1.24761E-16</v>
      </c>
      <c r="E1927" s="4">
        <v>2.4952199999999999E-16</v>
      </c>
      <c r="I1927" s="4">
        <v>2.4952199999999999E-16</v>
      </c>
      <c r="U1927" s="5"/>
    </row>
    <row r="1928" spans="3:21" x14ac:dyDescent="0.25">
      <c r="C1928" s="4">
        <v>2.4952199999999999E-16</v>
      </c>
      <c r="D1928" s="4">
        <v>1.24761E-16</v>
      </c>
      <c r="E1928" s="4">
        <v>2.4952199999999999E-16</v>
      </c>
      <c r="I1928" s="4">
        <v>2.4952199999999999E-16</v>
      </c>
      <c r="U1928" s="5"/>
    </row>
    <row r="1929" spans="3:21" x14ac:dyDescent="0.25">
      <c r="C1929" s="4">
        <v>2.4952199999999999E-16</v>
      </c>
      <c r="D1929" s="4">
        <v>1.24761E-16</v>
      </c>
      <c r="E1929" s="4">
        <v>2.4952199999999999E-16</v>
      </c>
      <c r="I1929" s="4">
        <v>2.4952199999999999E-16</v>
      </c>
      <c r="U1929" s="5"/>
    </row>
    <row r="1930" spans="3:21" x14ac:dyDescent="0.25">
      <c r="C1930" s="4">
        <v>2.4952199999999999E-16</v>
      </c>
      <c r="D1930" s="4">
        <v>1.24761E-16</v>
      </c>
      <c r="E1930" s="4">
        <v>2.4952199999999999E-16</v>
      </c>
      <c r="I1930" s="4">
        <v>2.4952199999999999E-16</v>
      </c>
      <c r="U1930" s="5"/>
    </row>
    <row r="1931" spans="3:21" x14ac:dyDescent="0.25">
      <c r="C1931" s="4">
        <v>2.4952199999999999E-16</v>
      </c>
      <c r="D1931" s="4">
        <v>1.24761E-16</v>
      </c>
      <c r="E1931" s="4">
        <v>2.4952199999999999E-16</v>
      </c>
      <c r="I1931" s="4">
        <v>2.4952199999999999E-16</v>
      </c>
      <c r="U1931" s="5"/>
    </row>
    <row r="1932" spans="3:21" x14ac:dyDescent="0.25">
      <c r="C1932" s="4">
        <v>2.4952199999999999E-16</v>
      </c>
      <c r="D1932" s="4">
        <v>1.24761E-16</v>
      </c>
      <c r="E1932" s="4">
        <v>2.4952199999999999E-16</v>
      </c>
      <c r="I1932" s="4">
        <v>1.24761E-16</v>
      </c>
      <c r="U1932" s="5"/>
    </row>
    <row r="1933" spans="3:21" x14ac:dyDescent="0.25">
      <c r="C1933" s="4">
        <v>2.4952199999999999E-16</v>
      </c>
      <c r="D1933" s="4">
        <v>1.24761E-16</v>
      </c>
      <c r="E1933" s="4">
        <v>2.4952199999999999E-16</v>
      </c>
      <c r="I1933" s="4">
        <v>1.24761E-16</v>
      </c>
      <c r="U1933" s="5"/>
    </row>
    <row r="1934" spans="3:21" x14ac:dyDescent="0.25">
      <c r="C1934" s="4">
        <v>2.4952199999999999E-16</v>
      </c>
      <c r="D1934" s="4">
        <v>1.24761E-16</v>
      </c>
      <c r="E1934" s="4">
        <v>2.4952199999999999E-16</v>
      </c>
      <c r="I1934" s="4">
        <v>1.24761E-16</v>
      </c>
      <c r="U1934" s="5"/>
    </row>
    <row r="1935" spans="3:21" x14ac:dyDescent="0.25">
      <c r="C1935" s="4">
        <v>2.4952199999999999E-16</v>
      </c>
      <c r="D1935" s="4">
        <v>1.24761E-16</v>
      </c>
      <c r="E1935" s="4">
        <v>2.4952199999999999E-16</v>
      </c>
      <c r="I1935" s="4">
        <v>1.24761E-16</v>
      </c>
      <c r="U1935" s="5"/>
    </row>
    <row r="1936" spans="3:21" x14ac:dyDescent="0.25">
      <c r="C1936" s="4">
        <v>2.4952199999999999E-16</v>
      </c>
      <c r="D1936" s="4">
        <v>1.24761E-16</v>
      </c>
      <c r="E1936" s="4">
        <v>2.4952199999999999E-16</v>
      </c>
      <c r="I1936" s="4">
        <v>1.24761E-16</v>
      </c>
      <c r="U1936" s="5"/>
    </row>
    <row r="1937" spans="3:21" x14ac:dyDescent="0.25">
      <c r="C1937" s="4">
        <v>2.4952199999999999E-16</v>
      </c>
      <c r="D1937" s="4">
        <v>1.24761E-16</v>
      </c>
      <c r="E1937" s="4">
        <v>2.4952199999999999E-16</v>
      </c>
      <c r="I1937" s="4">
        <v>1.24761E-16</v>
      </c>
      <c r="U1937" s="5"/>
    </row>
    <row r="1938" spans="3:21" x14ac:dyDescent="0.25">
      <c r="C1938" s="4">
        <v>2.4952199999999999E-16</v>
      </c>
      <c r="D1938" s="4">
        <v>1.24761E-16</v>
      </c>
      <c r="E1938" s="4">
        <v>2.4952199999999999E-16</v>
      </c>
      <c r="I1938" s="4">
        <v>1.24761E-16</v>
      </c>
      <c r="U1938" s="5"/>
    </row>
    <row r="1939" spans="3:21" x14ac:dyDescent="0.25">
      <c r="C1939" s="4">
        <v>2.4952199999999999E-16</v>
      </c>
      <c r="D1939" s="4">
        <v>1.24761E-16</v>
      </c>
      <c r="E1939" s="4">
        <v>2.4952199999999999E-16</v>
      </c>
      <c r="I1939" s="4">
        <v>1.24761E-16</v>
      </c>
      <c r="U1939" s="5"/>
    </row>
    <row r="1940" spans="3:21" x14ac:dyDescent="0.25">
      <c r="C1940" s="4">
        <v>2.4952199999999999E-16</v>
      </c>
      <c r="D1940" s="4">
        <v>1.24761E-16</v>
      </c>
      <c r="E1940" s="4">
        <v>2.4952199999999999E-16</v>
      </c>
      <c r="I1940" s="4">
        <v>1.24761E-16</v>
      </c>
      <c r="U1940" s="5"/>
    </row>
    <row r="1941" spans="3:21" x14ac:dyDescent="0.25">
      <c r="C1941" s="4">
        <v>2.4952199999999999E-16</v>
      </c>
      <c r="D1941" s="4">
        <v>1.24761E-16</v>
      </c>
      <c r="E1941" s="4">
        <v>2.4952199999999999E-16</v>
      </c>
      <c r="I1941" s="4">
        <v>1.24761E-16</v>
      </c>
      <c r="U1941" s="5"/>
    </row>
    <row r="1942" spans="3:21" x14ac:dyDescent="0.25">
      <c r="C1942" s="4">
        <v>2.4952199999999999E-16</v>
      </c>
      <c r="D1942" s="4">
        <v>1.24761E-16</v>
      </c>
      <c r="E1942" s="4">
        <v>2.4952199999999999E-16</v>
      </c>
      <c r="I1942" s="4">
        <v>1.24761E-16</v>
      </c>
      <c r="U1942" s="5"/>
    </row>
    <row r="1943" spans="3:21" x14ac:dyDescent="0.25">
      <c r="C1943" s="4">
        <v>2.4952199999999999E-16</v>
      </c>
      <c r="D1943" s="4">
        <v>1.24761E-16</v>
      </c>
      <c r="E1943" s="4">
        <v>2.4952199999999999E-16</v>
      </c>
      <c r="I1943" s="4">
        <v>1.24761E-16</v>
      </c>
      <c r="U1943" s="5"/>
    </row>
    <row r="1944" spans="3:21" x14ac:dyDescent="0.25">
      <c r="C1944" s="4">
        <v>2.4952199999999999E-16</v>
      </c>
      <c r="D1944" s="4">
        <v>1.24761E-16</v>
      </c>
      <c r="E1944" s="4">
        <v>2.4952199999999999E-16</v>
      </c>
      <c r="I1944" s="4">
        <v>1.24761E-16</v>
      </c>
      <c r="U1944" s="5"/>
    </row>
    <row r="1945" spans="3:21" x14ac:dyDescent="0.25">
      <c r="C1945" s="4">
        <v>2.4952199999999999E-16</v>
      </c>
      <c r="D1945" s="4">
        <v>1.24761E-16</v>
      </c>
      <c r="E1945" s="4">
        <v>2.4952199999999999E-16</v>
      </c>
      <c r="I1945" s="4">
        <v>1.24761E-16</v>
      </c>
      <c r="U1945" s="5"/>
    </row>
    <row r="1946" spans="3:21" x14ac:dyDescent="0.25">
      <c r="C1946" s="4">
        <v>2.4952199999999999E-16</v>
      </c>
      <c r="D1946" s="4">
        <v>1.24761E-16</v>
      </c>
      <c r="E1946" s="4">
        <v>2.4952199999999999E-16</v>
      </c>
      <c r="I1946" s="4">
        <v>1.24761E-16</v>
      </c>
      <c r="U1946" s="5"/>
    </row>
    <row r="1947" spans="3:21" x14ac:dyDescent="0.25">
      <c r="C1947" s="4">
        <v>2.4952199999999999E-16</v>
      </c>
      <c r="D1947" s="4">
        <v>1.24761E-16</v>
      </c>
      <c r="E1947" s="4">
        <v>2.4952199999999999E-16</v>
      </c>
      <c r="I1947" s="4">
        <v>1.24761E-16</v>
      </c>
      <c r="U1947" s="5"/>
    </row>
    <row r="1948" spans="3:21" x14ac:dyDescent="0.25">
      <c r="C1948" s="4">
        <v>2.4952199999999999E-16</v>
      </c>
      <c r="D1948" s="4">
        <v>1.24761E-16</v>
      </c>
      <c r="E1948" s="4">
        <v>2.4952199999999999E-16</v>
      </c>
      <c r="I1948" s="4">
        <v>1.24761E-16</v>
      </c>
      <c r="U1948" s="5"/>
    </row>
    <row r="1949" spans="3:21" x14ac:dyDescent="0.25">
      <c r="C1949" s="4">
        <v>2.4952199999999999E-16</v>
      </c>
      <c r="D1949" s="4">
        <v>1.24761E-16</v>
      </c>
      <c r="E1949" s="4">
        <v>2.4952199999999999E-16</v>
      </c>
      <c r="I1949" s="4">
        <v>1.24761E-16</v>
      </c>
      <c r="U1949" s="5"/>
    </row>
    <row r="1950" spans="3:21" x14ac:dyDescent="0.25">
      <c r="C1950" s="4">
        <v>2.4952199999999999E-16</v>
      </c>
      <c r="D1950" s="4">
        <v>1.24761E-16</v>
      </c>
      <c r="E1950" s="4">
        <v>2.4952199999999999E-16</v>
      </c>
      <c r="I1950" s="4">
        <v>1.24761E-16</v>
      </c>
      <c r="U1950" s="5"/>
    </row>
    <row r="1951" spans="3:21" x14ac:dyDescent="0.25">
      <c r="C1951" s="4">
        <v>2.4952199999999999E-16</v>
      </c>
      <c r="D1951" s="4">
        <v>1.24761E-16</v>
      </c>
      <c r="E1951" s="4">
        <v>2.4952199999999999E-16</v>
      </c>
      <c r="I1951" s="4">
        <v>1.24761E-16</v>
      </c>
      <c r="U1951" s="5"/>
    </row>
    <row r="1952" spans="3:21" x14ac:dyDescent="0.25">
      <c r="C1952" s="4">
        <v>2.4952199999999999E-16</v>
      </c>
      <c r="D1952" s="4">
        <v>1.24761E-16</v>
      </c>
      <c r="E1952" s="4">
        <v>2.4952199999999999E-16</v>
      </c>
      <c r="I1952" s="4">
        <v>1.24761E-16</v>
      </c>
      <c r="U1952" s="5"/>
    </row>
    <row r="1953" spans="3:21" x14ac:dyDescent="0.25">
      <c r="C1953" s="4">
        <v>2.4952199999999999E-16</v>
      </c>
      <c r="D1953" s="4">
        <v>1.24761E-16</v>
      </c>
      <c r="E1953" s="4">
        <v>2.4952199999999999E-16</v>
      </c>
      <c r="I1953" s="4">
        <v>1.24761E-16</v>
      </c>
      <c r="U1953" s="5"/>
    </row>
    <row r="1954" spans="3:21" x14ac:dyDescent="0.25">
      <c r="C1954" s="4">
        <v>2.4952199999999999E-16</v>
      </c>
      <c r="D1954" s="4">
        <v>1.24761E-16</v>
      </c>
      <c r="E1954" s="4">
        <v>2.4952199999999999E-16</v>
      </c>
      <c r="I1954" s="4">
        <v>1.24761E-16</v>
      </c>
      <c r="U1954" s="5"/>
    </row>
    <row r="1955" spans="3:21" x14ac:dyDescent="0.25">
      <c r="C1955" s="4">
        <v>2.4952199999999999E-16</v>
      </c>
      <c r="D1955" s="4">
        <v>1.24761E-16</v>
      </c>
      <c r="E1955" s="4">
        <v>2.4952199999999999E-16</v>
      </c>
      <c r="I1955" s="4">
        <v>1.24761E-16</v>
      </c>
      <c r="U1955" s="5"/>
    </row>
    <row r="1956" spans="3:21" x14ac:dyDescent="0.25">
      <c r="C1956" s="4">
        <v>2.4952199999999999E-16</v>
      </c>
      <c r="D1956" s="4">
        <v>1.24761E-16</v>
      </c>
      <c r="E1956" s="4">
        <v>2.4952199999999999E-16</v>
      </c>
      <c r="I1956" s="4">
        <v>1.24761E-16</v>
      </c>
      <c r="U1956" s="5"/>
    </row>
    <row r="1957" spans="3:21" x14ac:dyDescent="0.25">
      <c r="C1957" s="4">
        <v>2.4952199999999999E-16</v>
      </c>
      <c r="D1957" s="4">
        <v>1.24761E-16</v>
      </c>
      <c r="E1957" s="4">
        <v>2.4952199999999999E-16</v>
      </c>
      <c r="I1957" s="4">
        <v>1.24761E-16</v>
      </c>
      <c r="U1957" s="5"/>
    </row>
    <row r="1958" spans="3:21" x14ac:dyDescent="0.25">
      <c r="C1958" s="4">
        <v>2.4952199999999999E-16</v>
      </c>
      <c r="D1958" s="4">
        <v>1.24761E-16</v>
      </c>
      <c r="E1958" s="4">
        <v>2.4952199999999999E-16</v>
      </c>
      <c r="I1958" s="4">
        <v>1.24761E-16</v>
      </c>
      <c r="U1958" s="5"/>
    </row>
    <row r="1959" spans="3:21" x14ac:dyDescent="0.25">
      <c r="C1959" s="4">
        <v>2.4952199999999999E-16</v>
      </c>
      <c r="D1959" s="4">
        <v>1.24761E-16</v>
      </c>
      <c r="E1959" s="4">
        <v>2.4952199999999999E-16</v>
      </c>
      <c r="I1959" s="4">
        <v>1.24761E-16</v>
      </c>
      <c r="U1959" s="5"/>
    </row>
    <row r="1960" spans="3:21" x14ac:dyDescent="0.25">
      <c r="C1960" s="4">
        <v>2.4952199999999999E-16</v>
      </c>
      <c r="D1960" s="4">
        <v>1.24761E-16</v>
      </c>
      <c r="E1960" s="4">
        <v>2.4952199999999999E-16</v>
      </c>
      <c r="I1960" s="4">
        <v>1.24761E-16</v>
      </c>
      <c r="U1960" s="5"/>
    </row>
    <row r="1961" spans="3:21" x14ac:dyDescent="0.25">
      <c r="C1961" s="4">
        <v>2.4952199999999999E-16</v>
      </c>
      <c r="D1961" s="4">
        <v>1.24761E-16</v>
      </c>
      <c r="E1961" s="4">
        <v>2.4952199999999999E-16</v>
      </c>
      <c r="I1961" s="4">
        <v>1.24761E-16</v>
      </c>
      <c r="U1961" s="5"/>
    </row>
    <row r="1962" spans="3:21" x14ac:dyDescent="0.25">
      <c r="C1962" s="4">
        <v>2.4952199999999999E-16</v>
      </c>
      <c r="D1962" s="4">
        <v>1.24761E-16</v>
      </c>
      <c r="E1962" s="4">
        <v>2.4952199999999999E-16</v>
      </c>
      <c r="I1962" s="4">
        <v>1.24761E-16</v>
      </c>
      <c r="U1962" s="5"/>
    </row>
    <row r="1963" spans="3:21" x14ac:dyDescent="0.25">
      <c r="C1963" s="4">
        <v>2.4952199999999999E-16</v>
      </c>
      <c r="D1963" s="4">
        <v>1.24761E-16</v>
      </c>
      <c r="E1963" s="4">
        <v>2.4952199999999999E-16</v>
      </c>
      <c r="I1963" s="4">
        <v>1.24761E-16</v>
      </c>
      <c r="U1963" s="5"/>
    </row>
    <row r="1964" spans="3:21" x14ac:dyDescent="0.25">
      <c r="C1964" s="4">
        <v>2.4952199999999999E-16</v>
      </c>
      <c r="D1964" s="4">
        <v>1.24761E-16</v>
      </c>
      <c r="E1964" s="4">
        <v>1.24761E-16</v>
      </c>
      <c r="I1964" s="4">
        <v>1.24761E-16</v>
      </c>
      <c r="U1964" s="5"/>
    </row>
    <row r="1965" spans="3:21" x14ac:dyDescent="0.25">
      <c r="C1965" s="4">
        <v>2.4952199999999999E-16</v>
      </c>
      <c r="D1965" s="4">
        <v>1.24761E-16</v>
      </c>
      <c r="E1965" s="4">
        <v>1.24761E-16</v>
      </c>
      <c r="I1965" s="4">
        <v>1.24761E-16</v>
      </c>
      <c r="U1965" s="5"/>
    </row>
    <row r="1966" spans="3:21" x14ac:dyDescent="0.25">
      <c r="C1966" s="4">
        <v>2.4952199999999999E-16</v>
      </c>
      <c r="D1966" s="4">
        <v>1.24761E-16</v>
      </c>
      <c r="E1966" s="4">
        <v>1.24761E-16</v>
      </c>
      <c r="I1966" s="4">
        <v>1.24761E-16</v>
      </c>
      <c r="U1966" s="5"/>
    </row>
    <row r="1967" spans="3:21" x14ac:dyDescent="0.25">
      <c r="C1967" s="4">
        <v>2.4952199999999999E-16</v>
      </c>
      <c r="D1967" s="4">
        <v>1.24761E-16</v>
      </c>
      <c r="E1967" s="4">
        <v>1.24761E-16</v>
      </c>
      <c r="I1967" s="4">
        <v>1.24761E-16</v>
      </c>
      <c r="U1967" s="5"/>
    </row>
    <row r="1968" spans="3:21" x14ac:dyDescent="0.25">
      <c r="C1968" s="4">
        <v>2.4952199999999999E-16</v>
      </c>
      <c r="D1968" s="4">
        <v>1.24761E-16</v>
      </c>
      <c r="E1968" s="4">
        <v>1.24761E-16</v>
      </c>
      <c r="I1968" s="4">
        <v>1.24761E-16</v>
      </c>
      <c r="U1968" s="5"/>
    </row>
    <row r="1969" spans="3:21" x14ac:dyDescent="0.25">
      <c r="C1969" s="4">
        <v>2.4952199999999999E-16</v>
      </c>
      <c r="D1969" s="4">
        <v>1.24761E-16</v>
      </c>
      <c r="E1969" s="4">
        <v>1.24761E-16</v>
      </c>
      <c r="I1969" s="4">
        <v>1.24761E-16</v>
      </c>
      <c r="U1969" s="5"/>
    </row>
    <row r="1970" spans="3:21" x14ac:dyDescent="0.25">
      <c r="C1970" s="4">
        <v>2.4952199999999999E-16</v>
      </c>
      <c r="D1970" s="4">
        <v>1.24761E-16</v>
      </c>
      <c r="E1970" s="4">
        <v>1.24761E-16</v>
      </c>
      <c r="I1970" s="4">
        <v>1.24761E-16</v>
      </c>
      <c r="U1970" s="5"/>
    </row>
    <row r="1971" spans="3:21" x14ac:dyDescent="0.25">
      <c r="C1971" s="4">
        <v>2.4952199999999999E-16</v>
      </c>
      <c r="D1971" s="4">
        <v>1.24761E-16</v>
      </c>
      <c r="E1971" s="4">
        <v>1.24761E-16</v>
      </c>
      <c r="I1971" s="4">
        <v>1.24761E-16</v>
      </c>
      <c r="U1971" s="5"/>
    </row>
    <row r="1972" spans="3:21" x14ac:dyDescent="0.25">
      <c r="C1972" s="4">
        <v>2.4952199999999999E-16</v>
      </c>
      <c r="D1972" s="4">
        <v>1.24761E-16</v>
      </c>
      <c r="E1972" s="4">
        <v>1.24761E-16</v>
      </c>
      <c r="I1972" s="4">
        <v>1.24761E-16</v>
      </c>
      <c r="U1972" s="5"/>
    </row>
    <row r="1973" spans="3:21" x14ac:dyDescent="0.25">
      <c r="C1973" s="4">
        <v>2.4952199999999999E-16</v>
      </c>
      <c r="D1973" s="4">
        <v>1.24761E-16</v>
      </c>
      <c r="E1973" s="4">
        <v>1.24761E-16</v>
      </c>
      <c r="I1973" s="4">
        <v>1.24761E-16</v>
      </c>
      <c r="U1973" s="5"/>
    </row>
    <row r="1974" spans="3:21" x14ac:dyDescent="0.25">
      <c r="C1974" s="4">
        <v>2.4952199999999999E-16</v>
      </c>
      <c r="D1974" s="4">
        <v>1.24761E-16</v>
      </c>
      <c r="E1974" s="4">
        <v>1.24761E-16</v>
      </c>
      <c r="I1974" s="4">
        <v>1.24761E-16</v>
      </c>
      <c r="U1974" s="5"/>
    </row>
    <row r="1975" spans="3:21" x14ac:dyDescent="0.25">
      <c r="C1975" s="4">
        <v>2.4952199999999999E-16</v>
      </c>
      <c r="D1975" s="4">
        <v>1.24761E-16</v>
      </c>
      <c r="E1975" s="4">
        <v>1.24761E-16</v>
      </c>
      <c r="I1975" s="4">
        <v>1.24761E-16</v>
      </c>
      <c r="U1975" s="5"/>
    </row>
    <row r="1976" spans="3:21" x14ac:dyDescent="0.25">
      <c r="C1976" s="4">
        <v>2.4952199999999999E-16</v>
      </c>
      <c r="D1976" s="4">
        <v>1.24761E-16</v>
      </c>
      <c r="E1976" s="4">
        <v>1.24761E-16</v>
      </c>
      <c r="I1976" s="4">
        <v>1.24761E-16</v>
      </c>
      <c r="U1976" s="5"/>
    </row>
    <row r="1977" spans="3:21" x14ac:dyDescent="0.25">
      <c r="C1977" s="4">
        <v>2.4952199999999999E-16</v>
      </c>
      <c r="D1977" s="4">
        <v>1.24761E-16</v>
      </c>
      <c r="E1977" s="4">
        <v>1.24761E-16</v>
      </c>
      <c r="I1977" s="4">
        <v>1.24761E-16</v>
      </c>
      <c r="U1977" s="5"/>
    </row>
    <row r="1978" spans="3:21" x14ac:dyDescent="0.25">
      <c r="C1978" s="4">
        <v>2.4952199999999999E-16</v>
      </c>
      <c r="D1978" s="4">
        <v>1.24761E-16</v>
      </c>
      <c r="E1978" s="4">
        <v>1.24761E-16</v>
      </c>
      <c r="I1978" s="4">
        <v>1.24761E-16</v>
      </c>
      <c r="U1978" s="5"/>
    </row>
    <row r="1979" spans="3:21" x14ac:dyDescent="0.25">
      <c r="C1979" s="4">
        <v>2.4952199999999999E-16</v>
      </c>
      <c r="D1979" s="4">
        <v>1.24761E-16</v>
      </c>
      <c r="E1979" s="4">
        <v>1.24761E-16</v>
      </c>
      <c r="I1979" s="4">
        <v>1.24761E-16</v>
      </c>
      <c r="U1979" s="5"/>
    </row>
    <row r="1980" spans="3:21" x14ac:dyDescent="0.25">
      <c r="C1980" s="4">
        <v>2.4952199999999999E-16</v>
      </c>
      <c r="D1980" s="4">
        <v>1.24761E-16</v>
      </c>
      <c r="E1980" s="4">
        <v>1.24761E-16</v>
      </c>
      <c r="I1980" s="4">
        <v>1.24761E-16</v>
      </c>
      <c r="U1980" s="5"/>
    </row>
    <row r="1981" spans="3:21" x14ac:dyDescent="0.25">
      <c r="C1981" s="4">
        <v>2.4952199999999999E-16</v>
      </c>
      <c r="D1981" s="4">
        <v>1.24761E-16</v>
      </c>
      <c r="E1981" s="4">
        <v>1.24761E-16</v>
      </c>
      <c r="I1981" s="4">
        <v>1.24761E-16</v>
      </c>
      <c r="U1981" s="5"/>
    </row>
    <row r="1982" spans="3:21" x14ac:dyDescent="0.25">
      <c r="C1982" s="4">
        <v>2.4952199999999999E-16</v>
      </c>
      <c r="D1982" s="4">
        <v>1.24761E-16</v>
      </c>
      <c r="E1982" s="4">
        <v>1.24761E-16</v>
      </c>
      <c r="I1982" s="4">
        <v>1.24761E-16</v>
      </c>
      <c r="U1982" s="5"/>
    </row>
    <row r="1983" spans="3:21" x14ac:dyDescent="0.25">
      <c r="C1983" s="4">
        <v>2.4952199999999999E-16</v>
      </c>
      <c r="D1983" s="4">
        <v>1.24761E-16</v>
      </c>
      <c r="E1983" s="4">
        <v>1.24761E-16</v>
      </c>
      <c r="I1983" s="4">
        <v>1.24761E-16</v>
      </c>
      <c r="U1983" s="5"/>
    </row>
    <row r="1984" spans="3:21" x14ac:dyDescent="0.25">
      <c r="C1984" s="4">
        <v>2.4952199999999999E-16</v>
      </c>
      <c r="E1984" s="4">
        <v>1.24761E-16</v>
      </c>
      <c r="I1984" s="4">
        <v>1.24761E-16</v>
      </c>
      <c r="U1984" s="5"/>
    </row>
    <row r="1985" spans="3:21" x14ac:dyDescent="0.25">
      <c r="C1985" s="4">
        <v>2.4952199999999999E-16</v>
      </c>
      <c r="E1985" s="4">
        <v>1.24761E-16</v>
      </c>
      <c r="I1985" s="4">
        <v>1.24761E-16</v>
      </c>
      <c r="U1985" s="5"/>
    </row>
    <row r="1986" spans="3:21" x14ac:dyDescent="0.25">
      <c r="C1986" s="4">
        <v>2.4952199999999999E-16</v>
      </c>
      <c r="E1986" s="4">
        <v>1.24761E-16</v>
      </c>
      <c r="I1986" s="4">
        <v>1.24761E-16</v>
      </c>
      <c r="U1986" s="5"/>
    </row>
    <row r="1987" spans="3:21" x14ac:dyDescent="0.25">
      <c r="C1987" s="4">
        <v>2.4952199999999999E-16</v>
      </c>
      <c r="E1987" s="4">
        <v>1.24761E-16</v>
      </c>
      <c r="I1987" s="4">
        <v>1.24761E-16</v>
      </c>
      <c r="U1987" s="5"/>
    </row>
    <row r="1988" spans="3:21" x14ac:dyDescent="0.25">
      <c r="C1988" s="4">
        <v>2.4952199999999999E-16</v>
      </c>
      <c r="E1988" s="4">
        <v>1.24761E-16</v>
      </c>
      <c r="I1988" s="4">
        <v>1.24761E-16</v>
      </c>
      <c r="U1988" s="5"/>
    </row>
    <row r="1989" spans="3:21" x14ac:dyDescent="0.25">
      <c r="C1989" s="4">
        <v>2.4952199999999999E-16</v>
      </c>
      <c r="E1989" s="4">
        <v>1.24761E-16</v>
      </c>
      <c r="I1989" s="4">
        <v>1.24761E-16</v>
      </c>
      <c r="U1989" s="5"/>
    </row>
    <row r="1990" spans="3:21" x14ac:dyDescent="0.25">
      <c r="C1990" s="4">
        <v>2.4952199999999999E-16</v>
      </c>
      <c r="E1990" s="4">
        <v>1.24761E-16</v>
      </c>
      <c r="I1990" s="4">
        <v>1.24761E-16</v>
      </c>
      <c r="U1990" s="5"/>
    </row>
    <row r="1991" spans="3:21" x14ac:dyDescent="0.25">
      <c r="C1991" s="4">
        <v>2.4952199999999999E-16</v>
      </c>
      <c r="E1991" s="4">
        <v>1.24761E-16</v>
      </c>
      <c r="I1991" s="4">
        <v>1.24761E-16</v>
      </c>
      <c r="U1991" s="5"/>
    </row>
    <row r="1992" spans="3:21" x14ac:dyDescent="0.25">
      <c r="C1992" s="4">
        <v>2.4952199999999999E-16</v>
      </c>
      <c r="E1992" s="4">
        <v>1.24761E-16</v>
      </c>
      <c r="I1992" s="4">
        <v>1.24761E-16</v>
      </c>
      <c r="U1992" s="5"/>
    </row>
    <row r="1993" spans="3:21" x14ac:dyDescent="0.25">
      <c r="C1993" s="4">
        <v>2.4952199999999999E-16</v>
      </c>
      <c r="E1993" s="4">
        <v>1.24761E-16</v>
      </c>
      <c r="I1993" s="4">
        <v>1.24761E-16</v>
      </c>
      <c r="U1993" s="5"/>
    </row>
    <row r="1994" spans="3:21" x14ac:dyDescent="0.25">
      <c r="C1994" s="4">
        <v>2.4952199999999999E-16</v>
      </c>
      <c r="E1994" s="4">
        <v>1.24761E-16</v>
      </c>
      <c r="I1994" s="4">
        <v>1.24761E-16</v>
      </c>
      <c r="U1994" s="5"/>
    </row>
    <row r="1995" spans="3:21" x14ac:dyDescent="0.25">
      <c r="C1995" s="4">
        <v>2.4952199999999999E-16</v>
      </c>
      <c r="E1995" s="4">
        <v>1.24761E-16</v>
      </c>
      <c r="I1995" s="4">
        <v>1.24761E-16</v>
      </c>
      <c r="U1995" s="5"/>
    </row>
    <row r="1996" spans="3:21" x14ac:dyDescent="0.25">
      <c r="C1996" s="4">
        <v>2.4952199999999999E-16</v>
      </c>
      <c r="E1996" s="4">
        <v>1.24761E-16</v>
      </c>
      <c r="I1996" s="4">
        <v>1.24761E-16</v>
      </c>
      <c r="U1996" s="5"/>
    </row>
    <row r="1997" spans="3:21" x14ac:dyDescent="0.25">
      <c r="C1997" s="4">
        <v>2.4952199999999999E-16</v>
      </c>
      <c r="E1997" s="4">
        <v>1.24761E-16</v>
      </c>
      <c r="I1997" s="4">
        <v>1.24761E-16</v>
      </c>
      <c r="U1997" s="5"/>
    </row>
    <row r="1998" spans="3:21" x14ac:dyDescent="0.25">
      <c r="C1998" s="4">
        <v>2.4952199999999999E-16</v>
      </c>
      <c r="E1998" s="4">
        <v>1.24761E-16</v>
      </c>
      <c r="I1998" s="4">
        <v>1.24761E-16</v>
      </c>
      <c r="U1998" s="5"/>
    </row>
    <row r="1999" spans="3:21" x14ac:dyDescent="0.25">
      <c r="C1999" s="4">
        <v>2.4952199999999999E-16</v>
      </c>
      <c r="E1999" s="4">
        <v>1.24761E-16</v>
      </c>
      <c r="I1999" s="4">
        <v>1.24761E-16</v>
      </c>
      <c r="U1999" s="5"/>
    </row>
    <row r="2000" spans="3:21" x14ac:dyDescent="0.25">
      <c r="C2000" s="4">
        <v>2.4952199999999999E-16</v>
      </c>
      <c r="E2000" s="4">
        <v>1.24761E-16</v>
      </c>
      <c r="I2000" s="4">
        <v>1.24761E-16</v>
      </c>
      <c r="U2000" s="5"/>
    </row>
    <row r="2001" spans="3:21" x14ac:dyDescent="0.25">
      <c r="C2001" s="4">
        <v>2.4952199999999999E-16</v>
      </c>
      <c r="E2001" s="4">
        <v>1.24761E-16</v>
      </c>
      <c r="I2001" s="4">
        <v>1.24761E-16</v>
      </c>
      <c r="U2001" s="5"/>
    </row>
    <row r="2002" spans="3:21" x14ac:dyDescent="0.25">
      <c r="C2002" s="4">
        <v>2.4952199999999999E-16</v>
      </c>
      <c r="E2002" s="4">
        <v>1.24761E-16</v>
      </c>
      <c r="I2002" s="4">
        <v>1.24761E-16</v>
      </c>
      <c r="U2002" s="5"/>
    </row>
    <row r="2003" spans="3:21" x14ac:dyDescent="0.25">
      <c r="C2003" s="4">
        <v>2.4952199999999999E-16</v>
      </c>
      <c r="E2003" s="4">
        <v>1.24761E-16</v>
      </c>
      <c r="I2003" s="4">
        <v>1.24761E-16</v>
      </c>
      <c r="U2003" s="5"/>
    </row>
    <row r="2004" spans="3:21" x14ac:dyDescent="0.25">
      <c r="C2004" s="4">
        <v>2.4952199999999999E-16</v>
      </c>
      <c r="E2004" s="4">
        <v>1.24761E-16</v>
      </c>
      <c r="I2004" s="4">
        <v>1.24761E-16</v>
      </c>
      <c r="U2004" s="5"/>
    </row>
    <row r="2005" spans="3:21" x14ac:dyDescent="0.25">
      <c r="C2005" s="4">
        <v>2.4952199999999999E-16</v>
      </c>
      <c r="E2005" s="4">
        <v>1.24761E-16</v>
      </c>
      <c r="I2005" s="4">
        <v>1.24761E-16</v>
      </c>
      <c r="U2005" s="5"/>
    </row>
    <row r="2006" spans="3:21" x14ac:dyDescent="0.25">
      <c r="C2006" s="4">
        <v>2.4952199999999999E-16</v>
      </c>
      <c r="E2006" s="4">
        <v>1.24761E-16</v>
      </c>
      <c r="I2006" s="4">
        <v>1.24761E-16</v>
      </c>
      <c r="U2006" s="5"/>
    </row>
    <row r="2007" spans="3:21" x14ac:dyDescent="0.25">
      <c r="C2007" s="4">
        <v>2.4952199999999999E-16</v>
      </c>
      <c r="E2007" s="4">
        <v>1.24761E-16</v>
      </c>
      <c r="I2007" s="4">
        <v>1.24761E-16</v>
      </c>
      <c r="U2007" s="5"/>
    </row>
    <row r="2008" spans="3:21" x14ac:dyDescent="0.25">
      <c r="C2008" s="4">
        <v>2.4952199999999999E-16</v>
      </c>
      <c r="E2008" s="4">
        <v>1.24761E-16</v>
      </c>
      <c r="I2008" s="4">
        <v>1.24761E-16</v>
      </c>
      <c r="U2008" s="5"/>
    </row>
    <row r="2009" spans="3:21" x14ac:dyDescent="0.25">
      <c r="C2009" s="4">
        <v>2.4952199999999999E-16</v>
      </c>
      <c r="E2009" s="4">
        <v>1.24761E-16</v>
      </c>
      <c r="I2009" s="4">
        <v>1.24761E-16</v>
      </c>
      <c r="U2009" s="5"/>
    </row>
    <row r="2010" spans="3:21" x14ac:dyDescent="0.25">
      <c r="C2010" s="4">
        <v>2.4952199999999999E-16</v>
      </c>
      <c r="E2010" s="4">
        <v>1.24761E-16</v>
      </c>
      <c r="I2010" s="4">
        <v>1.24761E-16</v>
      </c>
      <c r="U2010" s="5"/>
    </row>
    <row r="2011" spans="3:21" x14ac:dyDescent="0.25">
      <c r="C2011" s="4">
        <v>2.4952199999999999E-16</v>
      </c>
      <c r="E2011" s="4">
        <v>1.24761E-16</v>
      </c>
      <c r="I2011" s="4">
        <v>1.24761E-16</v>
      </c>
      <c r="U2011" s="5"/>
    </row>
    <row r="2012" spans="3:21" x14ac:dyDescent="0.25">
      <c r="C2012" s="4">
        <v>2.4952199999999999E-16</v>
      </c>
      <c r="E2012" s="4">
        <v>1.24761E-16</v>
      </c>
      <c r="I2012" s="4">
        <v>1.24761E-16</v>
      </c>
      <c r="U2012" s="5"/>
    </row>
    <row r="2013" spans="3:21" x14ac:dyDescent="0.25">
      <c r="C2013" s="4">
        <v>2.4952199999999999E-16</v>
      </c>
      <c r="E2013" s="4">
        <v>1.24761E-16</v>
      </c>
      <c r="I2013" s="4">
        <v>1.24761E-16</v>
      </c>
      <c r="U2013" s="5"/>
    </row>
    <row r="2014" spans="3:21" x14ac:dyDescent="0.25">
      <c r="C2014" s="4">
        <v>2.4952199999999999E-16</v>
      </c>
      <c r="E2014" s="4">
        <v>1.24761E-16</v>
      </c>
      <c r="I2014" s="4">
        <v>1.24761E-16</v>
      </c>
      <c r="U2014" s="5"/>
    </row>
    <row r="2015" spans="3:21" x14ac:dyDescent="0.25">
      <c r="C2015" s="4">
        <v>2.4952199999999999E-16</v>
      </c>
      <c r="E2015" s="4">
        <v>1.24761E-16</v>
      </c>
      <c r="I2015" s="4">
        <v>1.24761E-16</v>
      </c>
      <c r="U2015" s="5"/>
    </row>
    <row r="2016" spans="3:21" x14ac:dyDescent="0.25">
      <c r="C2016" s="4">
        <v>2.4952199999999999E-16</v>
      </c>
      <c r="E2016" s="4">
        <v>1.24761E-16</v>
      </c>
      <c r="I2016" s="4">
        <v>1.24761E-16</v>
      </c>
      <c r="U2016" s="5"/>
    </row>
    <row r="2017" spans="3:21" x14ac:dyDescent="0.25">
      <c r="C2017" s="4">
        <v>2.4952199999999999E-16</v>
      </c>
      <c r="E2017" s="4">
        <v>1.24761E-16</v>
      </c>
      <c r="I2017" s="4">
        <v>1.24761E-16</v>
      </c>
      <c r="U2017" s="5"/>
    </row>
    <row r="2018" spans="3:21" x14ac:dyDescent="0.25">
      <c r="C2018" s="4">
        <v>2.4952199999999999E-16</v>
      </c>
      <c r="E2018" s="4">
        <v>1.24761E-16</v>
      </c>
      <c r="I2018" s="4">
        <v>1.24761E-16</v>
      </c>
      <c r="U2018" s="5"/>
    </row>
    <row r="2019" spans="3:21" x14ac:dyDescent="0.25">
      <c r="C2019" s="4">
        <v>2.4952199999999999E-16</v>
      </c>
      <c r="E2019" s="4">
        <v>1.24761E-16</v>
      </c>
      <c r="I2019" s="4">
        <v>1.24761E-16</v>
      </c>
      <c r="U2019" s="5"/>
    </row>
    <row r="2020" spans="3:21" x14ac:dyDescent="0.25">
      <c r="C2020" s="4">
        <v>2.4952199999999999E-16</v>
      </c>
      <c r="E2020" s="4">
        <v>1.24761E-16</v>
      </c>
      <c r="I2020" s="4">
        <v>1.24761E-16</v>
      </c>
      <c r="U2020" s="5"/>
    </row>
    <row r="2021" spans="3:21" x14ac:dyDescent="0.25">
      <c r="C2021" s="4">
        <v>2.4952199999999999E-16</v>
      </c>
      <c r="E2021" s="4">
        <v>1.24761E-16</v>
      </c>
      <c r="I2021" s="4">
        <v>1.24761E-16</v>
      </c>
      <c r="U2021" s="5"/>
    </row>
    <row r="2022" spans="3:21" x14ac:dyDescent="0.25">
      <c r="C2022" s="4">
        <v>2.4952199999999999E-16</v>
      </c>
      <c r="E2022" s="4">
        <v>1.24761E-16</v>
      </c>
      <c r="I2022" s="4">
        <v>1.24761E-16</v>
      </c>
      <c r="U2022" s="5"/>
    </row>
    <row r="2023" spans="3:21" x14ac:dyDescent="0.25">
      <c r="C2023" s="4">
        <v>2.4952199999999999E-16</v>
      </c>
      <c r="E2023" s="4">
        <v>1.24761E-16</v>
      </c>
      <c r="I2023" s="4">
        <v>1.24761E-16</v>
      </c>
      <c r="U2023" s="5"/>
    </row>
    <row r="2024" spans="3:21" x14ac:dyDescent="0.25">
      <c r="C2024" s="4">
        <v>2.4952199999999999E-16</v>
      </c>
      <c r="E2024" s="4">
        <v>1.24761E-16</v>
      </c>
      <c r="I2024" s="4">
        <v>1.24761E-16</v>
      </c>
      <c r="U2024" s="5"/>
    </row>
    <row r="2025" spans="3:21" x14ac:dyDescent="0.25">
      <c r="C2025" s="4">
        <v>1.24761E-16</v>
      </c>
      <c r="E2025" s="4">
        <v>1.24761E-16</v>
      </c>
      <c r="I2025" s="4">
        <v>1.24761E-16</v>
      </c>
      <c r="U2025" s="5"/>
    </row>
    <row r="2026" spans="3:21" x14ac:dyDescent="0.25">
      <c r="C2026" s="4">
        <v>1.24761E-16</v>
      </c>
      <c r="E2026" s="4">
        <v>1.24761E-16</v>
      </c>
      <c r="I2026" s="4">
        <v>1.24761E-16</v>
      </c>
      <c r="U2026" s="5"/>
    </row>
    <row r="2027" spans="3:21" x14ac:dyDescent="0.25">
      <c r="C2027" s="4">
        <v>1.24761E-16</v>
      </c>
      <c r="E2027" s="4">
        <v>1.24761E-16</v>
      </c>
      <c r="I2027" s="4">
        <v>1.24761E-16</v>
      </c>
      <c r="U2027" s="5"/>
    </row>
    <row r="2028" spans="3:21" x14ac:dyDescent="0.25">
      <c r="C2028" s="4">
        <v>1.24761E-16</v>
      </c>
      <c r="E2028" s="4">
        <v>1.24761E-16</v>
      </c>
      <c r="I2028" s="4">
        <v>1.24761E-16</v>
      </c>
      <c r="U2028" s="5"/>
    </row>
    <row r="2029" spans="3:21" x14ac:dyDescent="0.25">
      <c r="C2029" s="4">
        <v>1.24761E-16</v>
      </c>
      <c r="E2029" s="4">
        <v>1.24761E-16</v>
      </c>
      <c r="I2029" s="4">
        <v>1.24761E-16</v>
      </c>
      <c r="U2029" s="5"/>
    </row>
    <row r="2030" spans="3:21" x14ac:dyDescent="0.25">
      <c r="C2030" s="4">
        <v>1.24761E-16</v>
      </c>
      <c r="E2030" s="4">
        <v>1.24761E-16</v>
      </c>
      <c r="I2030" s="4">
        <v>1.24761E-16</v>
      </c>
      <c r="U2030" s="5"/>
    </row>
    <row r="2031" spans="3:21" x14ac:dyDescent="0.25">
      <c r="C2031" s="4">
        <v>1.24761E-16</v>
      </c>
      <c r="E2031" s="4">
        <v>1.24761E-16</v>
      </c>
      <c r="I2031" s="4">
        <v>1.24761E-16</v>
      </c>
      <c r="U2031" s="5"/>
    </row>
    <row r="2032" spans="3:21" x14ac:dyDescent="0.25">
      <c r="C2032" s="4">
        <v>1.24761E-16</v>
      </c>
      <c r="E2032" s="4">
        <v>1.24761E-16</v>
      </c>
      <c r="I2032" s="4">
        <v>1.24761E-16</v>
      </c>
      <c r="U2032" s="5"/>
    </row>
    <row r="2033" spans="3:21" x14ac:dyDescent="0.25">
      <c r="C2033" s="4">
        <v>1.24761E-16</v>
      </c>
      <c r="E2033" s="4">
        <v>1.24761E-16</v>
      </c>
      <c r="I2033" s="4">
        <v>1.24761E-16</v>
      </c>
      <c r="U2033" s="5"/>
    </row>
    <row r="2034" spans="3:21" x14ac:dyDescent="0.25">
      <c r="C2034" s="4">
        <v>1.24761E-16</v>
      </c>
      <c r="E2034" s="4">
        <v>1.24761E-16</v>
      </c>
      <c r="I2034" s="4">
        <v>1.24761E-16</v>
      </c>
      <c r="U2034" s="5"/>
    </row>
    <row r="2035" spans="3:21" x14ac:dyDescent="0.25">
      <c r="C2035" s="4">
        <v>1.24761E-16</v>
      </c>
      <c r="E2035" s="4">
        <v>1.24761E-16</v>
      </c>
      <c r="I2035" s="4">
        <v>1.24761E-16</v>
      </c>
      <c r="U2035" s="5"/>
    </row>
    <row r="2036" spans="3:21" x14ac:dyDescent="0.25">
      <c r="C2036" s="4">
        <v>1.24761E-16</v>
      </c>
      <c r="E2036" s="4">
        <v>1.24761E-16</v>
      </c>
      <c r="I2036" s="4">
        <v>1.24761E-16</v>
      </c>
      <c r="U2036" s="5"/>
    </row>
    <row r="2037" spans="3:21" x14ac:dyDescent="0.25">
      <c r="C2037" s="4">
        <v>1.24761E-16</v>
      </c>
      <c r="E2037" s="4">
        <v>1.24761E-16</v>
      </c>
      <c r="I2037" s="4">
        <v>1.24761E-16</v>
      </c>
      <c r="U2037" s="5"/>
    </row>
    <row r="2038" spans="3:21" x14ac:dyDescent="0.25">
      <c r="C2038" s="4">
        <v>1.24761E-16</v>
      </c>
      <c r="E2038" s="4">
        <v>1.24761E-16</v>
      </c>
      <c r="I2038" s="4">
        <v>1.24761E-16</v>
      </c>
      <c r="U2038" s="5"/>
    </row>
    <row r="2039" spans="3:21" x14ac:dyDescent="0.25">
      <c r="C2039" s="4">
        <v>1.24761E-16</v>
      </c>
      <c r="E2039" s="4">
        <v>1.24761E-16</v>
      </c>
      <c r="I2039" s="4">
        <v>1.24761E-16</v>
      </c>
      <c r="U2039" s="5"/>
    </row>
    <row r="2040" spans="3:21" x14ac:dyDescent="0.25">
      <c r="C2040" s="4">
        <v>1.24761E-16</v>
      </c>
      <c r="E2040" s="4">
        <v>1.24761E-16</v>
      </c>
      <c r="I2040" s="4">
        <v>1.24761E-16</v>
      </c>
      <c r="U2040" s="5"/>
    </row>
    <row r="2041" spans="3:21" x14ac:dyDescent="0.25">
      <c r="C2041" s="4">
        <v>1.24761E-16</v>
      </c>
      <c r="E2041" s="4">
        <v>1.24761E-16</v>
      </c>
      <c r="I2041" s="4">
        <v>1.24761E-16</v>
      </c>
      <c r="U2041" s="5"/>
    </row>
    <row r="2042" spans="3:21" x14ac:dyDescent="0.25">
      <c r="C2042" s="4">
        <v>1.24761E-16</v>
      </c>
      <c r="E2042" s="4">
        <v>1.24761E-16</v>
      </c>
      <c r="I2042" s="4">
        <v>1.24761E-16</v>
      </c>
      <c r="U2042" s="5"/>
    </row>
    <row r="2043" spans="3:21" x14ac:dyDescent="0.25">
      <c r="C2043" s="4">
        <v>1.24761E-16</v>
      </c>
      <c r="E2043" s="4">
        <v>1.24761E-16</v>
      </c>
      <c r="I2043" s="4">
        <v>1.24761E-16</v>
      </c>
      <c r="U2043" s="5"/>
    </row>
    <row r="2044" spans="3:21" x14ac:dyDescent="0.25">
      <c r="C2044" s="4">
        <v>1.24761E-16</v>
      </c>
      <c r="E2044" s="4">
        <v>1.24761E-16</v>
      </c>
      <c r="I2044" s="4">
        <v>1.24761E-16</v>
      </c>
      <c r="U2044" s="5"/>
    </row>
    <row r="2045" spans="3:21" x14ac:dyDescent="0.25">
      <c r="C2045" s="4">
        <v>1.24761E-16</v>
      </c>
      <c r="E2045" s="4">
        <v>1.24761E-16</v>
      </c>
      <c r="I2045" s="4">
        <v>1.24761E-16</v>
      </c>
      <c r="U2045" s="5"/>
    </row>
    <row r="2046" spans="3:21" x14ac:dyDescent="0.25">
      <c r="C2046" s="4">
        <v>1.24761E-16</v>
      </c>
      <c r="E2046" s="4">
        <v>1.24761E-16</v>
      </c>
      <c r="I2046" s="4">
        <v>1.24761E-16</v>
      </c>
      <c r="U2046" s="5"/>
    </row>
    <row r="2047" spans="3:21" x14ac:dyDescent="0.25">
      <c r="C2047" s="4">
        <v>1.24761E-16</v>
      </c>
      <c r="E2047" s="4">
        <v>1.24761E-16</v>
      </c>
      <c r="I2047" s="4">
        <v>1.24761E-16</v>
      </c>
      <c r="U2047" s="5"/>
    </row>
    <row r="2048" spans="3:21" x14ac:dyDescent="0.25">
      <c r="C2048" s="4">
        <v>1.24761E-16</v>
      </c>
      <c r="E2048" s="4">
        <v>1.24761E-16</v>
      </c>
      <c r="I2048" s="4">
        <v>1.24761E-16</v>
      </c>
      <c r="U2048" s="5"/>
    </row>
    <row r="2049" spans="3:21" x14ac:dyDescent="0.25">
      <c r="C2049" s="4">
        <v>1.24761E-16</v>
      </c>
      <c r="E2049" s="4">
        <v>1.24761E-16</v>
      </c>
      <c r="I2049" s="4">
        <v>1.24761E-16</v>
      </c>
      <c r="U2049" s="5"/>
    </row>
    <row r="2050" spans="3:21" x14ac:dyDescent="0.25">
      <c r="C2050" s="4">
        <v>1.24761E-16</v>
      </c>
      <c r="E2050" s="4">
        <v>1.24761E-16</v>
      </c>
      <c r="I2050" s="4">
        <v>1.24761E-16</v>
      </c>
      <c r="U2050" s="5"/>
    </row>
    <row r="2051" spans="3:21" x14ac:dyDescent="0.25">
      <c r="C2051" s="4">
        <v>1.24761E-16</v>
      </c>
      <c r="E2051" s="4">
        <v>1.24761E-16</v>
      </c>
      <c r="I2051" s="4">
        <v>1.24761E-16</v>
      </c>
      <c r="U2051" s="5"/>
    </row>
    <row r="2052" spans="3:21" x14ac:dyDescent="0.25">
      <c r="C2052" s="4">
        <v>1.24761E-16</v>
      </c>
      <c r="E2052" s="4">
        <v>1.24761E-16</v>
      </c>
      <c r="I2052" s="4">
        <v>1.24761E-16</v>
      </c>
      <c r="U2052" s="5"/>
    </row>
    <row r="2053" spans="3:21" x14ac:dyDescent="0.25">
      <c r="C2053" s="4">
        <v>1.24761E-16</v>
      </c>
      <c r="E2053" s="4">
        <v>1.24761E-16</v>
      </c>
      <c r="I2053" s="4">
        <v>1.24761E-16</v>
      </c>
      <c r="U2053" s="5"/>
    </row>
    <row r="2054" spans="3:21" x14ac:dyDescent="0.25">
      <c r="C2054" s="4">
        <v>1.24761E-16</v>
      </c>
      <c r="E2054" s="4">
        <v>1.24761E-16</v>
      </c>
      <c r="I2054" s="4">
        <v>1.24761E-16</v>
      </c>
      <c r="U2054" s="5"/>
    </row>
    <row r="2055" spans="3:21" x14ac:dyDescent="0.25">
      <c r="C2055" s="4">
        <v>1.24761E-16</v>
      </c>
      <c r="E2055" s="4">
        <v>1.24761E-16</v>
      </c>
      <c r="I2055" s="4">
        <v>1.24761E-16</v>
      </c>
      <c r="U2055" s="5"/>
    </row>
    <row r="2056" spans="3:21" x14ac:dyDescent="0.25">
      <c r="C2056" s="4">
        <v>1.24761E-16</v>
      </c>
      <c r="E2056" s="4">
        <v>1.24761E-16</v>
      </c>
      <c r="I2056" s="4">
        <v>1.24761E-16</v>
      </c>
      <c r="U2056" s="5"/>
    </row>
    <row r="2057" spans="3:21" x14ac:dyDescent="0.25">
      <c r="C2057" s="4">
        <v>1.24761E-16</v>
      </c>
      <c r="E2057" s="4">
        <v>1.24761E-16</v>
      </c>
      <c r="I2057" s="4">
        <v>1.24761E-16</v>
      </c>
      <c r="U2057" s="5"/>
    </row>
    <row r="2058" spans="3:21" x14ac:dyDescent="0.25">
      <c r="C2058" s="4">
        <v>1.24761E-16</v>
      </c>
      <c r="E2058" s="4">
        <v>1.24761E-16</v>
      </c>
      <c r="I2058" s="4">
        <v>1.24761E-16</v>
      </c>
      <c r="U2058" s="5"/>
    </row>
    <row r="2059" spans="3:21" x14ac:dyDescent="0.25">
      <c r="C2059" s="4">
        <v>1.24761E-16</v>
      </c>
      <c r="E2059" s="4">
        <v>1.24761E-16</v>
      </c>
      <c r="I2059" s="4">
        <v>1.24761E-16</v>
      </c>
      <c r="U2059" s="5"/>
    </row>
    <row r="2060" spans="3:21" x14ac:dyDescent="0.25">
      <c r="C2060" s="4">
        <v>1.24761E-16</v>
      </c>
      <c r="E2060" s="4">
        <v>1.24761E-16</v>
      </c>
      <c r="I2060" s="4">
        <v>1.24761E-16</v>
      </c>
      <c r="U2060" s="5"/>
    </row>
    <row r="2061" spans="3:21" x14ac:dyDescent="0.25">
      <c r="C2061" s="4">
        <v>1.24761E-16</v>
      </c>
      <c r="E2061" s="4">
        <v>1.24761E-16</v>
      </c>
      <c r="I2061" s="4">
        <v>1.24761E-16</v>
      </c>
      <c r="U2061" s="5"/>
    </row>
    <row r="2062" spans="3:21" x14ac:dyDescent="0.25">
      <c r="C2062" s="4">
        <v>1.24761E-16</v>
      </c>
      <c r="E2062" s="4">
        <v>1.24761E-16</v>
      </c>
      <c r="I2062" s="4">
        <v>1.24761E-16</v>
      </c>
      <c r="U2062" s="5"/>
    </row>
    <row r="2063" spans="3:21" x14ac:dyDescent="0.25">
      <c r="C2063" s="4">
        <v>1.24761E-16</v>
      </c>
      <c r="E2063" s="4">
        <v>1.24761E-16</v>
      </c>
      <c r="I2063" s="4">
        <v>1.24761E-16</v>
      </c>
      <c r="U2063" s="5"/>
    </row>
    <row r="2064" spans="3:21" x14ac:dyDescent="0.25">
      <c r="C2064" s="4">
        <v>1.24761E-16</v>
      </c>
      <c r="E2064" s="4">
        <v>1.24761E-16</v>
      </c>
      <c r="I2064" s="4">
        <v>1.24761E-16</v>
      </c>
      <c r="U2064" s="5"/>
    </row>
    <row r="2065" spans="3:21" x14ac:dyDescent="0.25">
      <c r="C2065" s="4">
        <v>1.24761E-16</v>
      </c>
      <c r="E2065" s="4">
        <v>1.24761E-16</v>
      </c>
      <c r="I2065" s="4">
        <v>1.24761E-16</v>
      </c>
      <c r="U2065" s="5"/>
    </row>
    <row r="2066" spans="3:21" x14ac:dyDescent="0.25">
      <c r="C2066" s="4">
        <v>1.24761E-16</v>
      </c>
      <c r="E2066" s="4">
        <v>1.24761E-16</v>
      </c>
      <c r="I2066" s="4">
        <v>1.24761E-16</v>
      </c>
      <c r="U2066" s="5"/>
    </row>
    <row r="2067" spans="3:21" x14ac:dyDescent="0.25">
      <c r="C2067" s="4">
        <v>1.24761E-16</v>
      </c>
      <c r="E2067" s="4">
        <v>1.24761E-16</v>
      </c>
      <c r="I2067" s="4">
        <v>1.24761E-16</v>
      </c>
      <c r="U2067" s="5"/>
    </row>
    <row r="2068" spans="3:21" x14ac:dyDescent="0.25">
      <c r="C2068" s="4">
        <v>1.24761E-16</v>
      </c>
      <c r="E2068" s="4">
        <v>1.24761E-16</v>
      </c>
      <c r="I2068" s="4">
        <v>1.24761E-16</v>
      </c>
      <c r="U2068" s="5"/>
    </row>
    <row r="2069" spans="3:21" x14ac:dyDescent="0.25">
      <c r="C2069" s="4">
        <v>1.24761E-16</v>
      </c>
      <c r="E2069" s="4">
        <v>1.24761E-16</v>
      </c>
      <c r="I2069" s="4">
        <v>1.24761E-16</v>
      </c>
      <c r="U2069" s="5"/>
    </row>
    <row r="2070" spans="3:21" x14ac:dyDescent="0.25">
      <c r="C2070" s="4">
        <v>1.24761E-16</v>
      </c>
      <c r="E2070" s="4">
        <v>1.24761E-16</v>
      </c>
      <c r="I2070" s="4">
        <v>1.24761E-16</v>
      </c>
      <c r="U2070" s="5"/>
    </row>
    <row r="2071" spans="3:21" x14ac:dyDescent="0.25">
      <c r="C2071" s="4">
        <v>1.24761E-16</v>
      </c>
      <c r="E2071" s="4">
        <v>1.24761E-16</v>
      </c>
      <c r="I2071" s="4">
        <v>1.24761E-16</v>
      </c>
      <c r="U2071" s="5"/>
    </row>
    <row r="2072" spans="3:21" x14ac:dyDescent="0.25">
      <c r="C2072" s="4">
        <v>1.24761E-16</v>
      </c>
      <c r="E2072" s="4">
        <v>1.24761E-16</v>
      </c>
      <c r="I2072" s="4">
        <v>1.24761E-16</v>
      </c>
      <c r="U2072" s="5"/>
    </row>
    <row r="2073" spans="3:21" x14ac:dyDescent="0.25">
      <c r="C2073" s="4">
        <v>1.24761E-16</v>
      </c>
      <c r="E2073" s="4">
        <v>1.24761E-16</v>
      </c>
      <c r="I2073" s="4">
        <v>1.24761E-16</v>
      </c>
      <c r="U2073" s="5"/>
    </row>
    <row r="2074" spans="3:21" x14ac:dyDescent="0.25">
      <c r="C2074" s="4">
        <v>1.24761E-16</v>
      </c>
      <c r="E2074" s="4">
        <v>1.24761E-16</v>
      </c>
      <c r="I2074" s="4">
        <v>1.24761E-16</v>
      </c>
      <c r="U2074" s="5"/>
    </row>
    <row r="2075" spans="3:21" x14ac:dyDescent="0.25">
      <c r="C2075" s="4">
        <v>1.24761E-16</v>
      </c>
      <c r="E2075" s="4">
        <v>1.24761E-16</v>
      </c>
      <c r="I2075" s="4">
        <v>1.24761E-16</v>
      </c>
      <c r="U2075" s="5"/>
    </row>
    <row r="2076" spans="3:21" x14ac:dyDescent="0.25">
      <c r="C2076" s="4">
        <v>1.24761E-16</v>
      </c>
      <c r="E2076" s="4">
        <v>1.24761E-16</v>
      </c>
      <c r="I2076" s="4">
        <v>1.24761E-16</v>
      </c>
      <c r="U2076" s="5"/>
    </row>
    <row r="2077" spans="3:21" x14ac:dyDescent="0.25">
      <c r="C2077" s="4">
        <v>1.24761E-16</v>
      </c>
      <c r="E2077" s="4">
        <v>1.24761E-16</v>
      </c>
      <c r="I2077" s="4">
        <v>1.24761E-16</v>
      </c>
      <c r="U2077" s="5"/>
    </row>
    <row r="2078" spans="3:21" x14ac:dyDescent="0.25">
      <c r="C2078" s="4">
        <v>1.24761E-16</v>
      </c>
      <c r="E2078" s="4">
        <v>1.24761E-16</v>
      </c>
      <c r="I2078" s="4">
        <v>1.24761E-16</v>
      </c>
      <c r="U2078" s="5"/>
    </row>
    <row r="2079" spans="3:21" x14ac:dyDescent="0.25">
      <c r="C2079" s="4">
        <v>1.24761E-16</v>
      </c>
      <c r="E2079" s="4">
        <v>1.24761E-16</v>
      </c>
      <c r="I2079" s="4">
        <v>1.24761E-16</v>
      </c>
      <c r="U2079" s="5"/>
    </row>
    <row r="2080" spans="3:21" x14ac:dyDescent="0.25">
      <c r="C2080" s="4">
        <v>1.24761E-16</v>
      </c>
      <c r="E2080" s="4">
        <v>1.24761E-16</v>
      </c>
      <c r="I2080" s="4">
        <v>1.24761E-16</v>
      </c>
      <c r="U2080" s="5"/>
    </row>
    <row r="2081" spans="3:21" x14ac:dyDescent="0.25">
      <c r="C2081" s="4">
        <v>1.24761E-16</v>
      </c>
      <c r="E2081" s="4">
        <v>1.24761E-16</v>
      </c>
      <c r="I2081" s="4">
        <v>1.24761E-16</v>
      </c>
      <c r="U2081" s="5"/>
    </row>
    <row r="2082" spans="3:21" x14ac:dyDescent="0.25">
      <c r="C2082" s="4">
        <v>1.24761E-16</v>
      </c>
      <c r="E2082" s="4">
        <v>1.24761E-16</v>
      </c>
      <c r="I2082" s="4">
        <v>1.24761E-16</v>
      </c>
      <c r="U2082" s="5"/>
    </row>
    <row r="2083" spans="3:21" x14ac:dyDescent="0.25">
      <c r="C2083" s="4">
        <v>1.24761E-16</v>
      </c>
      <c r="E2083" s="4">
        <v>1.24761E-16</v>
      </c>
      <c r="I2083" s="4">
        <v>1.24761E-16</v>
      </c>
      <c r="U2083" s="5"/>
    </row>
    <row r="2084" spans="3:21" x14ac:dyDescent="0.25">
      <c r="C2084" s="4">
        <v>1.24761E-16</v>
      </c>
      <c r="E2084" s="4">
        <v>1.24761E-16</v>
      </c>
      <c r="I2084" s="4">
        <v>1.24761E-16</v>
      </c>
      <c r="U2084" s="5"/>
    </row>
    <row r="2085" spans="3:21" x14ac:dyDescent="0.25">
      <c r="C2085" s="4">
        <v>1.24761E-16</v>
      </c>
      <c r="E2085" s="4">
        <v>1.24761E-16</v>
      </c>
      <c r="I2085" s="4">
        <v>1.24761E-16</v>
      </c>
      <c r="U2085" s="5"/>
    </row>
    <row r="2086" spans="3:21" x14ac:dyDescent="0.25">
      <c r="C2086" s="4">
        <v>1.24761E-16</v>
      </c>
      <c r="E2086" s="4">
        <v>1.24761E-16</v>
      </c>
      <c r="I2086" s="4">
        <v>1.24761E-16</v>
      </c>
      <c r="U2086" s="5"/>
    </row>
    <row r="2087" spans="3:21" x14ac:dyDescent="0.25">
      <c r="C2087" s="4">
        <v>1.24761E-16</v>
      </c>
      <c r="E2087" s="4">
        <v>1.24761E-16</v>
      </c>
      <c r="I2087" s="4">
        <v>1.24761E-16</v>
      </c>
      <c r="U2087" s="5"/>
    </row>
    <row r="2088" spans="3:21" x14ac:dyDescent="0.25">
      <c r="C2088" s="4">
        <v>1.24761E-16</v>
      </c>
      <c r="E2088" s="4">
        <v>1.24761E-16</v>
      </c>
      <c r="I2088" s="4">
        <v>1.24761E-16</v>
      </c>
      <c r="U2088" s="5"/>
    </row>
    <row r="2089" spans="3:21" x14ac:dyDescent="0.25">
      <c r="C2089" s="4">
        <v>1.24761E-16</v>
      </c>
      <c r="E2089" s="4">
        <v>1.24761E-16</v>
      </c>
      <c r="I2089" s="4">
        <v>1.24761E-16</v>
      </c>
      <c r="U2089" s="5"/>
    </row>
    <row r="2090" spans="3:21" x14ac:dyDescent="0.25">
      <c r="C2090" s="4">
        <v>1.24761E-16</v>
      </c>
      <c r="E2090" s="4">
        <v>1.24761E-16</v>
      </c>
      <c r="I2090" s="4">
        <v>1.24761E-16</v>
      </c>
      <c r="U2090" s="5"/>
    </row>
    <row r="2091" spans="3:21" x14ac:dyDescent="0.25">
      <c r="C2091" s="4">
        <v>1.24761E-16</v>
      </c>
      <c r="E2091" s="4">
        <v>1.24761E-16</v>
      </c>
      <c r="I2091" s="4">
        <v>1.24761E-16</v>
      </c>
      <c r="U2091" s="5"/>
    </row>
    <row r="2092" spans="3:21" x14ac:dyDescent="0.25">
      <c r="C2092" s="4">
        <v>1.24761E-16</v>
      </c>
      <c r="E2092" s="4">
        <v>1.24761E-16</v>
      </c>
      <c r="I2092" s="4">
        <v>1.24761E-16</v>
      </c>
      <c r="U2092" s="5"/>
    </row>
    <row r="2093" spans="3:21" x14ac:dyDescent="0.25">
      <c r="C2093" s="4">
        <v>1.24761E-16</v>
      </c>
      <c r="E2093" s="4">
        <v>1.24761E-16</v>
      </c>
      <c r="I2093" s="4">
        <v>1.24761E-16</v>
      </c>
      <c r="U2093" s="5"/>
    </row>
    <row r="2094" spans="3:21" x14ac:dyDescent="0.25">
      <c r="C2094" s="4">
        <v>1.24761E-16</v>
      </c>
      <c r="E2094" s="4">
        <v>1.24761E-16</v>
      </c>
      <c r="I2094" s="4">
        <v>1.24761E-16</v>
      </c>
      <c r="U2094" s="5"/>
    </row>
    <row r="2095" spans="3:21" x14ac:dyDescent="0.25">
      <c r="C2095" s="4">
        <v>1.24761E-16</v>
      </c>
      <c r="E2095" s="4">
        <v>1.24761E-16</v>
      </c>
      <c r="I2095" s="4">
        <v>1.24761E-16</v>
      </c>
      <c r="U2095" s="5"/>
    </row>
    <row r="2096" spans="3:21" x14ac:dyDescent="0.25">
      <c r="C2096" s="4">
        <v>1.24761E-16</v>
      </c>
      <c r="E2096" s="4">
        <v>1.24761E-16</v>
      </c>
      <c r="I2096" s="4">
        <v>1.24761E-16</v>
      </c>
      <c r="U2096" s="5"/>
    </row>
    <row r="2097" spans="3:21" x14ac:dyDescent="0.25">
      <c r="C2097" s="4">
        <v>1.24761E-16</v>
      </c>
      <c r="E2097" s="4">
        <v>1.24761E-16</v>
      </c>
      <c r="I2097" s="4">
        <v>1.24761E-16</v>
      </c>
      <c r="U2097" s="5"/>
    </row>
    <row r="2098" spans="3:21" x14ac:dyDescent="0.25">
      <c r="C2098" s="4">
        <v>1.24761E-16</v>
      </c>
      <c r="E2098" s="4">
        <v>1.24761E-16</v>
      </c>
      <c r="I2098" s="4">
        <v>1.24761E-16</v>
      </c>
      <c r="U2098" s="5"/>
    </row>
    <row r="2099" spans="3:21" x14ac:dyDescent="0.25">
      <c r="C2099" s="4">
        <v>1.24761E-16</v>
      </c>
      <c r="E2099" s="4">
        <v>1.24761E-16</v>
      </c>
      <c r="I2099" s="4">
        <v>1.24761E-16</v>
      </c>
      <c r="U2099" s="5"/>
    </row>
    <row r="2100" spans="3:21" x14ac:dyDescent="0.25">
      <c r="C2100" s="4">
        <v>1.24761E-16</v>
      </c>
      <c r="E2100" s="4">
        <v>1.24761E-16</v>
      </c>
      <c r="I2100" s="4">
        <v>1.24761E-16</v>
      </c>
      <c r="U2100" s="5"/>
    </row>
    <row r="2101" spans="3:21" x14ac:dyDescent="0.25">
      <c r="C2101" s="4">
        <v>1.24761E-16</v>
      </c>
      <c r="E2101" s="4">
        <v>1.24761E-16</v>
      </c>
      <c r="I2101" s="4">
        <v>1.24761E-16</v>
      </c>
      <c r="U2101" s="5"/>
    </row>
    <row r="2102" spans="3:21" x14ac:dyDescent="0.25">
      <c r="C2102" s="4">
        <v>1.24761E-16</v>
      </c>
      <c r="E2102" s="4">
        <v>1.24761E-16</v>
      </c>
      <c r="I2102" s="4">
        <v>1.24761E-16</v>
      </c>
      <c r="U2102" s="5"/>
    </row>
    <row r="2103" spans="3:21" x14ac:dyDescent="0.25">
      <c r="C2103" s="4">
        <v>1.24761E-16</v>
      </c>
      <c r="E2103" s="4">
        <v>1.24761E-16</v>
      </c>
      <c r="I2103" s="4">
        <v>1.24761E-16</v>
      </c>
      <c r="U2103" s="5"/>
    </row>
    <row r="2104" spans="3:21" x14ac:dyDescent="0.25">
      <c r="C2104" s="4">
        <v>1.24761E-16</v>
      </c>
      <c r="E2104" s="4">
        <v>1.24761E-16</v>
      </c>
      <c r="I2104" s="4">
        <v>1.24761E-16</v>
      </c>
      <c r="U2104" s="5"/>
    </row>
    <row r="2105" spans="3:21" x14ac:dyDescent="0.25">
      <c r="C2105" s="4">
        <v>1.24761E-16</v>
      </c>
      <c r="E2105" s="4">
        <v>1.24761E-16</v>
      </c>
      <c r="I2105" s="4">
        <v>1.24761E-16</v>
      </c>
      <c r="U2105" s="5"/>
    </row>
    <row r="2106" spans="3:21" x14ac:dyDescent="0.25">
      <c r="C2106" s="4">
        <v>1.24761E-16</v>
      </c>
      <c r="E2106" s="4">
        <v>1.24761E-16</v>
      </c>
      <c r="I2106" s="4">
        <v>1.24761E-16</v>
      </c>
      <c r="U2106" s="5"/>
    </row>
    <row r="2107" spans="3:21" x14ac:dyDescent="0.25">
      <c r="C2107" s="4">
        <v>1.24761E-16</v>
      </c>
      <c r="E2107" s="4">
        <v>1.24761E-16</v>
      </c>
      <c r="I2107" s="4">
        <v>1.24761E-16</v>
      </c>
      <c r="U2107" s="5"/>
    </row>
    <row r="2108" spans="3:21" x14ac:dyDescent="0.25">
      <c r="C2108" s="4">
        <v>1.24761E-16</v>
      </c>
      <c r="E2108" s="4">
        <v>1.24761E-16</v>
      </c>
      <c r="I2108" s="4">
        <v>1.24761E-16</v>
      </c>
      <c r="U2108" s="5"/>
    </row>
    <row r="2109" spans="3:21" x14ac:dyDescent="0.25">
      <c r="C2109" s="4">
        <v>1.24761E-16</v>
      </c>
      <c r="E2109" s="4">
        <v>1.24761E-16</v>
      </c>
      <c r="I2109" s="4">
        <v>1.24761E-16</v>
      </c>
      <c r="U2109" s="5"/>
    </row>
    <row r="2110" spans="3:21" x14ac:dyDescent="0.25">
      <c r="C2110" s="4">
        <v>1.24761E-16</v>
      </c>
      <c r="E2110" s="4">
        <v>1.24761E-16</v>
      </c>
      <c r="I2110" s="4">
        <v>1.24761E-16</v>
      </c>
      <c r="U2110" s="5"/>
    </row>
    <row r="2111" spans="3:21" x14ac:dyDescent="0.25">
      <c r="C2111" s="4">
        <v>1.24761E-16</v>
      </c>
      <c r="E2111" s="4">
        <v>1.24761E-16</v>
      </c>
      <c r="I2111" s="4">
        <v>1.24761E-16</v>
      </c>
      <c r="U2111" s="5"/>
    </row>
    <row r="2112" spans="3:21" x14ac:dyDescent="0.25">
      <c r="C2112" s="4">
        <v>1.24761E-16</v>
      </c>
      <c r="E2112" s="4">
        <v>1.24761E-16</v>
      </c>
      <c r="I2112" s="4">
        <v>1.24761E-16</v>
      </c>
      <c r="U2112" s="5"/>
    </row>
    <row r="2113" spans="3:21" x14ac:dyDescent="0.25">
      <c r="C2113" s="4">
        <v>1.24761E-16</v>
      </c>
      <c r="E2113" s="4">
        <v>1.24761E-16</v>
      </c>
      <c r="I2113" s="4">
        <v>1.24761E-16</v>
      </c>
      <c r="U2113" s="5"/>
    </row>
    <row r="2114" spans="3:21" x14ac:dyDescent="0.25">
      <c r="C2114" s="4">
        <v>1.24761E-16</v>
      </c>
      <c r="E2114" s="4">
        <v>1.24761E-16</v>
      </c>
      <c r="I2114" s="4">
        <v>1.24761E-16</v>
      </c>
      <c r="U2114" s="5"/>
    </row>
    <row r="2115" spans="3:21" x14ac:dyDescent="0.25">
      <c r="C2115" s="4">
        <v>1.24761E-16</v>
      </c>
      <c r="E2115" s="4">
        <v>1.24761E-16</v>
      </c>
      <c r="I2115" s="4">
        <v>1.24761E-16</v>
      </c>
      <c r="U2115" s="5"/>
    </row>
    <row r="2116" spans="3:21" x14ac:dyDescent="0.25">
      <c r="C2116" s="4">
        <v>1.24761E-16</v>
      </c>
      <c r="E2116" s="4">
        <v>1.24761E-16</v>
      </c>
      <c r="I2116" s="4">
        <v>1.24761E-16</v>
      </c>
      <c r="U2116" s="5"/>
    </row>
    <row r="2117" spans="3:21" x14ac:dyDescent="0.25">
      <c r="C2117" s="4">
        <v>1.24761E-16</v>
      </c>
      <c r="E2117" s="4">
        <v>1.24761E-16</v>
      </c>
      <c r="I2117" s="4">
        <v>1.24761E-16</v>
      </c>
      <c r="U2117" s="5"/>
    </row>
    <row r="2118" spans="3:21" x14ac:dyDescent="0.25">
      <c r="C2118" s="4">
        <v>1.24761E-16</v>
      </c>
      <c r="E2118" s="4">
        <v>1.24761E-16</v>
      </c>
      <c r="I2118" s="4">
        <v>1.24761E-16</v>
      </c>
      <c r="U2118" s="5"/>
    </row>
    <row r="2119" spans="3:21" x14ac:dyDescent="0.25">
      <c r="C2119" s="4">
        <v>1.24761E-16</v>
      </c>
      <c r="E2119" s="4">
        <v>1.24761E-16</v>
      </c>
      <c r="I2119" s="4">
        <v>1.24761E-16</v>
      </c>
      <c r="U2119" s="5"/>
    </row>
    <row r="2120" spans="3:21" x14ac:dyDescent="0.25">
      <c r="C2120" s="4">
        <v>1.24761E-16</v>
      </c>
      <c r="E2120" s="4">
        <v>1.24761E-16</v>
      </c>
      <c r="I2120" s="4">
        <v>1.24761E-16</v>
      </c>
      <c r="U2120" s="5"/>
    </row>
    <row r="2121" spans="3:21" x14ac:dyDescent="0.25">
      <c r="C2121" s="4">
        <v>1.24761E-16</v>
      </c>
      <c r="E2121" s="4">
        <v>1.24761E-16</v>
      </c>
      <c r="I2121" s="4">
        <v>1.24761E-16</v>
      </c>
      <c r="U2121" s="5"/>
    </row>
    <row r="2122" spans="3:21" x14ac:dyDescent="0.25">
      <c r="C2122" s="4">
        <v>1.24761E-16</v>
      </c>
      <c r="E2122" s="4">
        <v>1.24761E-16</v>
      </c>
      <c r="I2122" s="4">
        <v>1.24761E-16</v>
      </c>
      <c r="U2122" s="5"/>
    </row>
    <row r="2123" spans="3:21" x14ac:dyDescent="0.25">
      <c r="C2123" s="4">
        <v>1.24761E-16</v>
      </c>
      <c r="E2123" s="4">
        <v>1.24761E-16</v>
      </c>
      <c r="I2123" s="4">
        <v>1.24761E-16</v>
      </c>
      <c r="U2123" s="5"/>
    </row>
    <row r="2124" spans="3:21" x14ac:dyDescent="0.25">
      <c r="C2124" s="4">
        <v>1.24761E-16</v>
      </c>
      <c r="E2124" s="4">
        <v>1.24761E-16</v>
      </c>
      <c r="I2124" s="4">
        <v>1.24761E-16</v>
      </c>
      <c r="U2124" s="5"/>
    </row>
    <row r="2125" spans="3:21" x14ac:dyDescent="0.25">
      <c r="C2125" s="4">
        <v>1.24761E-16</v>
      </c>
      <c r="E2125" s="4">
        <v>1.24761E-16</v>
      </c>
      <c r="I2125" s="4">
        <v>1.24761E-16</v>
      </c>
      <c r="U2125" s="5"/>
    </row>
    <row r="2126" spans="3:21" x14ac:dyDescent="0.25">
      <c r="C2126" s="4">
        <v>1.24761E-16</v>
      </c>
      <c r="E2126" s="4">
        <v>1.24761E-16</v>
      </c>
      <c r="I2126" s="4">
        <v>1.24761E-16</v>
      </c>
      <c r="U2126" s="5"/>
    </row>
    <row r="2127" spans="3:21" x14ac:dyDescent="0.25">
      <c r="C2127" s="4">
        <v>1.24761E-16</v>
      </c>
      <c r="E2127" s="4">
        <v>1.24761E-16</v>
      </c>
      <c r="I2127" s="4">
        <v>1.24761E-16</v>
      </c>
      <c r="U2127" s="5"/>
    </row>
    <row r="2128" spans="3:21" x14ac:dyDescent="0.25">
      <c r="C2128" s="4">
        <v>1.24761E-16</v>
      </c>
      <c r="E2128" s="4">
        <v>1.24761E-16</v>
      </c>
      <c r="I2128" s="4">
        <v>1.24761E-16</v>
      </c>
      <c r="U2128" s="5"/>
    </row>
    <row r="2129" spans="3:21" x14ac:dyDescent="0.25">
      <c r="C2129" s="4">
        <v>1.24761E-16</v>
      </c>
      <c r="E2129" s="4">
        <v>1.24761E-16</v>
      </c>
      <c r="I2129" s="4">
        <v>1.24761E-16</v>
      </c>
      <c r="U2129" s="5"/>
    </row>
    <row r="2130" spans="3:21" x14ac:dyDescent="0.25">
      <c r="C2130" s="4">
        <v>1.24761E-16</v>
      </c>
      <c r="E2130" s="4">
        <v>1.24761E-16</v>
      </c>
      <c r="I2130" s="4">
        <v>1.24761E-16</v>
      </c>
      <c r="U2130" s="5"/>
    </row>
    <row r="2131" spans="3:21" x14ac:dyDescent="0.25">
      <c r="C2131" s="4">
        <v>1.24761E-16</v>
      </c>
      <c r="E2131" s="4">
        <v>1.24761E-16</v>
      </c>
      <c r="I2131" s="4">
        <v>1.24761E-16</v>
      </c>
      <c r="U2131" s="5"/>
    </row>
    <row r="2132" spans="3:21" x14ac:dyDescent="0.25">
      <c r="C2132" s="4">
        <v>1.24761E-16</v>
      </c>
      <c r="E2132" s="4">
        <v>1.24761E-16</v>
      </c>
      <c r="I2132" s="4">
        <v>1.24761E-16</v>
      </c>
      <c r="U2132" s="5"/>
    </row>
    <row r="2133" spans="3:21" x14ac:dyDescent="0.25">
      <c r="C2133" s="4">
        <v>1.24761E-16</v>
      </c>
      <c r="E2133" s="4">
        <v>1.24761E-16</v>
      </c>
      <c r="I2133" s="4">
        <v>1.24761E-16</v>
      </c>
      <c r="U2133" s="5"/>
    </row>
    <row r="2134" spans="3:21" x14ac:dyDescent="0.25">
      <c r="C2134" s="4">
        <v>1.24761E-16</v>
      </c>
      <c r="E2134" s="4">
        <v>1.24761E-16</v>
      </c>
      <c r="I2134" s="4">
        <v>1.24761E-16</v>
      </c>
      <c r="U2134" s="5"/>
    </row>
    <row r="2135" spans="3:21" x14ac:dyDescent="0.25">
      <c r="C2135" s="4">
        <v>1.24761E-16</v>
      </c>
      <c r="E2135" s="4">
        <v>1.24761E-16</v>
      </c>
      <c r="I2135" s="4">
        <v>1.24761E-16</v>
      </c>
      <c r="U2135" s="5"/>
    </row>
    <row r="2136" spans="3:21" x14ac:dyDescent="0.25">
      <c r="C2136" s="4">
        <v>1.24761E-16</v>
      </c>
      <c r="E2136" s="4">
        <v>1.24761E-16</v>
      </c>
      <c r="I2136" s="4">
        <v>1.24761E-16</v>
      </c>
      <c r="U2136" s="5"/>
    </row>
    <row r="2137" spans="3:21" x14ac:dyDescent="0.25">
      <c r="C2137" s="4">
        <v>1.24761E-16</v>
      </c>
      <c r="E2137" s="4">
        <v>1.24761E-16</v>
      </c>
      <c r="I2137" s="4">
        <v>1.24761E-16</v>
      </c>
      <c r="U2137" s="5"/>
    </row>
    <row r="2138" spans="3:21" x14ac:dyDescent="0.25">
      <c r="C2138" s="4">
        <v>1.24761E-16</v>
      </c>
      <c r="E2138" s="4">
        <v>1.24761E-16</v>
      </c>
      <c r="I2138" s="4">
        <v>1.24761E-16</v>
      </c>
      <c r="U2138" s="5"/>
    </row>
    <row r="2139" spans="3:21" x14ac:dyDescent="0.25">
      <c r="C2139" s="4">
        <v>1.24761E-16</v>
      </c>
      <c r="E2139" s="4">
        <v>1.24761E-16</v>
      </c>
      <c r="I2139" s="4">
        <v>1.24761E-16</v>
      </c>
      <c r="U2139" s="5"/>
    </row>
    <row r="2140" spans="3:21" x14ac:dyDescent="0.25">
      <c r="C2140" s="4">
        <v>1.24761E-16</v>
      </c>
      <c r="E2140" s="4">
        <v>1.24761E-16</v>
      </c>
      <c r="I2140" s="4">
        <v>1.24761E-16</v>
      </c>
      <c r="U2140" s="5"/>
    </row>
    <row r="2141" spans="3:21" x14ac:dyDescent="0.25">
      <c r="C2141" s="4">
        <v>1.24761E-16</v>
      </c>
      <c r="E2141" s="4">
        <v>1.24761E-16</v>
      </c>
      <c r="I2141" s="4">
        <v>1.24761E-16</v>
      </c>
      <c r="U2141" s="5"/>
    </row>
    <row r="2142" spans="3:21" x14ac:dyDescent="0.25">
      <c r="C2142" s="4">
        <v>1.24761E-16</v>
      </c>
      <c r="E2142" s="4">
        <v>1.24761E-16</v>
      </c>
      <c r="I2142" s="4">
        <v>1.24761E-16</v>
      </c>
      <c r="U2142" s="5"/>
    </row>
    <row r="2143" spans="3:21" x14ac:dyDescent="0.25">
      <c r="C2143" s="4">
        <v>1.24761E-16</v>
      </c>
      <c r="E2143" s="4">
        <v>1.24761E-16</v>
      </c>
      <c r="I2143" s="4">
        <v>1.24761E-16</v>
      </c>
      <c r="U2143" s="5"/>
    </row>
    <row r="2144" spans="3:21" x14ac:dyDescent="0.25">
      <c r="C2144" s="4">
        <v>1.24761E-16</v>
      </c>
      <c r="E2144" s="4">
        <v>1.24761E-16</v>
      </c>
      <c r="I2144" s="4">
        <v>1.24761E-16</v>
      </c>
      <c r="U2144" s="5"/>
    </row>
    <row r="2145" spans="3:21" x14ac:dyDescent="0.25">
      <c r="C2145" s="4">
        <v>1.24761E-16</v>
      </c>
      <c r="E2145" s="4">
        <v>1.24761E-16</v>
      </c>
      <c r="I2145" s="4">
        <v>1.24761E-16</v>
      </c>
      <c r="U2145" s="5"/>
    </row>
    <row r="2146" spans="3:21" x14ac:dyDescent="0.25">
      <c r="C2146" s="4">
        <v>1.24761E-16</v>
      </c>
      <c r="E2146" s="4">
        <v>1.24761E-16</v>
      </c>
      <c r="I2146" s="4">
        <v>1.24761E-16</v>
      </c>
      <c r="U2146" s="5"/>
    </row>
    <row r="2147" spans="3:21" x14ac:dyDescent="0.25">
      <c r="C2147" s="4">
        <v>1.24761E-16</v>
      </c>
      <c r="E2147" s="4">
        <v>1.24761E-16</v>
      </c>
      <c r="I2147" s="4">
        <v>1.24761E-16</v>
      </c>
      <c r="U2147" s="5"/>
    </row>
    <row r="2148" spans="3:21" x14ac:dyDescent="0.25">
      <c r="C2148" s="4">
        <v>1.24761E-16</v>
      </c>
      <c r="E2148" s="4">
        <v>1.24761E-16</v>
      </c>
      <c r="I2148" s="4">
        <v>1.24761E-16</v>
      </c>
      <c r="U2148" s="5"/>
    </row>
    <row r="2149" spans="3:21" x14ac:dyDescent="0.25">
      <c r="C2149" s="4">
        <v>1.24761E-16</v>
      </c>
      <c r="E2149" s="4">
        <v>1.24761E-16</v>
      </c>
      <c r="I2149" s="4">
        <v>1.24761E-16</v>
      </c>
      <c r="U2149" s="5"/>
    </row>
    <row r="2150" spans="3:21" x14ac:dyDescent="0.25">
      <c r="C2150" s="4">
        <v>1.24761E-16</v>
      </c>
      <c r="E2150" s="4">
        <v>1.24761E-16</v>
      </c>
      <c r="I2150" s="4">
        <v>1.24761E-16</v>
      </c>
      <c r="U2150" s="5"/>
    </row>
    <row r="2151" spans="3:21" x14ac:dyDescent="0.25">
      <c r="C2151" s="4">
        <v>1.24761E-16</v>
      </c>
      <c r="E2151" s="4">
        <v>1.24761E-16</v>
      </c>
      <c r="I2151" s="4">
        <v>1.24761E-16</v>
      </c>
      <c r="U2151" s="5"/>
    </row>
    <row r="2152" spans="3:21" x14ac:dyDescent="0.25">
      <c r="C2152" s="4">
        <v>1.24761E-16</v>
      </c>
      <c r="E2152" s="4">
        <v>1.24761E-16</v>
      </c>
      <c r="I2152" s="4">
        <v>1.24761E-16</v>
      </c>
      <c r="U2152" s="5"/>
    </row>
    <row r="2153" spans="3:21" x14ac:dyDescent="0.25">
      <c r="C2153" s="4">
        <v>1.24761E-16</v>
      </c>
      <c r="E2153" s="4">
        <v>1.24761E-16</v>
      </c>
      <c r="I2153" s="4">
        <v>1.24761E-16</v>
      </c>
      <c r="U2153" s="5"/>
    </row>
    <row r="2154" spans="3:21" x14ac:dyDescent="0.25">
      <c r="C2154" s="4">
        <v>1.24761E-16</v>
      </c>
      <c r="E2154" s="4">
        <v>1.24761E-16</v>
      </c>
      <c r="I2154" s="4">
        <v>1.24761E-16</v>
      </c>
      <c r="U2154" s="5"/>
    </row>
    <row r="2155" spans="3:21" x14ac:dyDescent="0.25">
      <c r="C2155" s="4">
        <v>1.24761E-16</v>
      </c>
      <c r="E2155" s="4">
        <v>1.24761E-16</v>
      </c>
      <c r="I2155" s="4">
        <v>1.24761E-16</v>
      </c>
      <c r="U2155" s="5"/>
    </row>
    <row r="2156" spans="3:21" x14ac:dyDescent="0.25">
      <c r="C2156" s="4">
        <v>1.24761E-16</v>
      </c>
      <c r="E2156" s="4">
        <v>1.24761E-16</v>
      </c>
      <c r="I2156" s="4">
        <v>1.24761E-16</v>
      </c>
      <c r="U2156" s="5"/>
    </row>
    <row r="2157" spans="3:21" x14ac:dyDescent="0.25">
      <c r="C2157" s="4">
        <v>1.24761E-16</v>
      </c>
      <c r="E2157" s="4">
        <v>1.24761E-16</v>
      </c>
      <c r="I2157" s="4">
        <v>1.24761E-16</v>
      </c>
      <c r="U2157" s="5"/>
    </row>
    <row r="2158" spans="3:21" x14ac:dyDescent="0.25">
      <c r="C2158" s="4">
        <v>1.24761E-16</v>
      </c>
      <c r="E2158" s="4">
        <v>1.24761E-16</v>
      </c>
      <c r="I2158" s="4">
        <v>1.24761E-16</v>
      </c>
      <c r="U2158" s="5"/>
    </row>
    <row r="2159" spans="3:21" x14ac:dyDescent="0.25">
      <c r="C2159" s="4">
        <v>1.24761E-16</v>
      </c>
      <c r="E2159" s="4">
        <v>1.24761E-16</v>
      </c>
      <c r="I2159" s="4">
        <v>1.24761E-16</v>
      </c>
      <c r="U2159" s="5"/>
    </row>
    <row r="2160" spans="3:21" x14ac:dyDescent="0.25">
      <c r="C2160" s="4">
        <v>1.24761E-16</v>
      </c>
      <c r="E2160" s="4">
        <v>1.24761E-16</v>
      </c>
      <c r="I2160" s="4">
        <v>1.24761E-16</v>
      </c>
      <c r="U2160" s="5"/>
    </row>
    <row r="2161" spans="3:21" x14ac:dyDescent="0.25">
      <c r="C2161" s="4">
        <v>1.24761E-16</v>
      </c>
      <c r="E2161" s="4">
        <v>1.24761E-16</v>
      </c>
      <c r="I2161" s="4">
        <v>1.24761E-16</v>
      </c>
      <c r="U2161" s="5"/>
    </row>
    <row r="2162" spans="3:21" x14ac:dyDescent="0.25">
      <c r="C2162" s="4">
        <v>1.24761E-16</v>
      </c>
      <c r="E2162" s="4">
        <v>1.24761E-16</v>
      </c>
      <c r="I2162" s="4">
        <v>1.24761E-16</v>
      </c>
      <c r="U2162" s="5"/>
    </row>
    <row r="2163" spans="3:21" x14ac:dyDescent="0.25">
      <c r="C2163" s="4">
        <v>1.24761E-16</v>
      </c>
      <c r="E2163" s="4">
        <v>1.24761E-16</v>
      </c>
      <c r="I2163" s="4">
        <v>1.24761E-16</v>
      </c>
      <c r="U2163" s="5"/>
    </row>
    <row r="2164" spans="3:21" x14ac:dyDescent="0.25">
      <c r="C2164" s="4">
        <v>1.24761E-16</v>
      </c>
      <c r="E2164" s="4">
        <v>1.24761E-16</v>
      </c>
      <c r="I2164" s="4">
        <v>1.24761E-16</v>
      </c>
      <c r="U2164" s="5"/>
    </row>
    <row r="2165" spans="3:21" x14ac:dyDescent="0.25">
      <c r="C2165" s="4">
        <v>1.24761E-16</v>
      </c>
      <c r="E2165" s="4">
        <v>1.24761E-16</v>
      </c>
      <c r="I2165" s="4">
        <v>1.24761E-16</v>
      </c>
      <c r="U2165" s="5"/>
    </row>
    <row r="2166" spans="3:21" x14ac:dyDescent="0.25">
      <c r="C2166" s="4">
        <v>1.24761E-16</v>
      </c>
      <c r="E2166" s="4">
        <v>1.24761E-16</v>
      </c>
      <c r="I2166" s="4">
        <v>1.24761E-16</v>
      </c>
      <c r="U2166" s="5"/>
    </row>
    <row r="2167" spans="3:21" x14ac:dyDescent="0.25">
      <c r="C2167" s="4">
        <v>1.24761E-16</v>
      </c>
      <c r="E2167" s="4">
        <v>1.24761E-16</v>
      </c>
      <c r="I2167" s="4">
        <v>1.24761E-16</v>
      </c>
      <c r="U2167" s="5"/>
    </row>
    <row r="2168" spans="3:21" x14ac:dyDescent="0.25">
      <c r="C2168" s="4">
        <v>1.24761E-16</v>
      </c>
      <c r="E2168" s="4">
        <v>1.24761E-16</v>
      </c>
      <c r="I2168" s="4">
        <v>1.24761E-16</v>
      </c>
      <c r="U2168" s="5"/>
    </row>
    <row r="2169" spans="3:21" x14ac:dyDescent="0.25">
      <c r="C2169" s="4">
        <v>1.24761E-16</v>
      </c>
      <c r="E2169" s="4">
        <v>1.24761E-16</v>
      </c>
      <c r="I2169" s="4">
        <v>1.24761E-16</v>
      </c>
      <c r="U2169" s="5"/>
    </row>
    <row r="2170" spans="3:21" x14ac:dyDescent="0.25">
      <c r="C2170" s="4">
        <v>1.24761E-16</v>
      </c>
      <c r="E2170" s="4">
        <v>1.24761E-16</v>
      </c>
      <c r="I2170" s="4">
        <v>1.24761E-16</v>
      </c>
      <c r="U2170" s="5"/>
    </row>
    <row r="2171" spans="3:21" x14ac:dyDescent="0.25">
      <c r="C2171" s="4">
        <v>1.24761E-16</v>
      </c>
      <c r="E2171" s="4">
        <v>1.24761E-16</v>
      </c>
      <c r="I2171" s="4">
        <v>1.24761E-16</v>
      </c>
      <c r="U2171" s="5"/>
    </row>
    <row r="2172" spans="3:21" x14ac:dyDescent="0.25">
      <c r="C2172" s="4">
        <v>1.24761E-16</v>
      </c>
      <c r="E2172" s="4">
        <v>1.24761E-16</v>
      </c>
      <c r="I2172" s="4">
        <v>1.24761E-16</v>
      </c>
      <c r="U2172" s="5"/>
    </row>
    <row r="2173" spans="3:21" x14ac:dyDescent="0.25">
      <c r="C2173" s="4">
        <v>1.24761E-16</v>
      </c>
      <c r="E2173" s="4">
        <v>1.24761E-16</v>
      </c>
      <c r="I2173" s="4">
        <v>1.24761E-16</v>
      </c>
      <c r="U2173" s="5"/>
    </row>
    <row r="2174" spans="3:21" x14ac:dyDescent="0.25">
      <c r="C2174" s="4">
        <v>1.24761E-16</v>
      </c>
      <c r="E2174" s="4">
        <v>1.24761E-16</v>
      </c>
      <c r="I2174" s="4">
        <v>1.24761E-16</v>
      </c>
      <c r="U2174" s="5"/>
    </row>
    <row r="2175" spans="3:21" x14ac:dyDescent="0.25">
      <c r="C2175" s="4">
        <v>1.24761E-16</v>
      </c>
      <c r="E2175" s="4">
        <v>1.24761E-16</v>
      </c>
      <c r="I2175" s="4">
        <v>1.24761E-16</v>
      </c>
      <c r="U2175" s="5"/>
    </row>
    <row r="2176" spans="3:21" x14ac:dyDescent="0.25">
      <c r="C2176" s="4">
        <v>1.24761E-16</v>
      </c>
      <c r="E2176" s="4">
        <v>1.24761E-16</v>
      </c>
      <c r="I2176" s="4">
        <v>1.24761E-16</v>
      </c>
      <c r="U2176" s="5"/>
    </row>
    <row r="2177" spans="3:21" x14ac:dyDescent="0.25">
      <c r="C2177" s="4">
        <v>1.24761E-16</v>
      </c>
      <c r="E2177" s="4">
        <v>1.24761E-16</v>
      </c>
      <c r="I2177" s="4">
        <v>1.24761E-16</v>
      </c>
      <c r="U2177" s="5"/>
    </row>
    <row r="2178" spans="3:21" x14ac:dyDescent="0.25">
      <c r="C2178" s="4">
        <v>1.24761E-16</v>
      </c>
      <c r="E2178" s="4">
        <v>1.24761E-16</v>
      </c>
      <c r="I2178" s="4">
        <v>1.24761E-16</v>
      </c>
      <c r="U2178" s="5"/>
    </row>
    <row r="2179" spans="3:21" x14ac:dyDescent="0.25">
      <c r="C2179" s="4">
        <v>1.24761E-16</v>
      </c>
      <c r="E2179" s="4">
        <v>1.24761E-16</v>
      </c>
      <c r="I2179" s="4">
        <v>1.24761E-16</v>
      </c>
      <c r="U2179" s="5"/>
    </row>
    <row r="2180" spans="3:21" x14ac:dyDescent="0.25">
      <c r="C2180" s="4">
        <v>1.24761E-16</v>
      </c>
      <c r="E2180" s="4">
        <v>1.24761E-16</v>
      </c>
      <c r="I2180" s="4">
        <v>1.24761E-16</v>
      </c>
      <c r="U2180" s="5"/>
    </row>
    <row r="2181" spans="3:21" x14ac:dyDescent="0.25">
      <c r="C2181" s="4">
        <v>1.24761E-16</v>
      </c>
      <c r="E2181" s="4">
        <v>1.24761E-16</v>
      </c>
      <c r="I2181" s="4">
        <v>1.24761E-16</v>
      </c>
      <c r="U2181" s="5"/>
    </row>
    <row r="2182" spans="3:21" x14ac:dyDescent="0.25">
      <c r="C2182" s="4">
        <v>1.24761E-16</v>
      </c>
      <c r="E2182" s="4">
        <v>1.24761E-16</v>
      </c>
      <c r="I2182" s="4">
        <v>1.24761E-16</v>
      </c>
      <c r="U2182" s="5"/>
    </row>
    <row r="2183" spans="3:21" x14ac:dyDescent="0.25">
      <c r="C2183" s="4">
        <v>1.24761E-16</v>
      </c>
      <c r="E2183" s="4">
        <v>1.24761E-16</v>
      </c>
      <c r="I2183" s="4">
        <v>1.24761E-16</v>
      </c>
      <c r="U2183" s="5"/>
    </row>
    <row r="2184" spans="3:21" x14ac:dyDescent="0.25">
      <c r="C2184" s="4">
        <v>1.24761E-16</v>
      </c>
      <c r="E2184" s="4">
        <v>1.24761E-16</v>
      </c>
      <c r="I2184" s="4">
        <v>1.24761E-16</v>
      </c>
      <c r="U2184" s="5"/>
    </row>
    <row r="2185" spans="3:21" x14ac:dyDescent="0.25">
      <c r="C2185" s="4">
        <v>1.24761E-16</v>
      </c>
      <c r="E2185" s="4">
        <v>1.24761E-16</v>
      </c>
      <c r="I2185" s="4">
        <v>1.24761E-16</v>
      </c>
      <c r="U2185" s="5"/>
    </row>
    <row r="2186" spans="3:21" x14ac:dyDescent="0.25">
      <c r="C2186" s="4">
        <v>1.24761E-16</v>
      </c>
      <c r="E2186" s="4">
        <v>1.24761E-16</v>
      </c>
      <c r="I2186" s="4">
        <v>1.24761E-16</v>
      </c>
      <c r="U2186" s="5"/>
    </row>
    <row r="2187" spans="3:21" x14ac:dyDescent="0.25">
      <c r="C2187" s="4">
        <v>1.24761E-16</v>
      </c>
      <c r="E2187" s="4">
        <v>1.24761E-16</v>
      </c>
      <c r="I2187" s="4">
        <v>1.24761E-16</v>
      </c>
      <c r="U2187" s="5"/>
    </row>
    <row r="2188" spans="3:21" x14ac:dyDescent="0.25">
      <c r="C2188" s="4">
        <v>1.24761E-16</v>
      </c>
      <c r="E2188" s="4">
        <v>1.24761E-16</v>
      </c>
      <c r="I2188" s="4">
        <v>1.24761E-16</v>
      </c>
      <c r="U2188" s="5"/>
    </row>
    <row r="2189" spans="3:21" x14ac:dyDescent="0.25">
      <c r="C2189" s="4">
        <v>1.24761E-16</v>
      </c>
      <c r="E2189" s="4">
        <v>1.24761E-16</v>
      </c>
      <c r="I2189" s="4">
        <v>1.24761E-16</v>
      </c>
      <c r="U2189" s="5"/>
    </row>
    <row r="2190" spans="3:21" x14ac:dyDescent="0.25">
      <c r="C2190" s="4">
        <v>1.24761E-16</v>
      </c>
      <c r="E2190" s="4">
        <v>1.24761E-16</v>
      </c>
      <c r="I2190" s="4">
        <v>1.24761E-16</v>
      </c>
      <c r="U2190" s="5"/>
    </row>
    <row r="2191" spans="3:21" x14ac:dyDescent="0.25">
      <c r="C2191" s="4">
        <v>1.24761E-16</v>
      </c>
      <c r="E2191" s="4">
        <v>1.24761E-16</v>
      </c>
      <c r="I2191" s="4">
        <v>1.24761E-16</v>
      </c>
      <c r="U2191" s="5"/>
    </row>
    <row r="2192" spans="3:21" x14ac:dyDescent="0.25">
      <c r="C2192" s="4">
        <v>1.24761E-16</v>
      </c>
      <c r="E2192" s="4">
        <v>1.24761E-16</v>
      </c>
      <c r="I2192" s="4">
        <v>1.24761E-16</v>
      </c>
      <c r="U2192" s="5"/>
    </row>
    <row r="2193" spans="3:21" x14ac:dyDescent="0.25">
      <c r="C2193" s="4">
        <v>1.24761E-16</v>
      </c>
      <c r="E2193" s="4">
        <v>1.24761E-16</v>
      </c>
      <c r="I2193" s="4">
        <v>1.24761E-16</v>
      </c>
      <c r="U2193" s="5"/>
    </row>
    <row r="2194" spans="3:21" x14ac:dyDescent="0.25">
      <c r="C2194" s="4">
        <v>1.24761E-16</v>
      </c>
      <c r="E2194" s="4">
        <v>1.24761E-16</v>
      </c>
      <c r="I2194" s="4">
        <v>1.24761E-16</v>
      </c>
      <c r="U2194" s="5"/>
    </row>
    <row r="2195" spans="3:21" x14ac:dyDescent="0.25">
      <c r="C2195" s="4">
        <v>1.24761E-16</v>
      </c>
      <c r="E2195" s="4">
        <v>1.24761E-16</v>
      </c>
      <c r="I2195" s="4">
        <v>1.24761E-16</v>
      </c>
      <c r="U2195" s="5"/>
    </row>
    <row r="2196" spans="3:21" x14ac:dyDescent="0.25">
      <c r="C2196" s="4">
        <v>1.24761E-16</v>
      </c>
      <c r="E2196" s="4">
        <v>1.24761E-16</v>
      </c>
      <c r="I2196" s="4">
        <v>1.24761E-16</v>
      </c>
      <c r="U2196" s="5"/>
    </row>
    <row r="2197" spans="3:21" x14ac:dyDescent="0.25">
      <c r="C2197" s="4">
        <v>1.24761E-16</v>
      </c>
      <c r="E2197" s="4">
        <v>1.24761E-16</v>
      </c>
      <c r="I2197" s="4">
        <v>1.24761E-16</v>
      </c>
      <c r="U2197" s="5"/>
    </row>
    <row r="2198" spans="3:21" x14ac:dyDescent="0.25">
      <c r="C2198" s="4">
        <v>1.24761E-16</v>
      </c>
      <c r="E2198" s="4">
        <v>1.24761E-16</v>
      </c>
      <c r="I2198" s="4">
        <v>1.24761E-16</v>
      </c>
      <c r="U2198" s="5"/>
    </row>
    <row r="2199" spans="3:21" x14ac:dyDescent="0.25">
      <c r="C2199" s="4">
        <v>1.24761E-16</v>
      </c>
      <c r="E2199" s="4">
        <v>1.24761E-16</v>
      </c>
      <c r="I2199" s="4">
        <v>1.24761E-16</v>
      </c>
      <c r="U2199" s="5"/>
    </row>
    <row r="2200" spans="3:21" x14ac:dyDescent="0.25">
      <c r="C2200" s="4">
        <v>1.24761E-16</v>
      </c>
      <c r="E2200" s="4">
        <v>1.24761E-16</v>
      </c>
      <c r="I2200" s="4">
        <v>1.24761E-16</v>
      </c>
      <c r="U2200" s="5"/>
    </row>
    <row r="2201" spans="3:21" x14ac:dyDescent="0.25">
      <c r="C2201" s="4">
        <v>1.24761E-16</v>
      </c>
      <c r="E2201" s="4">
        <v>1.24761E-16</v>
      </c>
      <c r="I2201" s="4">
        <v>1.24761E-16</v>
      </c>
      <c r="U2201" s="5"/>
    </row>
    <row r="2202" spans="3:21" x14ac:dyDescent="0.25">
      <c r="C2202" s="4">
        <v>1.24761E-16</v>
      </c>
      <c r="E2202" s="4">
        <v>1.24761E-16</v>
      </c>
      <c r="I2202" s="4">
        <v>1.24761E-16</v>
      </c>
      <c r="U2202" s="5"/>
    </row>
    <row r="2203" spans="3:21" x14ac:dyDescent="0.25">
      <c r="C2203" s="4">
        <v>1.24761E-16</v>
      </c>
      <c r="E2203" s="4">
        <v>1.24761E-16</v>
      </c>
      <c r="I2203" s="4">
        <v>1.24761E-16</v>
      </c>
      <c r="U2203" s="5"/>
    </row>
    <row r="2204" spans="3:21" x14ac:dyDescent="0.25">
      <c r="C2204" s="4">
        <v>1.24761E-16</v>
      </c>
      <c r="E2204" s="4">
        <v>1.24761E-16</v>
      </c>
      <c r="I2204" s="4">
        <v>1.24761E-16</v>
      </c>
      <c r="U2204" s="5"/>
    </row>
    <row r="2205" spans="3:21" x14ac:dyDescent="0.25">
      <c r="C2205" s="4">
        <v>1.24761E-16</v>
      </c>
      <c r="E2205" s="4">
        <v>1.24761E-16</v>
      </c>
      <c r="I2205" s="4">
        <v>1.24761E-16</v>
      </c>
      <c r="U2205" s="5"/>
    </row>
    <row r="2206" spans="3:21" x14ac:dyDescent="0.25">
      <c r="C2206" s="4">
        <v>1.24761E-16</v>
      </c>
      <c r="E2206" s="4">
        <v>1.24761E-16</v>
      </c>
      <c r="I2206" s="4">
        <v>1.24761E-16</v>
      </c>
      <c r="U2206" s="5"/>
    </row>
    <row r="2207" spans="3:21" x14ac:dyDescent="0.25">
      <c r="C2207" s="4">
        <v>1.24761E-16</v>
      </c>
      <c r="E2207" s="4">
        <v>1.24761E-16</v>
      </c>
      <c r="I2207" s="4">
        <v>1.24761E-16</v>
      </c>
      <c r="U2207" s="5"/>
    </row>
    <row r="2208" spans="3:21" x14ac:dyDescent="0.25">
      <c r="C2208" s="4">
        <v>1.24761E-16</v>
      </c>
      <c r="E2208" s="4">
        <v>1.24761E-16</v>
      </c>
      <c r="I2208" s="4">
        <v>1.24761E-16</v>
      </c>
      <c r="U2208" s="5"/>
    </row>
    <row r="2209" spans="3:21" x14ac:dyDescent="0.25">
      <c r="C2209" s="4">
        <v>1.24761E-16</v>
      </c>
      <c r="E2209" s="4">
        <v>1.24761E-16</v>
      </c>
      <c r="I2209" s="4">
        <v>1.24761E-16</v>
      </c>
      <c r="U2209" s="5"/>
    </row>
    <row r="2210" spans="3:21" x14ac:dyDescent="0.25">
      <c r="C2210" s="4">
        <v>1.24761E-16</v>
      </c>
      <c r="E2210" s="4">
        <v>1.24761E-16</v>
      </c>
      <c r="I2210" s="4">
        <v>1.24761E-16</v>
      </c>
      <c r="U2210" s="5"/>
    </row>
    <row r="2211" spans="3:21" x14ac:dyDescent="0.25">
      <c r="C2211" s="4">
        <v>1.24761E-16</v>
      </c>
      <c r="E2211" s="4">
        <v>1.24761E-16</v>
      </c>
      <c r="I2211" s="4">
        <v>1.24761E-16</v>
      </c>
      <c r="U2211" s="5"/>
    </row>
    <row r="2212" spans="3:21" x14ac:dyDescent="0.25">
      <c r="C2212" s="4">
        <v>1.24761E-16</v>
      </c>
      <c r="E2212" s="4">
        <v>1.24761E-16</v>
      </c>
      <c r="I2212" s="4">
        <v>1.24761E-16</v>
      </c>
      <c r="U2212" s="5"/>
    </row>
    <row r="2213" spans="3:21" x14ac:dyDescent="0.25">
      <c r="C2213" s="4">
        <v>1.24761E-16</v>
      </c>
      <c r="E2213" s="4">
        <v>1.24761E-16</v>
      </c>
      <c r="I2213" s="4">
        <v>1.24761E-16</v>
      </c>
      <c r="U2213" s="5"/>
    </row>
    <row r="2214" spans="3:21" x14ac:dyDescent="0.25">
      <c r="C2214" s="4">
        <v>1.24761E-16</v>
      </c>
      <c r="E2214" s="4">
        <v>1.24761E-16</v>
      </c>
      <c r="I2214" s="4">
        <v>1.24761E-16</v>
      </c>
      <c r="U2214" s="5"/>
    </row>
    <row r="2215" spans="3:21" x14ac:dyDescent="0.25">
      <c r="C2215" s="4">
        <v>1.24761E-16</v>
      </c>
      <c r="E2215" s="4">
        <v>1.24761E-16</v>
      </c>
      <c r="I2215" s="4">
        <v>1.24761E-16</v>
      </c>
      <c r="U2215" s="5"/>
    </row>
    <row r="2216" spans="3:21" x14ac:dyDescent="0.25">
      <c r="C2216" s="4">
        <v>1.24761E-16</v>
      </c>
      <c r="E2216" s="4">
        <v>1.24761E-16</v>
      </c>
      <c r="I2216" s="4">
        <v>1.24761E-16</v>
      </c>
      <c r="U2216" s="5"/>
    </row>
    <row r="2217" spans="3:21" x14ac:dyDescent="0.25">
      <c r="C2217" s="4">
        <v>1.24761E-16</v>
      </c>
      <c r="E2217" s="4">
        <v>1.24761E-16</v>
      </c>
      <c r="I2217" s="4">
        <v>1.24761E-16</v>
      </c>
      <c r="U2217" s="5"/>
    </row>
    <row r="2218" spans="3:21" x14ac:dyDescent="0.25">
      <c r="C2218" s="4">
        <v>1.24761E-16</v>
      </c>
      <c r="E2218" s="4">
        <v>1.24761E-16</v>
      </c>
      <c r="I2218" s="4">
        <v>1.24761E-16</v>
      </c>
      <c r="U2218" s="5"/>
    </row>
    <row r="2219" spans="3:21" x14ac:dyDescent="0.25">
      <c r="C2219" s="4">
        <v>1.24761E-16</v>
      </c>
      <c r="E2219" s="4">
        <v>1.24761E-16</v>
      </c>
      <c r="I2219" s="4">
        <v>1.24761E-16</v>
      </c>
      <c r="U2219" s="5"/>
    </row>
    <row r="2220" spans="3:21" x14ac:dyDescent="0.25">
      <c r="C2220" s="4">
        <v>1.24761E-16</v>
      </c>
      <c r="E2220" s="4">
        <v>1.24761E-16</v>
      </c>
      <c r="I2220" s="4">
        <v>1.24761E-16</v>
      </c>
      <c r="U2220" s="5"/>
    </row>
    <row r="2221" spans="3:21" x14ac:dyDescent="0.25">
      <c r="C2221" s="4">
        <v>1.24761E-16</v>
      </c>
      <c r="E2221" s="4">
        <v>1.24761E-16</v>
      </c>
      <c r="I2221" s="4">
        <v>1.24761E-16</v>
      </c>
      <c r="U2221" s="5"/>
    </row>
    <row r="2222" spans="3:21" x14ac:dyDescent="0.25">
      <c r="C2222" s="4">
        <v>1.24761E-16</v>
      </c>
      <c r="E2222" s="4">
        <v>1.24761E-16</v>
      </c>
      <c r="I2222" s="4">
        <v>1.24761E-16</v>
      </c>
      <c r="U2222" s="5"/>
    </row>
    <row r="2223" spans="3:21" x14ac:dyDescent="0.25">
      <c r="C2223" s="4">
        <v>1.24761E-16</v>
      </c>
      <c r="E2223" s="4">
        <v>1.24761E-16</v>
      </c>
      <c r="I2223" s="4">
        <v>1.24761E-16</v>
      </c>
      <c r="U2223" s="5"/>
    </row>
    <row r="2224" spans="3:21" x14ac:dyDescent="0.25">
      <c r="C2224" s="4">
        <v>1.24761E-16</v>
      </c>
      <c r="E2224" s="4">
        <v>1.24761E-16</v>
      </c>
      <c r="I2224" s="4">
        <v>1.24761E-16</v>
      </c>
      <c r="U2224" s="5"/>
    </row>
    <row r="2225" spans="3:21" x14ac:dyDescent="0.25">
      <c r="C2225" s="4">
        <v>1.24761E-16</v>
      </c>
      <c r="E2225" s="4">
        <v>1.24761E-16</v>
      </c>
      <c r="I2225" s="4">
        <v>1.24761E-16</v>
      </c>
      <c r="U2225" s="5"/>
    </row>
    <row r="2226" spans="3:21" x14ac:dyDescent="0.25">
      <c r="C2226" s="4">
        <v>1.24761E-16</v>
      </c>
      <c r="E2226" s="4">
        <v>1.24761E-16</v>
      </c>
      <c r="I2226" s="4">
        <v>1.24761E-16</v>
      </c>
      <c r="U2226" s="5"/>
    </row>
    <row r="2227" spans="3:21" x14ac:dyDescent="0.25">
      <c r="C2227" s="4">
        <v>1.24761E-16</v>
      </c>
      <c r="E2227" s="4">
        <v>1.24761E-16</v>
      </c>
      <c r="I2227" s="4">
        <v>1.24761E-16</v>
      </c>
      <c r="U2227" s="5"/>
    </row>
    <row r="2228" spans="3:21" x14ac:dyDescent="0.25">
      <c r="C2228" s="4">
        <v>1.24761E-16</v>
      </c>
      <c r="I2228" s="4">
        <v>1.24761E-16</v>
      </c>
      <c r="U2228" s="5"/>
    </row>
    <row r="2229" spans="3:21" x14ac:dyDescent="0.25">
      <c r="C2229" s="4">
        <v>1.24761E-16</v>
      </c>
      <c r="I2229" s="4">
        <v>1.24761E-16</v>
      </c>
      <c r="U2229" s="5"/>
    </row>
    <row r="2230" spans="3:21" x14ac:dyDescent="0.25">
      <c r="C2230" s="4">
        <v>1.24761E-16</v>
      </c>
      <c r="I2230" s="4">
        <v>1.24761E-16</v>
      </c>
      <c r="U2230" s="5"/>
    </row>
    <row r="2231" spans="3:21" x14ac:dyDescent="0.25">
      <c r="C2231" s="4">
        <v>1.24761E-16</v>
      </c>
      <c r="I2231" s="4">
        <v>1.24761E-16</v>
      </c>
      <c r="U2231" s="5"/>
    </row>
    <row r="2232" spans="3:21" x14ac:dyDescent="0.25">
      <c r="C2232" s="4">
        <v>1.24761E-16</v>
      </c>
      <c r="I2232" s="4">
        <v>1.24761E-16</v>
      </c>
      <c r="U2232" s="5"/>
    </row>
    <row r="2233" spans="3:21" x14ac:dyDescent="0.25">
      <c r="C2233" s="4">
        <v>1.24761E-16</v>
      </c>
      <c r="I2233" s="4">
        <v>1.24761E-16</v>
      </c>
      <c r="U2233" s="5"/>
    </row>
    <row r="2234" spans="3:21" x14ac:dyDescent="0.25">
      <c r="C2234" s="4">
        <v>1.24761E-16</v>
      </c>
      <c r="I2234" s="4">
        <v>1.24761E-16</v>
      </c>
      <c r="U2234" s="5"/>
    </row>
    <row r="2235" spans="3:21" x14ac:dyDescent="0.25">
      <c r="C2235" s="4">
        <v>1.24761E-16</v>
      </c>
      <c r="I2235" s="4">
        <v>1.24761E-16</v>
      </c>
      <c r="U2235" s="5"/>
    </row>
    <row r="2236" spans="3:21" x14ac:dyDescent="0.25">
      <c r="C2236" s="4">
        <v>1.24761E-16</v>
      </c>
      <c r="I2236" s="4">
        <v>1.24761E-16</v>
      </c>
      <c r="U2236" s="5"/>
    </row>
    <row r="2237" spans="3:21" x14ac:dyDescent="0.25">
      <c r="C2237" s="4">
        <v>1.24761E-16</v>
      </c>
      <c r="I2237" s="4">
        <v>1.24761E-16</v>
      </c>
      <c r="U2237" s="5"/>
    </row>
    <row r="2238" spans="3:21" x14ac:dyDescent="0.25">
      <c r="C2238" s="4">
        <v>1.24761E-16</v>
      </c>
      <c r="I2238" s="4">
        <v>1.24761E-16</v>
      </c>
      <c r="U2238" s="5"/>
    </row>
    <row r="2239" spans="3:21" x14ac:dyDescent="0.25">
      <c r="C2239" s="4">
        <v>1.24761E-16</v>
      </c>
      <c r="I2239" s="4">
        <v>1.24761E-16</v>
      </c>
      <c r="U2239" s="5"/>
    </row>
    <row r="2240" spans="3:21" x14ac:dyDescent="0.25">
      <c r="C2240" s="4">
        <v>1.24761E-16</v>
      </c>
      <c r="I2240" s="4">
        <v>1.24761E-16</v>
      </c>
      <c r="U2240" s="5"/>
    </row>
    <row r="2241" spans="3:21" x14ac:dyDescent="0.25">
      <c r="C2241" s="4">
        <v>1.24761E-16</v>
      </c>
      <c r="I2241" s="4">
        <v>1.24761E-16</v>
      </c>
      <c r="U2241" s="5"/>
    </row>
    <row r="2242" spans="3:21" x14ac:dyDescent="0.25">
      <c r="C2242" s="4">
        <v>1.24761E-16</v>
      </c>
      <c r="I2242" s="4">
        <v>1.24761E-16</v>
      </c>
      <c r="U2242" s="5"/>
    </row>
    <row r="2243" spans="3:21" x14ac:dyDescent="0.25">
      <c r="C2243" s="4">
        <v>1.24761E-16</v>
      </c>
      <c r="I2243" s="4">
        <v>1.24761E-16</v>
      </c>
      <c r="U2243" s="5"/>
    </row>
    <row r="2244" spans="3:21" x14ac:dyDescent="0.25">
      <c r="C2244" s="4">
        <v>1.24761E-16</v>
      </c>
      <c r="I2244" s="4">
        <v>1.24761E-16</v>
      </c>
      <c r="U2244" s="5"/>
    </row>
    <row r="2245" spans="3:21" x14ac:dyDescent="0.25">
      <c r="C2245" s="4">
        <v>1.24761E-16</v>
      </c>
      <c r="I2245" s="4">
        <v>1.24761E-16</v>
      </c>
      <c r="U2245" s="5"/>
    </row>
    <row r="2246" spans="3:21" x14ac:dyDescent="0.25">
      <c r="C2246" s="4">
        <v>1.24761E-16</v>
      </c>
      <c r="I2246" s="4">
        <v>1.24761E-16</v>
      </c>
      <c r="U2246" s="5"/>
    </row>
    <row r="2247" spans="3:21" x14ac:dyDescent="0.25">
      <c r="C2247" s="4">
        <v>1.24761E-16</v>
      </c>
      <c r="I2247" s="4">
        <v>1.24761E-16</v>
      </c>
      <c r="U2247" s="5"/>
    </row>
    <row r="2248" spans="3:21" x14ac:dyDescent="0.25">
      <c r="C2248" s="4">
        <v>1.24761E-16</v>
      </c>
      <c r="I2248" s="4">
        <v>1.24761E-16</v>
      </c>
      <c r="U2248" s="5"/>
    </row>
    <row r="2249" spans="3:21" x14ac:dyDescent="0.25">
      <c r="C2249" s="4">
        <v>1.24761E-16</v>
      </c>
      <c r="I2249" s="4">
        <v>1.24761E-16</v>
      </c>
      <c r="U2249" s="5"/>
    </row>
    <row r="2250" spans="3:21" x14ac:dyDescent="0.25">
      <c r="C2250" s="4">
        <v>1.24761E-16</v>
      </c>
      <c r="I2250" s="4">
        <v>1.24761E-16</v>
      </c>
      <c r="U2250" s="5"/>
    </row>
    <row r="2251" spans="3:21" x14ac:dyDescent="0.25">
      <c r="C2251" s="4">
        <v>1.24761E-16</v>
      </c>
      <c r="I2251" s="4">
        <v>1.24761E-16</v>
      </c>
      <c r="U2251" s="5"/>
    </row>
    <row r="2252" spans="3:21" x14ac:dyDescent="0.25">
      <c r="C2252" s="4">
        <v>1.24761E-16</v>
      </c>
      <c r="I2252" s="4">
        <v>1.24761E-16</v>
      </c>
      <c r="U2252" s="5"/>
    </row>
    <row r="2253" spans="3:21" x14ac:dyDescent="0.25">
      <c r="C2253" s="4">
        <v>1.24761E-16</v>
      </c>
      <c r="I2253" s="4">
        <v>1.24761E-16</v>
      </c>
      <c r="U2253" s="5"/>
    </row>
    <row r="2254" spans="3:21" x14ac:dyDescent="0.25">
      <c r="C2254" s="4">
        <v>1.24761E-16</v>
      </c>
      <c r="I2254" s="4">
        <v>1.24761E-16</v>
      </c>
      <c r="U2254" s="5"/>
    </row>
    <row r="2255" spans="3:21" x14ac:dyDescent="0.25">
      <c r="C2255" s="4">
        <v>1.24761E-16</v>
      </c>
      <c r="I2255" s="4">
        <v>1.24761E-16</v>
      </c>
      <c r="U2255" s="5"/>
    </row>
    <row r="2256" spans="3:21" x14ac:dyDescent="0.25">
      <c r="C2256" s="4">
        <v>1.24761E-16</v>
      </c>
      <c r="I2256" s="4">
        <v>1.24761E-16</v>
      </c>
      <c r="U2256" s="5"/>
    </row>
    <row r="2257" spans="3:21" x14ac:dyDescent="0.25">
      <c r="C2257" s="4">
        <v>1.24761E-16</v>
      </c>
      <c r="I2257" s="4">
        <v>1.24761E-16</v>
      </c>
      <c r="U2257" s="5"/>
    </row>
    <row r="2258" spans="3:21" x14ac:dyDescent="0.25">
      <c r="C2258" s="4">
        <v>1.24761E-16</v>
      </c>
      <c r="I2258" s="4">
        <v>1.24761E-16</v>
      </c>
      <c r="U2258" s="5"/>
    </row>
    <row r="2259" spans="3:21" x14ac:dyDescent="0.25">
      <c r="C2259" s="4">
        <v>1.24761E-16</v>
      </c>
      <c r="I2259" s="4">
        <v>1.24761E-16</v>
      </c>
      <c r="U2259" s="5"/>
    </row>
    <row r="2260" spans="3:21" x14ac:dyDescent="0.25">
      <c r="C2260" s="4">
        <v>1.24761E-16</v>
      </c>
      <c r="U2260" s="5"/>
    </row>
    <row r="2261" spans="3:21" x14ac:dyDescent="0.25">
      <c r="C2261" s="4">
        <v>1.24761E-16</v>
      </c>
      <c r="U2261" s="5"/>
    </row>
    <row r="2262" spans="3:21" x14ac:dyDescent="0.25">
      <c r="C2262" s="4">
        <v>1.24761E-16</v>
      </c>
      <c r="U2262" s="5"/>
    </row>
    <row r="2263" spans="3:21" x14ac:dyDescent="0.25">
      <c r="C2263" s="4">
        <v>1.24761E-16</v>
      </c>
      <c r="U2263" s="5"/>
    </row>
    <row r="2264" spans="3:21" x14ac:dyDescent="0.25">
      <c r="C2264" s="4">
        <v>1.24761E-16</v>
      </c>
      <c r="U2264" s="5"/>
    </row>
    <row r="2265" spans="3:21" x14ac:dyDescent="0.25">
      <c r="C2265" s="4">
        <v>1.24761E-16</v>
      </c>
      <c r="U2265" s="5"/>
    </row>
    <row r="2266" spans="3:21" x14ac:dyDescent="0.25">
      <c r="C2266" s="4">
        <v>1.24761E-16</v>
      </c>
      <c r="U2266" s="5"/>
    </row>
    <row r="2267" spans="3:21" x14ac:dyDescent="0.25">
      <c r="C2267" s="4">
        <v>1.24761E-16</v>
      </c>
      <c r="U2267" s="5"/>
    </row>
    <row r="2268" spans="3:21" x14ac:dyDescent="0.25">
      <c r="C2268" s="4">
        <v>1.24761E-16</v>
      </c>
      <c r="U2268" s="5"/>
    </row>
    <row r="2269" spans="3:21" x14ac:dyDescent="0.25">
      <c r="C2269" s="4">
        <v>1.24761E-16</v>
      </c>
      <c r="U2269" s="5"/>
    </row>
    <row r="2270" spans="3:21" x14ac:dyDescent="0.25">
      <c r="C2270" s="4">
        <v>1.24761E-16</v>
      </c>
      <c r="U2270" s="5"/>
    </row>
    <row r="2271" spans="3:21" x14ac:dyDescent="0.25">
      <c r="C2271" s="4">
        <v>1.24761E-16</v>
      </c>
      <c r="U2271" s="5"/>
    </row>
    <row r="2272" spans="3:21" x14ac:dyDescent="0.25">
      <c r="C2272" s="4">
        <v>1.24761E-16</v>
      </c>
      <c r="U2272" s="5"/>
    </row>
    <row r="2273" spans="3:21" x14ac:dyDescent="0.25">
      <c r="C2273" s="4">
        <v>1.24761E-16</v>
      </c>
      <c r="U2273" s="5"/>
    </row>
    <row r="2274" spans="3:21" x14ac:dyDescent="0.25">
      <c r="C2274" s="4">
        <v>1.24761E-16</v>
      </c>
      <c r="U2274" s="5"/>
    </row>
    <row r="2275" spans="3:21" x14ac:dyDescent="0.25">
      <c r="C2275" s="4">
        <v>1.24761E-16</v>
      </c>
      <c r="U2275" s="5"/>
    </row>
    <row r="2276" spans="3:21" x14ac:dyDescent="0.25">
      <c r="C2276" s="4">
        <v>1.24761E-16</v>
      </c>
      <c r="U2276" s="5"/>
    </row>
    <row r="2277" spans="3:21" x14ac:dyDescent="0.25">
      <c r="C2277" s="4">
        <v>1.24761E-16</v>
      </c>
      <c r="U2277" s="5"/>
    </row>
    <row r="2278" spans="3:21" x14ac:dyDescent="0.25">
      <c r="C2278" s="4">
        <v>1.24761E-16</v>
      </c>
      <c r="U2278" s="5"/>
    </row>
    <row r="2279" spans="3:21" x14ac:dyDescent="0.25">
      <c r="C2279" s="4">
        <v>1.24761E-16</v>
      </c>
      <c r="U2279" s="5"/>
    </row>
    <row r="2280" spans="3:21" x14ac:dyDescent="0.25">
      <c r="C2280" s="4">
        <v>1.24761E-16</v>
      </c>
      <c r="U2280" s="5"/>
    </row>
    <row r="2281" spans="3:21" x14ac:dyDescent="0.25">
      <c r="C2281" s="4">
        <v>1.24761E-16</v>
      </c>
      <c r="U2281" s="5"/>
    </row>
    <row r="2282" spans="3:21" x14ac:dyDescent="0.25">
      <c r="C2282" s="4">
        <v>1.24761E-16</v>
      </c>
      <c r="U2282" s="5"/>
    </row>
    <row r="2283" spans="3:21" x14ac:dyDescent="0.25">
      <c r="C2283" s="4">
        <v>1.24761E-16</v>
      </c>
      <c r="U2283" s="5"/>
    </row>
    <row r="2284" spans="3:21" x14ac:dyDescent="0.25">
      <c r="C2284" s="4">
        <v>1.24761E-16</v>
      </c>
      <c r="U2284" s="5"/>
    </row>
    <row r="2285" spans="3:21" x14ac:dyDescent="0.25">
      <c r="C2285" s="4">
        <v>1.24761E-16</v>
      </c>
      <c r="U2285" s="5"/>
    </row>
    <row r="2286" spans="3:21" x14ac:dyDescent="0.25">
      <c r="C2286" s="4">
        <v>1.24761E-16</v>
      </c>
      <c r="U2286" s="5"/>
    </row>
    <row r="2287" spans="3:21" x14ac:dyDescent="0.25">
      <c r="C2287" s="4">
        <v>1.24761E-16</v>
      </c>
      <c r="U2287" s="5"/>
    </row>
    <row r="2288" spans="3:21" x14ac:dyDescent="0.25">
      <c r="C2288" s="4">
        <v>1.24761E-16</v>
      </c>
      <c r="U2288" s="5"/>
    </row>
    <row r="2289" spans="3:21" x14ac:dyDescent="0.25">
      <c r="C2289" s="4">
        <v>1.24761E-16</v>
      </c>
      <c r="U2289" s="5"/>
    </row>
    <row r="2290" spans="3:21" x14ac:dyDescent="0.25">
      <c r="C2290" s="4">
        <v>1.24761E-16</v>
      </c>
      <c r="U2290" s="5"/>
    </row>
    <row r="2291" spans="3:21" x14ac:dyDescent="0.25">
      <c r="U2291" s="5"/>
    </row>
    <row r="2292" spans="3:21" x14ac:dyDescent="0.25">
      <c r="U2292" s="5"/>
    </row>
    <row r="2293" spans="3:21" x14ac:dyDescent="0.25">
      <c r="U2293" s="5"/>
    </row>
    <row r="2294" spans="3:21" x14ac:dyDescent="0.25">
      <c r="U2294" s="5"/>
    </row>
    <row r="2295" spans="3:21" x14ac:dyDescent="0.25">
      <c r="U2295" s="5"/>
    </row>
    <row r="2296" spans="3:21" x14ac:dyDescent="0.25">
      <c r="U2296" s="5"/>
    </row>
    <row r="2297" spans="3:21" x14ac:dyDescent="0.25">
      <c r="U2297" s="5"/>
    </row>
    <row r="2298" spans="3:21" x14ac:dyDescent="0.25">
      <c r="U2298" s="5"/>
    </row>
    <row r="2299" spans="3:21" x14ac:dyDescent="0.25">
      <c r="U2299" s="5"/>
    </row>
    <row r="2300" spans="3:21" x14ac:dyDescent="0.25">
      <c r="U2300" s="5"/>
    </row>
    <row r="2301" spans="3:21" x14ac:dyDescent="0.25">
      <c r="U2301" s="5"/>
    </row>
    <row r="2302" spans="3:21" x14ac:dyDescent="0.25">
      <c r="U2302" s="5"/>
    </row>
    <row r="2303" spans="3:21" x14ac:dyDescent="0.25">
      <c r="U2303" s="5"/>
    </row>
    <row r="2304" spans="3:21" x14ac:dyDescent="0.25">
      <c r="U2304" s="5"/>
    </row>
    <row r="2305" spans="21:21" x14ac:dyDescent="0.25">
      <c r="U2305" s="5"/>
    </row>
    <row r="2306" spans="21:21" x14ac:dyDescent="0.25">
      <c r="U2306" s="5"/>
    </row>
    <row r="2307" spans="21:21" x14ac:dyDescent="0.25">
      <c r="U2307" s="5"/>
    </row>
    <row r="2308" spans="21:21" x14ac:dyDescent="0.25">
      <c r="U2308" s="5"/>
    </row>
    <row r="2309" spans="21:21" x14ac:dyDescent="0.25">
      <c r="U2309" s="5"/>
    </row>
    <row r="2310" spans="21:21" x14ac:dyDescent="0.25">
      <c r="U2310" s="5"/>
    </row>
    <row r="2311" spans="21:21" x14ac:dyDescent="0.25">
      <c r="U2311" s="5"/>
    </row>
    <row r="2312" spans="21:21" x14ac:dyDescent="0.25">
      <c r="U2312" s="5"/>
    </row>
    <row r="2313" spans="21:21" x14ac:dyDescent="0.25">
      <c r="U2313" s="5"/>
    </row>
    <row r="2314" spans="21:21" x14ac:dyDescent="0.25">
      <c r="U2314" s="5"/>
    </row>
    <row r="2315" spans="21:21" x14ac:dyDescent="0.25">
      <c r="U2315" s="5"/>
    </row>
    <row r="2316" spans="21:21" x14ac:dyDescent="0.25">
      <c r="U2316" s="5"/>
    </row>
    <row r="2317" spans="21:21" x14ac:dyDescent="0.25">
      <c r="U2317" s="5"/>
    </row>
    <row r="2318" spans="21:21" x14ac:dyDescent="0.25">
      <c r="U2318" s="5"/>
    </row>
    <row r="2319" spans="21:21" x14ac:dyDescent="0.25">
      <c r="U2319" s="5"/>
    </row>
    <row r="2320" spans="21:21" x14ac:dyDescent="0.25">
      <c r="U2320" s="5"/>
    </row>
    <row r="2321" spans="21:21" x14ac:dyDescent="0.25">
      <c r="U2321" s="5"/>
    </row>
    <row r="2322" spans="21:21" x14ac:dyDescent="0.25">
      <c r="U2322" s="1"/>
    </row>
  </sheetData>
  <mergeCells count="2">
    <mergeCell ref="B3:E3"/>
    <mergeCell ref="B12:F1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J46"/>
  <sheetViews>
    <sheetView tabSelected="1" topLeftCell="A5" zoomScale="70" zoomScaleNormal="70" workbookViewId="0">
      <selection activeCell="G36" sqref="G36"/>
    </sheetView>
  </sheetViews>
  <sheetFormatPr defaultRowHeight="15" x14ac:dyDescent="0.25"/>
  <cols>
    <col min="2" max="2" width="19.5703125" customWidth="1"/>
    <col min="3" max="3" width="15.85546875" customWidth="1"/>
    <col min="5" max="5" width="20.5703125" customWidth="1"/>
    <col min="6" max="6" width="21.5703125" customWidth="1"/>
    <col min="7" max="7" width="23.85546875" customWidth="1"/>
    <col min="8" max="8" width="24.7109375" customWidth="1"/>
    <col min="9" max="9" width="27.5703125" customWidth="1"/>
    <col min="10" max="10" width="28.42578125" customWidth="1"/>
    <col min="11" max="11" width="21.140625" customWidth="1"/>
    <col min="12" max="12" width="23.42578125" customWidth="1"/>
    <col min="13" max="14" width="13.28515625" customWidth="1"/>
    <col min="53" max="53" width="8.85546875" bestFit="1" customWidth="1"/>
    <col min="54" max="54" width="16" bestFit="1" customWidth="1"/>
    <col min="55" max="60" width="8.85546875" bestFit="1" customWidth="1"/>
    <col min="61" max="61" width="15.28515625" bestFit="1" customWidth="1"/>
    <col min="62" max="62" width="12.28515625" customWidth="1"/>
  </cols>
  <sheetData>
    <row r="2" spans="2:62" ht="15.75" thickBot="1" x14ac:dyDescent="0.3"/>
    <row r="3" spans="2:62" ht="46.5" x14ac:dyDescent="0.35">
      <c r="B3" s="9" t="s">
        <v>35</v>
      </c>
      <c r="C3" s="27" t="s">
        <v>11</v>
      </c>
      <c r="D3" s="10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1" t="s">
        <v>17</v>
      </c>
      <c r="J3" s="11" t="s">
        <v>18</v>
      </c>
      <c r="K3" s="11" t="s">
        <v>19</v>
      </c>
      <c r="L3" s="11" t="s">
        <v>20</v>
      </c>
      <c r="M3" s="11" t="s">
        <v>1</v>
      </c>
      <c r="N3" s="12" t="s">
        <v>21</v>
      </c>
      <c r="BB3" t="s">
        <v>22</v>
      </c>
    </row>
    <row r="4" spans="2:62" ht="24" thickBot="1" x14ac:dyDescent="0.4">
      <c r="B4" s="28"/>
      <c r="C4" s="42"/>
      <c r="D4" s="43"/>
      <c r="E4" s="41" t="s">
        <v>10</v>
      </c>
      <c r="F4" s="41" t="s">
        <v>9</v>
      </c>
      <c r="G4" s="41" t="s">
        <v>10</v>
      </c>
      <c r="H4" s="41" t="s">
        <v>10</v>
      </c>
      <c r="I4" s="41" t="s">
        <v>10</v>
      </c>
      <c r="J4" s="41" t="s">
        <v>10</v>
      </c>
      <c r="K4" s="41"/>
      <c r="L4" s="41"/>
      <c r="M4" s="41"/>
      <c r="N4" s="44"/>
      <c r="BA4" t="s">
        <v>21</v>
      </c>
      <c r="BB4" t="s">
        <v>29</v>
      </c>
      <c r="BC4" t="s">
        <v>23</v>
      </c>
      <c r="BD4" t="s">
        <v>24</v>
      </c>
      <c r="BE4" t="s">
        <v>25</v>
      </c>
      <c r="BF4" t="s">
        <v>26</v>
      </c>
      <c r="BG4" t="s">
        <v>27</v>
      </c>
      <c r="BH4" t="s">
        <v>28</v>
      </c>
      <c r="BI4" t="s">
        <v>30</v>
      </c>
      <c r="BJ4" t="s">
        <v>31</v>
      </c>
    </row>
    <row r="5" spans="2:62" ht="42.6" customHeight="1" x14ac:dyDescent="0.25">
      <c r="B5" s="55" t="s">
        <v>50</v>
      </c>
      <c r="C5" s="49" t="s">
        <v>5</v>
      </c>
      <c r="D5" s="13">
        <v>0</v>
      </c>
      <c r="E5" s="52">
        <v>570.74800000000005</v>
      </c>
      <c r="F5" s="52"/>
      <c r="G5" s="14">
        <v>113.646</v>
      </c>
      <c r="H5" s="15"/>
      <c r="I5" s="15">
        <v>3.42713</v>
      </c>
      <c r="J5" s="16"/>
      <c r="K5" s="15">
        <f>G5/$E$5</f>
        <v>0.19911764912010202</v>
      </c>
      <c r="L5" s="15">
        <f>I5/$E$5</f>
        <v>6.0046290131546666E-3</v>
      </c>
      <c r="M5" s="15">
        <v>0.70010906530040917</v>
      </c>
      <c r="N5" s="17">
        <f t="shared" ref="N5:N36" si="0">1-M5</f>
        <v>0.29989093469959083</v>
      </c>
      <c r="BA5">
        <f>0.025</f>
        <v>2.5000000000000001E-2</v>
      </c>
      <c r="BB5">
        <f>(BA5-$BC$5)/(1-$BC$5-$BD$5)</f>
        <v>3.5714285714285719E-2</v>
      </c>
      <c r="BC5">
        <v>0</v>
      </c>
      <c r="BD5">
        <v>0.3</v>
      </c>
      <c r="BE5">
        <v>0.6</v>
      </c>
      <c r="BF5">
        <v>1</v>
      </c>
      <c r="BG5">
        <v>3.2</v>
      </c>
      <c r="BH5">
        <v>4.2</v>
      </c>
      <c r="BI5">
        <f>$BE$5*BB5^$BG$5</f>
        <v>1.4036070796592812E-5</v>
      </c>
      <c r="BJ5">
        <f>$BF$5*(1-BB5)^$BH$5</f>
        <v>0.85834934057074097</v>
      </c>
    </row>
    <row r="6" spans="2:62" ht="21" customHeight="1" x14ac:dyDescent="0.25">
      <c r="B6" s="56"/>
      <c r="C6" s="50"/>
      <c r="D6" s="18">
        <v>2</v>
      </c>
      <c r="E6" s="53"/>
      <c r="F6" s="53"/>
      <c r="G6" s="19">
        <v>4.4826499999999996</v>
      </c>
      <c r="H6" s="20"/>
      <c r="I6" s="21">
        <v>55.253999999999998</v>
      </c>
      <c r="J6" s="21"/>
      <c r="K6" s="20">
        <f>G6/$E$5</f>
        <v>7.853991604000363E-3</v>
      </c>
      <c r="L6" s="20">
        <f t="shared" ref="L6:L8" si="1">I6/$E$5</f>
        <v>9.6809800472362567E-2</v>
      </c>
      <c r="M6" s="20">
        <v>0.44640487946807061</v>
      </c>
      <c r="N6" s="22">
        <f t="shared" si="0"/>
        <v>0.55359512053192939</v>
      </c>
      <c r="BA6">
        <f>BA5+0.025</f>
        <v>0.05</v>
      </c>
      <c r="BB6">
        <f t="shared" ref="BB6:BB38" si="2">(BA6-$BC$5)/(1-$BC$5-$BD$5)</f>
        <v>7.1428571428571438E-2</v>
      </c>
      <c r="BI6">
        <f t="shared" ref="BI6:BI37" si="3">$BE$5*BB6^$BG$5</f>
        <v>1.2898569147734473E-4</v>
      </c>
      <c r="BJ6">
        <f t="shared" ref="BJ6:BJ37" si="4">$BF$5*(1-BB6)^$BH$5</f>
        <v>0.73252816886228367</v>
      </c>
    </row>
    <row r="7" spans="2:62" ht="21" customHeight="1" x14ac:dyDescent="0.25">
      <c r="B7" s="56"/>
      <c r="C7" s="50"/>
      <c r="D7" s="18">
        <v>3</v>
      </c>
      <c r="E7" s="53"/>
      <c r="F7" s="53"/>
      <c r="G7" s="19">
        <v>3.9037999999999999</v>
      </c>
      <c r="H7" s="20"/>
      <c r="I7" s="21">
        <v>54.365099999999998</v>
      </c>
      <c r="J7" s="21"/>
      <c r="K7" s="20">
        <f t="shared" ref="K7:K8" si="5">G7/$E$5</f>
        <v>6.8397961972709491E-3</v>
      </c>
      <c r="L7" s="20">
        <f t="shared" si="1"/>
        <v>9.5252370573352854E-2</v>
      </c>
      <c r="M7" s="20">
        <v>0.44397006447867676</v>
      </c>
      <c r="N7" s="22">
        <f t="shared" si="0"/>
        <v>0.55602993552132318</v>
      </c>
      <c r="BA7">
        <f t="shared" ref="BA7:BA45" si="6">BA6+0.025</f>
        <v>7.5000000000000011E-2</v>
      </c>
      <c r="BB7">
        <f t="shared" si="2"/>
        <v>0.10714285714285716</v>
      </c>
      <c r="BI7">
        <f t="shared" si="3"/>
        <v>4.7209952687263598E-4</v>
      </c>
      <c r="BJ7">
        <f t="shared" si="4"/>
        <v>0.62127561049174163</v>
      </c>
    </row>
    <row r="8" spans="2:62" ht="21" customHeight="1" thickBot="1" x14ac:dyDescent="0.3">
      <c r="B8" s="56"/>
      <c r="C8" s="51"/>
      <c r="D8" s="38">
        <v>4</v>
      </c>
      <c r="E8" s="54"/>
      <c r="F8" s="54"/>
      <c r="G8" s="23">
        <v>4.1385500000000004</v>
      </c>
      <c r="H8" s="24"/>
      <c r="I8" s="25">
        <v>62.508600000000001</v>
      </c>
      <c r="J8" s="25"/>
      <c r="K8" s="24">
        <f t="shared" si="5"/>
        <v>7.2510985583830343E-3</v>
      </c>
      <c r="L8" s="24">
        <f t="shared" si="1"/>
        <v>0.10952048890228261</v>
      </c>
      <c r="M8" s="24">
        <v>0.43638934018672482</v>
      </c>
      <c r="N8" s="26">
        <f t="shared" si="0"/>
        <v>0.56361065981327518</v>
      </c>
      <c r="BA8">
        <f t="shared" si="6"/>
        <v>0.1</v>
      </c>
      <c r="BB8">
        <f t="shared" si="2"/>
        <v>0.14285714285714288</v>
      </c>
      <c r="BI8">
        <f t="shared" si="3"/>
        <v>1.185325212945448E-3</v>
      </c>
      <c r="BJ8">
        <f t="shared" si="4"/>
        <v>0.52338766549765525</v>
      </c>
    </row>
    <row r="9" spans="2:62" ht="21" customHeight="1" x14ac:dyDescent="0.25">
      <c r="B9" s="56"/>
      <c r="C9" s="49" t="s">
        <v>4</v>
      </c>
      <c r="D9" s="13">
        <v>0</v>
      </c>
      <c r="E9" s="52">
        <v>703.21199999999999</v>
      </c>
      <c r="F9" s="52"/>
      <c r="G9" s="14">
        <v>157.71700000000001</v>
      </c>
      <c r="H9" s="15"/>
      <c r="I9" s="16">
        <v>9.4774499999999993</v>
      </c>
      <c r="J9" s="16"/>
      <c r="K9" s="15">
        <f>G9/$E$9</f>
        <v>0.22428087120242546</v>
      </c>
      <c r="L9" s="15">
        <f>I9/$E$9</f>
        <v>1.3477372399788398E-2</v>
      </c>
      <c r="M9" s="15">
        <v>0.7244927284850825</v>
      </c>
      <c r="N9" s="17">
        <f t="shared" si="0"/>
        <v>0.2755072715149175</v>
      </c>
      <c r="BA9">
        <f t="shared" si="6"/>
        <v>0.125</v>
      </c>
      <c r="BB9">
        <f t="shared" si="2"/>
        <v>0.17857142857142858</v>
      </c>
      <c r="BI9">
        <f t="shared" si="3"/>
        <v>2.4207479010535807E-3</v>
      </c>
      <c r="BJ9">
        <f t="shared" si="4"/>
        <v>0.43771676377224428</v>
      </c>
    </row>
    <row r="10" spans="2:62" ht="21" customHeight="1" x14ac:dyDescent="0.25">
      <c r="B10" s="56"/>
      <c r="C10" s="50"/>
      <c r="D10" s="18">
        <v>2</v>
      </c>
      <c r="E10" s="53"/>
      <c r="F10" s="53"/>
      <c r="G10" s="19">
        <v>19.4466</v>
      </c>
      <c r="H10" s="20"/>
      <c r="I10" s="21">
        <v>81.016099999999994</v>
      </c>
      <c r="J10" s="21"/>
      <c r="K10" s="20">
        <f t="shared" ref="K10:K11" si="7">G10/$E$9</f>
        <v>2.7653964949403594E-2</v>
      </c>
      <c r="L10" s="20">
        <f t="shared" ref="L10:L11" si="8">I10/$E$9</f>
        <v>0.11520864262839656</v>
      </c>
      <c r="M10" s="20">
        <v>0.46224697258939224</v>
      </c>
      <c r="N10" s="22">
        <f t="shared" si="0"/>
        <v>0.53775302741060771</v>
      </c>
      <c r="BA10">
        <f t="shared" si="6"/>
        <v>0.15</v>
      </c>
      <c r="BB10">
        <f t="shared" si="2"/>
        <v>0.2142857142857143</v>
      </c>
      <c r="BI10">
        <f t="shared" si="3"/>
        <v>4.3383995993078054E-3</v>
      </c>
      <c r="BJ10">
        <f t="shared" si="4"/>
        <v>0.36317130601778047</v>
      </c>
    </row>
    <row r="11" spans="2:62" ht="21.6" customHeight="1" x14ac:dyDescent="0.25">
      <c r="B11" s="56"/>
      <c r="C11" s="50"/>
      <c r="D11" s="18">
        <v>3</v>
      </c>
      <c r="E11" s="53"/>
      <c r="F11" s="53"/>
      <c r="G11" s="19">
        <v>24.915400000000002</v>
      </c>
      <c r="H11" s="20"/>
      <c r="I11" s="21">
        <v>60.694099999999999</v>
      </c>
      <c r="J11" s="21"/>
      <c r="K11" s="20">
        <f t="shared" si="7"/>
        <v>3.5430851578186949E-2</v>
      </c>
      <c r="L11" s="20">
        <f t="shared" si="8"/>
        <v>8.6309818376250694E-2</v>
      </c>
      <c r="M11" s="20">
        <v>0.47038117785367545</v>
      </c>
      <c r="N11" s="22">
        <f t="shared" si="0"/>
        <v>0.5296188221463245</v>
      </c>
      <c r="BA11">
        <f t="shared" si="6"/>
        <v>0.17499999999999999</v>
      </c>
      <c r="BB11">
        <f t="shared" si="2"/>
        <v>0.25</v>
      </c>
      <c r="BI11">
        <f t="shared" si="3"/>
        <v>7.104921405517493E-3</v>
      </c>
      <c r="BJ11">
        <f t="shared" si="4"/>
        <v>0.29871518912065259</v>
      </c>
    </row>
    <row r="12" spans="2:62" ht="21" customHeight="1" thickBot="1" x14ac:dyDescent="0.3">
      <c r="B12" s="56"/>
      <c r="C12" s="51"/>
      <c r="D12" s="38">
        <v>4</v>
      </c>
      <c r="E12" s="54"/>
      <c r="F12" s="54"/>
      <c r="G12" s="24">
        <v>19.862400000000001</v>
      </c>
      <c r="H12" s="24"/>
      <c r="I12" s="25">
        <v>96.558000000000007</v>
      </c>
      <c r="J12" s="25"/>
      <c r="K12" s="24">
        <f>G12/$E$9</f>
        <v>2.8245251787512159E-2</v>
      </c>
      <c r="L12" s="24">
        <f>I12/$E$9</f>
        <v>0.13730994351632225</v>
      </c>
      <c r="M12" s="24">
        <v>0.45041838578837873</v>
      </c>
      <c r="N12" s="26">
        <f t="shared" si="0"/>
        <v>0.54958161421162122</v>
      </c>
      <c r="BA12">
        <f t="shared" si="6"/>
        <v>0.19999999999999998</v>
      </c>
      <c r="BB12">
        <f t="shared" si="2"/>
        <v>0.2857142857142857</v>
      </c>
      <c r="BI12">
        <f t="shared" si="3"/>
        <v>1.0892648977975563E-2</v>
      </c>
      <c r="BJ12">
        <f t="shared" si="4"/>
        <v>0.24336731469920611</v>
      </c>
    </row>
    <row r="13" spans="2:62" ht="21" customHeight="1" x14ac:dyDescent="0.25">
      <c r="B13" s="56"/>
      <c r="C13" s="49" t="s">
        <v>6</v>
      </c>
      <c r="D13" s="13">
        <v>0</v>
      </c>
      <c r="E13" s="52">
        <v>548.92399999999998</v>
      </c>
      <c r="F13" s="52"/>
      <c r="G13" s="14">
        <v>105.259</v>
      </c>
      <c r="H13" s="15"/>
      <c r="I13" s="16">
        <v>3.0095700000000001</v>
      </c>
      <c r="J13" s="16"/>
      <c r="K13" s="15">
        <f>G13/$E$13</f>
        <v>0.19175514278843703</v>
      </c>
      <c r="L13" s="15">
        <f>I13/$E$13</f>
        <v>5.4826715538034412E-3</v>
      </c>
      <c r="M13" s="15">
        <v>0.70353498558677452</v>
      </c>
      <c r="N13" s="17">
        <f t="shared" si="0"/>
        <v>0.29646501441322548</v>
      </c>
      <c r="BA13">
        <f t="shared" si="6"/>
        <v>0.22499999999999998</v>
      </c>
      <c r="BB13">
        <f t="shared" si="2"/>
        <v>0.3214285714285714</v>
      </c>
      <c r="BI13">
        <f t="shared" si="3"/>
        <v>1.5878942654483426E-2</v>
      </c>
      <c r="BJ13">
        <f t="shared" si="4"/>
        <v>0.1962010794196494</v>
      </c>
    </row>
    <row r="14" spans="2:62" ht="21" customHeight="1" x14ac:dyDescent="0.25">
      <c r="B14" s="56"/>
      <c r="C14" s="50"/>
      <c r="D14" s="18">
        <v>2</v>
      </c>
      <c r="E14" s="53"/>
      <c r="F14" s="53"/>
      <c r="G14" s="19">
        <v>3.7601100000000001</v>
      </c>
      <c r="H14" s="20"/>
      <c r="I14" s="21">
        <v>57.238399999999999</v>
      </c>
      <c r="J14" s="21"/>
      <c r="K14" s="20">
        <f t="shared" ref="K14:K15" si="9">G14/$E$13</f>
        <v>6.8499646581311807E-3</v>
      </c>
      <c r="L14" s="20">
        <f t="shared" ref="L14:L16" si="10">I14/$E$13</f>
        <v>0.10427381568304538</v>
      </c>
      <c r="M14" s="20">
        <v>0.44417556924717394</v>
      </c>
      <c r="N14" s="22">
        <f t="shared" si="0"/>
        <v>0.55582443075282606</v>
      </c>
      <c r="BA14">
        <f t="shared" si="6"/>
        <v>0.24999999999999997</v>
      </c>
      <c r="BB14">
        <f t="shared" si="2"/>
        <v>0.35714285714285715</v>
      </c>
      <c r="BI14">
        <f t="shared" si="3"/>
        <v>2.2245673054422196E-2</v>
      </c>
      <c r="BJ14">
        <f t="shared" si="4"/>
        <v>0.15634384548254887</v>
      </c>
    </row>
    <row r="15" spans="2:62" ht="21" customHeight="1" x14ac:dyDescent="0.25">
      <c r="B15" s="56"/>
      <c r="C15" s="50"/>
      <c r="D15" s="18">
        <v>3</v>
      </c>
      <c r="E15" s="53"/>
      <c r="F15" s="53"/>
      <c r="G15" s="19">
        <v>3.21482</v>
      </c>
      <c r="H15" s="20"/>
      <c r="I15" s="21">
        <v>54.430300000000003</v>
      </c>
      <c r="J15" s="21"/>
      <c r="K15" s="20">
        <f t="shared" si="9"/>
        <v>5.8565848824245256E-3</v>
      </c>
      <c r="L15" s="20">
        <f t="shared" si="10"/>
        <v>9.9158171258680622E-2</v>
      </c>
      <c r="M15" s="20">
        <v>0.44214538755805949</v>
      </c>
      <c r="N15" s="22">
        <f t="shared" si="0"/>
        <v>0.55785461244194057</v>
      </c>
      <c r="BA15">
        <f t="shared" si="6"/>
        <v>0.27499999999999997</v>
      </c>
      <c r="BB15">
        <f t="shared" si="2"/>
        <v>0.39285714285714285</v>
      </c>
      <c r="BI15">
        <f t="shared" si="3"/>
        <v>3.0178812207100569E-2</v>
      </c>
      <c r="BJ15">
        <f t="shared" si="4"/>
        <v>0.12297638945330557</v>
      </c>
    </row>
    <row r="16" spans="2:62" ht="21" customHeight="1" thickBot="1" x14ac:dyDescent="0.3">
      <c r="B16" s="56"/>
      <c r="C16" s="51"/>
      <c r="D16" s="38">
        <v>4</v>
      </c>
      <c r="E16" s="54"/>
      <c r="F16" s="54"/>
      <c r="G16" s="23">
        <v>5.0109199999999996</v>
      </c>
      <c r="H16" s="24"/>
      <c r="I16" s="40">
        <v>61.336799999999997</v>
      </c>
      <c r="J16" s="25"/>
      <c r="K16" s="24">
        <f>G16/$E$13</f>
        <v>9.1286225415540215E-3</v>
      </c>
      <c r="L16" s="24">
        <f t="shared" si="10"/>
        <v>0.11174005873308508</v>
      </c>
      <c r="M16" s="24">
        <v>0.43611252646686377</v>
      </c>
      <c r="N16" s="26">
        <f t="shared" si="0"/>
        <v>0.56388747353313629</v>
      </c>
      <c r="BA16">
        <f t="shared" si="6"/>
        <v>0.3</v>
      </c>
      <c r="BB16">
        <f t="shared" si="2"/>
        <v>0.4285714285714286</v>
      </c>
      <c r="BI16">
        <f t="shared" si="3"/>
        <v>3.9868099864357381E-2</v>
      </c>
      <c r="BJ16">
        <f t="shared" si="4"/>
        <v>9.5332327333795527E-2</v>
      </c>
    </row>
    <row r="17" spans="2:62" ht="21" customHeight="1" x14ac:dyDescent="0.25">
      <c r="B17" s="56"/>
      <c r="C17" s="49" t="s">
        <v>7</v>
      </c>
      <c r="D17" s="13">
        <v>0</v>
      </c>
      <c r="E17" s="52">
        <v>582.09</v>
      </c>
      <c r="F17" s="52"/>
      <c r="G17" s="14">
        <v>122.355</v>
      </c>
      <c r="H17" s="15"/>
      <c r="I17" s="16">
        <v>2.8616799999999998</v>
      </c>
      <c r="J17" s="16"/>
      <c r="K17" s="15">
        <f>G17/$E$17</f>
        <v>0.21019945369272791</v>
      </c>
      <c r="L17" s="15">
        <f>I17/$E$17</f>
        <v>4.9162157054750974E-3</v>
      </c>
      <c r="M17" s="15">
        <v>0.72836172474912408</v>
      </c>
      <c r="N17" s="17">
        <f t="shared" si="0"/>
        <v>0.27163827525087592</v>
      </c>
      <c r="BA17">
        <f t="shared" si="6"/>
        <v>0.32500000000000001</v>
      </c>
      <c r="BB17">
        <f t="shared" si="2"/>
        <v>0.46428571428571436</v>
      </c>
      <c r="BI17">
        <f t="shared" si="3"/>
        <v>5.1506765425769721E-2</v>
      </c>
      <c r="BJ17">
        <f t="shared" si="4"/>
        <v>7.2697513436158642E-2</v>
      </c>
    </row>
    <row r="18" spans="2:62" ht="21" customHeight="1" x14ac:dyDescent="0.25">
      <c r="B18" s="56"/>
      <c r="C18" s="50"/>
      <c r="D18" s="18">
        <v>2</v>
      </c>
      <c r="E18" s="53"/>
      <c r="F18" s="53"/>
      <c r="G18" s="19">
        <v>4.4131400000000003</v>
      </c>
      <c r="H18" s="20"/>
      <c r="I18" s="21">
        <v>72.290700000000001</v>
      </c>
      <c r="J18" s="21"/>
      <c r="K18" s="20">
        <f t="shared" ref="K18:K19" si="11">G18/$E$17</f>
        <v>7.5815423731725338E-3</v>
      </c>
      <c r="L18" s="20">
        <f>I18/$E$17</f>
        <v>0.1241916198526001</v>
      </c>
      <c r="M18" s="20">
        <v>0.43741692902208307</v>
      </c>
      <c r="N18" s="22">
        <f t="shared" si="0"/>
        <v>0.56258307097791693</v>
      </c>
      <c r="BA18">
        <f t="shared" si="6"/>
        <v>0.35000000000000003</v>
      </c>
      <c r="BB18">
        <f t="shared" si="2"/>
        <v>0.50000000000000011</v>
      </c>
      <c r="BI18">
        <f t="shared" si="3"/>
        <v>6.5291292247209351E-2</v>
      </c>
      <c r="BJ18">
        <f t="shared" si="4"/>
        <v>5.4409410206007716E-2</v>
      </c>
    </row>
    <row r="19" spans="2:62" ht="21" customHeight="1" x14ac:dyDescent="0.25">
      <c r="B19" s="56"/>
      <c r="C19" s="50"/>
      <c r="D19" s="18">
        <v>3</v>
      </c>
      <c r="E19" s="53"/>
      <c r="F19" s="53"/>
      <c r="G19" s="19">
        <v>4.90937</v>
      </c>
      <c r="H19" s="20"/>
      <c r="I19" s="21">
        <v>55.718200000000003</v>
      </c>
      <c r="J19" s="21"/>
      <c r="K19" s="20">
        <f t="shared" si="11"/>
        <v>8.4340394097132745E-3</v>
      </c>
      <c r="L19" s="20">
        <f t="shared" ref="L19:L20" si="12">I19/$E$17</f>
        <v>9.5720936624920538E-2</v>
      </c>
      <c r="M19" s="20">
        <v>0.44604443763064883</v>
      </c>
      <c r="N19" s="22">
        <f t="shared" si="0"/>
        <v>0.55395556236935117</v>
      </c>
      <c r="BA19">
        <f t="shared" si="6"/>
        <v>0.37500000000000006</v>
      </c>
      <c r="BB19">
        <f t="shared" si="2"/>
        <v>0.53571428571428581</v>
      </c>
      <c r="BI19">
        <f t="shared" si="3"/>
        <v>8.1421215048497808E-2</v>
      </c>
      <c r="BJ19">
        <f t="shared" si="4"/>
        <v>3.9856425627083664E-2</v>
      </c>
    </row>
    <row r="20" spans="2:62" ht="21" customHeight="1" thickBot="1" x14ac:dyDescent="0.3">
      <c r="B20" s="56"/>
      <c r="C20" s="51"/>
      <c r="D20" s="38">
        <v>4</v>
      </c>
      <c r="E20" s="54"/>
      <c r="F20" s="54"/>
      <c r="G20" s="23">
        <v>4.0024199999999999</v>
      </c>
      <c r="H20" s="24"/>
      <c r="I20" s="25">
        <v>65.490399999999994</v>
      </c>
      <c r="J20" s="25"/>
      <c r="K20" s="24">
        <f>G20/$E$17</f>
        <v>6.8759470185022929E-3</v>
      </c>
      <c r="L20" s="24">
        <f t="shared" si="12"/>
        <v>0.11250906217251626</v>
      </c>
      <c r="M20" s="24">
        <v>0.43702467086804092</v>
      </c>
      <c r="N20" s="26">
        <f t="shared" si="0"/>
        <v>0.56297532913195902</v>
      </c>
      <c r="BA20">
        <f t="shared" si="6"/>
        <v>0.40000000000000008</v>
      </c>
      <c r="BB20">
        <f t="shared" si="2"/>
        <v>0.57142857142857162</v>
      </c>
      <c r="BI20">
        <f t="shared" si="3"/>
        <v>0.10009894370048546</v>
      </c>
      <c r="BJ20">
        <f t="shared" si="4"/>
        <v>2.8477214188826656E-2</v>
      </c>
    </row>
    <row r="21" spans="2:62" ht="21" customHeight="1" x14ac:dyDescent="0.25">
      <c r="B21" s="56"/>
      <c r="C21" s="49" t="s">
        <v>8</v>
      </c>
      <c r="D21" s="13">
        <v>0</v>
      </c>
      <c r="E21" s="52">
        <v>617.21699999999998</v>
      </c>
      <c r="F21" s="52"/>
      <c r="G21" s="14">
        <v>89.787599999999998</v>
      </c>
      <c r="H21" s="15"/>
      <c r="I21" s="16">
        <v>14.6905</v>
      </c>
      <c r="J21" s="16"/>
      <c r="K21" s="15">
        <f>G21/$E$21</f>
        <v>0.14547168985948217</v>
      </c>
      <c r="L21" s="15">
        <f>I21/$E$21</f>
        <v>2.3801191477227621E-2</v>
      </c>
      <c r="M21" s="15">
        <v>0.61520617865339344</v>
      </c>
      <c r="N21" s="17">
        <f t="shared" si="0"/>
        <v>0.38479382134660656</v>
      </c>
      <c r="BA21">
        <f t="shared" si="6"/>
        <v>0.4250000000000001</v>
      </c>
      <c r="BB21">
        <f t="shared" si="2"/>
        <v>0.60714285714285732</v>
      </c>
      <c r="BI21">
        <f t="shared" si="3"/>
        <v>0.12152960840091376</v>
      </c>
      <c r="BJ21">
        <f t="shared" si="4"/>
        <v>1.9759936564172961E-2</v>
      </c>
    </row>
    <row r="22" spans="2:62" ht="21" customHeight="1" x14ac:dyDescent="0.25">
      <c r="B22" s="56"/>
      <c r="C22" s="50"/>
      <c r="D22" s="18">
        <v>2</v>
      </c>
      <c r="E22" s="53"/>
      <c r="F22" s="53"/>
      <c r="G22" s="19">
        <v>2.8508300000000002</v>
      </c>
      <c r="H22" s="20"/>
      <c r="I22" s="21">
        <v>72.348799999999997</v>
      </c>
      <c r="J22" s="21"/>
      <c r="K22" s="20">
        <f t="shared" ref="K22:K24" si="13">G22/$E$21</f>
        <v>4.6188455599894367E-3</v>
      </c>
      <c r="L22" s="20">
        <f t="shared" ref="L22:L23" si="14">I22/$E$21</f>
        <v>0.11721776943927338</v>
      </c>
      <c r="M22" s="20">
        <v>0.42210256299629356</v>
      </c>
      <c r="N22" s="22">
        <f t="shared" si="0"/>
        <v>0.57789743700370644</v>
      </c>
      <c r="BA22">
        <f t="shared" si="6"/>
        <v>0.45000000000000012</v>
      </c>
      <c r="BB22">
        <f t="shared" si="2"/>
        <v>0.64285714285714313</v>
      </c>
      <c r="BI22">
        <f t="shared" si="3"/>
        <v>0.14592092245037921</v>
      </c>
      <c r="BJ22">
        <f t="shared" si="4"/>
        <v>1.324147205620364E-2</v>
      </c>
    </row>
    <row r="23" spans="2:62" ht="21" customHeight="1" x14ac:dyDescent="0.25">
      <c r="B23" s="56"/>
      <c r="C23" s="50"/>
      <c r="D23" s="18">
        <v>3</v>
      </c>
      <c r="E23" s="53"/>
      <c r="F23" s="53"/>
      <c r="G23" s="19">
        <v>3.4557500000000001</v>
      </c>
      <c r="H23" s="20"/>
      <c r="I23" s="21">
        <v>90.872100000000003</v>
      </c>
      <c r="J23" s="21"/>
      <c r="K23" s="20">
        <f t="shared" si="13"/>
        <v>5.5989222591082228E-3</v>
      </c>
      <c r="L23" s="20">
        <f t="shared" si="14"/>
        <v>0.14722877043244112</v>
      </c>
      <c r="M23" s="20">
        <v>0.41092534504421369</v>
      </c>
      <c r="N23" s="22">
        <f t="shared" si="0"/>
        <v>0.58907465495578637</v>
      </c>
      <c r="BA23">
        <f t="shared" si="6"/>
        <v>0.47500000000000014</v>
      </c>
      <c r="BB23">
        <f t="shared" si="2"/>
        <v>0.67857142857142883</v>
      </c>
      <c r="BI23">
        <f t="shared" si="3"/>
        <v>0.17348305969737438</v>
      </c>
      <c r="BJ23">
        <f t="shared" si="4"/>
        <v>8.5065764220446736E-3</v>
      </c>
    </row>
    <row r="24" spans="2:62" ht="21" customHeight="1" thickBot="1" x14ac:dyDescent="0.3">
      <c r="B24" s="56"/>
      <c r="C24" s="51"/>
      <c r="D24" s="38">
        <v>4</v>
      </c>
      <c r="E24" s="54"/>
      <c r="F24" s="54"/>
      <c r="G24" s="23">
        <v>5.7219300000000004</v>
      </c>
      <c r="H24" s="24"/>
      <c r="I24" s="25">
        <v>93.024600000000007</v>
      </c>
      <c r="J24" s="25"/>
      <c r="K24" s="24">
        <f t="shared" si="13"/>
        <v>9.2705320819096056E-3</v>
      </c>
      <c r="L24" s="24">
        <f>I24/$E$21</f>
        <v>0.15071619867890873</v>
      </c>
      <c r="M24" s="24">
        <v>0.40386887986549036</v>
      </c>
      <c r="N24" s="26">
        <f t="shared" si="0"/>
        <v>0.59613112013450964</v>
      </c>
      <c r="BA24">
        <f t="shared" si="6"/>
        <v>0.50000000000000011</v>
      </c>
      <c r="BB24">
        <f t="shared" si="2"/>
        <v>0.71428571428571452</v>
      </c>
      <c r="BI24">
        <f t="shared" si="3"/>
        <v>0.20442854434733329</v>
      </c>
      <c r="BJ24">
        <f t="shared" si="4"/>
        <v>5.1869757037978732E-3</v>
      </c>
    </row>
    <row r="25" spans="2:62" ht="21" customHeight="1" x14ac:dyDescent="0.25">
      <c r="B25" s="56"/>
      <c r="C25" s="49" t="s">
        <v>32</v>
      </c>
      <c r="D25" s="13">
        <v>0</v>
      </c>
      <c r="E25" s="52">
        <v>867.25599999999997</v>
      </c>
      <c r="F25" s="52"/>
      <c r="G25" s="37">
        <v>52.2744</v>
      </c>
      <c r="H25" s="15"/>
      <c r="I25" s="16">
        <v>16.0166</v>
      </c>
      <c r="J25" s="16"/>
      <c r="K25" s="15">
        <f>G25/$E$25</f>
        <v>6.0275627957604216E-2</v>
      </c>
      <c r="L25" s="15">
        <f>I25/$E$25</f>
        <v>1.8468133976588228E-2</v>
      </c>
      <c r="M25" s="15">
        <v>0.60570008095595274</v>
      </c>
      <c r="N25" s="17">
        <f t="shared" si="0"/>
        <v>0.39429991904404726</v>
      </c>
      <c r="BA25">
        <f t="shared" si="6"/>
        <v>0.52500000000000013</v>
      </c>
      <c r="BB25">
        <f t="shared" si="2"/>
        <v>0.75000000000000022</v>
      </c>
      <c r="BI25">
        <f t="shared" si="3"/>
        <v>0.23897215129652227</v>
      </c>
      <c r="BJ25">
        <f t="shared" si="4"/>
        <v>2.9603839189656111E-3</v>
      </c>
    </row>
    <row r="26" spans="2:62" ht="21" customHeight="1" x14ac:dyDescent="0.25">
      <c r="B26" s="56"/>
      <c r="C26" s="50"/>
      <c r="D26" s="18">
        <v>2</v>
      </c>
      <c r="E26" s="53"/>
      <c r="F26" s="53"/>
      <c r="G26" s="19">
        <v>52.2744</v>
      </c>
      <c r="H26" s="20"/>
      <c r="I26" s="21">
        <v>79.075299999999999</v>
      </c>
      <c r="J26" s="21"/>
      <c r="K26" s="20">
        <f t="shared" ref="K26:K28" si="15">G26/$E$25</f>
        <v>6.0275627957604216E-2</v>
      </c>
      <c r="L26" s="20">
        <f t="shared" ref="L26:L28" si="16">I26/$E$25</f>
        <v>9.1178729233352088E-2</v>
      </c>
      <c r="M26" s="20">
        <v>0.41648109832179309</v>
      </c>
      <c r="N26" s="22">
        <f t="shared" si="0"/>
        <v>0.58351890167820697</v>
      </c>
      <c r="BA26">
        <f t="shared" si="6"/>
        <v>0.55000000000000016</v>
      </c>
      <c r="BB26">
        <f t="shared" si="2"/>
        <v>0.78571428571428603</v>
      </c>
      <c r="BI26">
        <f t="shared" si="3"/>
        <v>0.27733081550448729</v>
      </c>
      <c r="BJ26">
        <f t="shared" si="4"/>
        <v>1.5494284283242067E-3</v>
      </c>
    </row>
    <row r="27" spans="2:62" ht="21" customHeight="1" x14ac:dyDescent="0.25">
      <c r="B27" s="56"/>
      <c r="C27" s="50"/>
      <c r="D27" s="18">
        <v>3</v>
      </c>
      <c r="E27" s="53"/>
      <c r="F27" s="53"/>
      <c r="G27" s="19">
        <v>36.940100000000001</v>
      </c>
      <c r="H27" s="20"/>
      <c r="I27" s="21">
        <v>97.872</v>
      </c>
      <c r="J27" s="21"/>
      <c r="K27" s="20">
        <f t="shared" si="15"/>
        <v>4.2594228232494216E-2</v>
      </c>
      <c r="L27" s="20">
        <f t="shared" si="16"/>
        <v>0.11285249107529957</v>
      </c>
      <c r="M27" s="20">
        <v>0.40492189748022872</v>
      </c>
      <c r="N27" s="22">
        <f t="shared" si="0"/>
        <v>0.59507810251977133</v>
      </c>
      <c r="BA27">
        <f t="shared" si="6"/>
        <v>0.57500000000000018</v>
      </c>
      <c r="BB27">
        <f t="shared" si="2"/>
        <v>0.82142857142857173</v>
      </c>
      <c r="BI27">
        <f t="shared" si="3"/>
        <v>0.31972354919016144</v>
      </c>
      <c r="BJ27">
        <f t="shared" si="4"/>
        <v>7.2046068483737011E-4</v>
      </c>
    </row>
    <row r="28" spans="2:62" ht="21" customHeight="1" thickBot="1" x14ac:dyDescent="0.3">
      <c r="B28" s="56"/>
      <c r="C28" s="51"/>
      <c r="D28" s="38">
        <v>4</v>
      </c>
      <c r="E28" s="54"/>
      <c r="F28" s="54"/>
      <c r="G28" s="23">
        <v>50.153799999999997</v>
      </c>
      <c r="H28" s="24"/>
      <c r="I28" s="25">
        <v>101.303</v>
      </c>
      <c r="J28" s="25"/>
      <c r="K28" s="24">
        <f t="shared" si="15"/>
        <v>5.7830444528489858E-2</v>
      </c>
      <c r="L28" s="24">
        <f t="shared" si="16"/>
        <v>0.11680864704308762</v>
      </c>
      <c r="M28" s="24">
        <v>0.39818414311106465</v>
      </c>
      <c r="N28" s="26">
        <f t="shared" si="0"/>
        <v>0.60181585688893535</v>
      </c>
      <c r="BA28">
        <f t="shared" si="6"/>
        <v>0.6000000000000002</v>
      </c>
      <c r="BB28">
        <f t="shared" si="2"/>
        <v>0.85714285714285743</v>
      </c>
      <c r="BI28">
        <f t="shared" si="3"/>
        <v>0.36637136584835911</v>
      </c>
      <c r="BJ28">
        <f t="shared" si="4"/>
        <v>2.8222028879653271E-4</v>
      </c>
    </row>
    <row r="29" spans="2:62" ht="21.6" customHeight="1" x14ac:dyDescent="0.25">
      <c r="B29" s="56"/>
      <c r="C29" s="49" t="s">
        <v>33</v>
      </c>
      <c r="D29" s="13">
        <v>0</v>
      </c>
      <c r="E29" s="52">
        <v>945.07299999999998</v>
      </c>
      <c r="F29" s="52"/>
      <c r="G29" s="14">
        <v>205.53</v>
      </c>
      <c r="H29" s="15"/>
      <c r="I29" s="39">
        <v>14.73</v>
      </c>
      <c r="J29" s="16"/>
      <c r="K29" s="15">
        <f>G29/$E$29</f>
        <v>0.21747526381559942</v>
      </c>
      <c r="L29" s="15">
        <f>I29/$E$29</f>
        <v>1.5586097581879919E-2</v>
      </c>
      <c r="M29" s="15">
        <v>0.63016087726130898</v>
      </c>
      <c r="N29" s="17">
        <f t="shared" si="0"/>
        <v>0.36983912273869102</v>
      </c>
      <c r="BA29">
        <f t="shared" si="6"/>
        <v>0.62500000000000022</v>
      </c>
      <c r="BB29">
        <f t="shared" si="2"/>
        <v>0.89285714285714324</v>
      </c>
      <c r="BI29">
        <f t="shared" si="3"/>
        <v>0.41749721025045106</v>
      </c>
      <c r="BJ29">
        <f t="shared" si="4"/>
        <v>8.4303486941540945E-5</v>
      </c>
    </row>
    <row r="30" spans="2:62" ht="21" customHeight="1" x14ac:dyDescent="0.25">
      <c r="B30" s="56"/>
      <c r="C30" s="50"/>
      <c r="D30" s="18">
        <v>2</v>
      </c>
      <c r="E30" s="53"/>
      <c r="F30" s="53"/>
      <c r="G30" s="19">
        <v>48.793300000000002</v>
      </c>
      <c r="H30" s="20"/>
      <c r="I30" s="21">
        <v>92.4422</v>
      </c>
      <c r="J30" s="21"/>
      <c r="K30" s="20">
        <f t="shared" ref="K30:K32" si="17">G30/$E$29</f>
        <v>5.1629133410858209E-2</v>
      </c>
      <c r="L30" s="20">
        <f t="shared" ref="L30:L36" si="18">I30/$E$29</f>
        <v>9.781487779250915E-2</v>
      </c>
      <c r="M30" s="20">
        <v>0.42522215749599662</v>
      </c>
      <c r="N30" s="22">
        <f t="shared" si="0"/>
        <v>0.57477784250400332</v>
      </c>
      <c r="BA30">
        <f t="shared" si="6"/>
        <v>0.65000000000000024</v>
      </c>
      <c r="BB30">
        <f t="shared" si="2"/>
        <v>0.92857142857142894</v>
      </c>
      <c r="BI30">
        <f t="shared" si="3"/>
        <v>0.47332589372639922</v>
      </c>
      <c r="BJ30">
        <f t="shared" si="4"/>
        <v>1.5355439461588327E-5</v>
      </c>
    </row>
    <row r="31" spans="2:62" ht="21" customHeight="1" x14ac:dyDescent="0.25">
      <c r="B31" s="56"/>
      <c r="C31" s="50"/>
      <c r="D31" s="18">
        <v>3</v>
      </c>
      <c r="E31" s="53"/>
      <c r="F31" s="53"/>
      <c r="G31" s="19">
        <v>45.271299999999997</v>
      </c>
      <c r="H31" s="20"/>
      <c r="I31" s="21">
        <v>113.199</v>
      </c>
      <c r="J31" s="21"/>
      <c r="K31" s="20">
        <f t="shared" si="17"/>
        <v>4.7902437166229488E-2</v>
      </c>
      <c r="L31" s="20">
        <f t="shared" si="18"/>
        <v>0.11977804889146129</v>
      </c>
      <c r="M31" s="20">
        <v>0.41488480246755588</v>
      </c>
      <c r="N31" s="22">
        <f t="shared" si="0"/>
        <v>0.58511519753244412</v>
      </c>
      <c r="BA31">
        <f t="shared" si="6"/>
        <v>0.67500000000000027</v>
      </c>
      <c r="BB31">
        <f t="shared" si="2"/>
        <v>0.96428571428571475</v>
      </c>
      <c r="BI31">
        <f t="shared" si="3"/>
        <v>0.53408403413290628</v>
      </c>
      <c r="BJ31">
        <f t="shared" si="4"/>
        <v>8.3548040455905111E-7</v>
      </c>
    </row>
    <row r="32" spans="2:62" ht="21" customHeight="1" thickBot="1" x14ac:dyDescent="0.3">
      <c r="B32" s="56"/>
      <c r="C32" s="51"/>
      <c r="D32" s="38">
        <v>4</v>
      </c>
      <c r="E32" s="54"/>
      <c r="F32" s="54"/>
      <c r="G32" s="23">
        <v>38.244300000000003</v>
      </c>
      <c r="H32" s="24"/>
      <c r="I32" s="25">
        <v>119.241</v>
      </c>
      <c r="J32" s="25"/>
      <c r="K32" s="24">
        <f t="shared" si="17"/>
        <v>4.0467032705410064E-2</v>
      </c>
      <c r="L32" s="24">
        <f>I32/$E$29</f>
        <v>0.12617120582219574</v>
      </c>
      <c r="M32" s="24">
        <v>0.40494204823083102</v>
      </c>
      <c r="N32" s="26">
        <f t="shared" si="0"/>
        <v>0.59505795176916898</v>
      </c>
      <c r="BA32">
        <f t="shared" si="6"/>
        <v>0.70000000000000029</v>
      </c>
      <c r="BB32">
        <f t="shared" si="2"/>
        <v>1.0000000000000004</v>
      </c>
      <c r="BI32">
        <f t="shared" si="3"/>
        <v>0.60000000000000075</v>
      </c>
      <c r="BJ32" t="e">
        <f t="shared" si="4"/>
        <v>#NUM!</v>
      </c>
    </row>
    <row r="33" spans="2:62" ht="21" customHeight="1" x14ac:dyDescent="0.25">
      <c r="B33" s="56"/>
      <c r="C33" s="49" t="s">
        <v>34</v>
      </c>
      <c r="D33" s="13">
        <v>0</v>
      </c>
      <c r="E33" s="52">
        <v>922.38400000000001</v>
      </c>
      <c r="F33" s="52"/>
      <c r="G33" s="14">
        <v>191.91399999999999</v>
      </c>
      <c r="H33" s="15"/>
      <c r="I33" s="16">
        <v>17.737100000000002</v>
      </c>
      <c r="J33" s="16"/>
      <c r="K33" s="15">
        <f>G33/$E$33</f>
        <v>0.20806301930649274</v>
      </c>
      <c r="L33" s="15">
        <f>I33/$E$33</f>
        <v>1.9229626706447643E-2</v>
      </c>
      <c r="M33" s="15">
        <v>0.68817370083823082</v>
      </c>
      <c r="N33" s="17">
        <f t="shared" si="0"/>
        <v>0.31182629916176918</v>
      </c>
      <c r="BA33">
        <f t="shared" si="6"/>
        <v>0.72500000000000031</v>
      </c>
      <c r="BB33">
        <f t="shared" si="2"/>
        <v>1.0357142857142863</v>
      </c>
      <c r="BI33">
        <f t="shared" si="3"/>
        <v>0.6713038584202855</v>
      </c>
      <c r="BJ33" t="e">
        <f t="shared" si="4"/>
        <v>#NUM!</v>
      </c>
    </row>
    <row r="34" spans="2:62" ht="21" customHeight="1" x14ac:dyDescent="0.25">
      <c r="B34" s="56"/>
      <c r="C34" s="50"/>
      <c r="D34" s="18">
        <v>2</v>
      </c>
      <c r="E34" s="53"/>
      <c r="F34" s="53"/>
      <c r="G34" s="19">
        <v>61.978900000000003</v>
      </c>
      <c r="H34" s="20"/>
      <c r="I34" s="21">
        <v>117.59</v>
      </c>
      <c r="J34" s="21"/>
      <c r="K34" s="20">
        <f t="shared" ref="K34:K36" si="19">G34/$E$33</f>
        <v>6.7194248816111302E-2</v>
      </c>
      <c r="L34" s="20">
        <f t="shared" si="18"/>
        <v>0.12442425082506854</v>
      </c>
      <c r="M34" s="20">
        <v>0.49806802711137199</v>
      </c>
      <c r="N34" s="22">
        <f t="shared" si="0"/>
        <v>0.50193197288862801</v>
      </c>
      <c r="BA34">
        <f t="shared" si="6"/>
        <v>0.75000000000000033</v>
      </c>
      <c r="BB34">
        <f t="shared" si="2"/>
        <v>1.0714285714285721</v>
      </c>
      <c r="BI34">
        <f t="shared" si="3"/>
        <v>0.74822732630455524</v>
      </c>
      <c r="BJ34" t="e">
        <f t="shared" si="4"/>
        <v>#NUM!</v>
      </c>
    </row>
    <row r="35" spans="2:62" ht="21" customHeight="1" x14ac:dyDescent="0.25">
      <c r="B35" s="56"/>
      <c r="C35" s="50"/>
      <c r="D35" s="18">
        <v>3</v>
      </c>
      <c r="E35" s="53"/>
      <c r="F35" s="53"/>
      <c r="G35" s="19">
        <v>19.4526</v>
      </c>
      <c r="H35" s="20"/>
      <c r="I35" s="21">
        <v>154.893</v>
      </c>
      <c r="J35" s="21"/>
      <c r="K35" s="20">
        <f t="shared" si="19"/>
        <v>2.1089481170532012E-2</v>
      </c>
      <c r="L35" s="20">
        <f t="shared" si="18"/>
        <v>0.16389527581467253</v>
      </c>
      <c r="M35" s="20">
        <v>0.44175208785576059</v>
      </c>
      <c r="N35" s="22">
        <f t="shared" si="0"/>
        <v>0.55824791214423941</v>
      </c>
      <c r="BA35">
        <f t="shared" si="6"/>
        <v>0.77500000000000036</v>
      </c>
      <c r="BB35">
        <f t="shared" si="2"/>
        <v>1.1071428571428577</v>
      </c>
      <c r="BI35">
        <f t="shared" si="3"/>
        <v>0.83100372467708727</v>
      </c>
      <c r="BJ35" t="e">
        <f t="shared" si="4"/>
        <v>#NUM!</v>
      </c>
    </row>
    <row r="36" spans="2:62" ht="21" customHeight="1" thickBot="1" x14ac:dyDescent="0.3">
      <c r="B36" s="57"/>
      <c r="C36" s="51"/>
      <c r="D36" s="38">
        <v>4</v>
      </c>
      <c r="E36" s="54"/>
      <c r="F36" s="54"/>
      <c r="G36" s="23">
        <v>27.282699999999998</v>
      </c>
      <c r="H36" s="24"/>
      <c r="I36" s="25">
        <v>90.363699999999994</v>
      </c>
      <c r="J36" s="25"/>
      <c r="K36" s="24">
        <f t="shared" si="19"/>
        <v>2.9578461898731978E-2</v>
      </c>
      <c r="L36" s="24">
        <f t="shared" si="18"/>
        <v>9.5615576786131862E-2</v>
      </c>
      <c r="M36" s="24">
        <v>0.48395549099447349</v>
      </c>
      <c r="N36" s="26">
        <f t="shared" si="0"/>
        <v>0.51604450900552656</v>
      </c>
      <c r="BA36">
        <f t="shared" si="6"/>
        <v>0.80000000000000038</v>
      </c>
      <c r="BB36">
        <f t="shared" si="2"/>
        <v>1.1428571428571435</v>
      </c>
      <c r="BI36">
        <f t="shared" si="3"/>
        <v>0.9198679357255084</v>
      </c>
      <c r="BJ36" t="e">
        <f t="shared" si="4"/>
        <v>#NUM!</v>
      </c>
    </row>
    <row r="37" spans="2:62" x14ac:dyDescent="0.25">
      <c r="BA37">
        <f t="shared" si="6"/>
        <v>0.8250000000000004</v>
      </c>
      <c r="BB37">
        <f t="shared" si="2"/>
        <v>1.1785714285714293</v>
      </c>
      <c r="BI37">
        <f t="shared" si="3"/>
        <v>1.0150563623552562</v>
      </c>
      <c r="BJ37" t="e">
        <f t="shared" si="4"/>
        <v>#NUM!</v>
      </c>
    </row>
    <row r="38" spans="2:62" x14ac:dyDescent="0.25">
      <c r="BA38">
        <f t="shared" si="6"/>
        <v>0.85000000000000042</v>
      </c>
      <c r="BB38">
        <f t="shared" si="2"/>
        <v>1.2142857142857149</v>
      </c>
    </row>
    <row r="39" spans="2:62" x14ac:dyDescent="0.25">
      <c r="BA39">
        <f t="shared" si="6"/>
        <v>0.87500000000000044</v>
      </c>
    </row>
    <row r="40" spans="2:62" x14ac:dyDescent="0.25">
      <c r="BA40">
        <f t="shared" si="6"/>
        <v>0.90000000000000047</v>
      </c>
    </row>
    <row r="41" spans="2:62" x14ac:dyDescent="0.25">
      <c r="BA41">
        <f t="shared" si="6"/>
        <v>0.92500000000000049</v>
      </c>
    </row>
    <row r="42" spans="2:62" x14ac:dyDescent="0.25">
      <c r="BA42">
        <f t="shared" si="6"/>
        <v>0.95000000000000051</v>
      </c>
    </row>
    <row r="43" spans="2:62" x14ac:dyDescent="0.25">
      <c r="BA43">
        <f t="shared" si="6"/>
        <v>0.97500000000000053</v>
      </c>
    </row>
    <row r="44" spans="2:62" x14ac:dyDescent="0.25">
      <c r="BA44">
        <f t="shared" si="6"/>
        <v>1.0000000000000004</v>
      </c>
    </row>
    <row r="45" spans="2:62" x14ac:dyDescent="0.25">
      <c r="BA45">
        <f t="shared" si="6"/>
        <v>1.0250000000000004</v>
      </c>
    </row>
    <row r="46" spans="2:62" x14ac:dyDescent="0.25">
      <c r="E46" t="s">
        <v>49</v>
      </c>
    </row>
  </sheetData>
  <mergeCells count="25">
    <mergeCell ref="F5:F8"/>
    <mergeCell ref="E5:E8"/>
    <mergeCell ref="C5:C8"/>
    <mergeCell ref="B5:B36"/>
    <mergeCell ref="F13:F16"/>
    <mergeCell ref="C13:C16"/>
    <mergeCell ref="C9:C12"/>
    <mergeCell ref="E9:E12"/>
    <mergeCell ref="F9:F12"/>
    <mergeCell ref="F21:F24"/>
    <mergeCell ref="E21:E24"/>
    <mergeCell ref="C21:C24"/>
    <mergeCell ref="C17:C20"/>
    <mergeCell ref="F17:F20"/>
    <mergeCell ref="E17:E20"/>
    <mergeCell ref="F33:F36"/>
    <mergeCell ref="C33:C36"/>
    <mergeCell ref="E33:E36"/>
    <mergeCell ref="E13:E16"/>
    <mergeCell ref="F29:F32"/>
    <mergeCell ref="E29:E32"/>
    <mergeCell ref="C29:C32"/>
    <mergeCell ref="C25:C28"/>
    <mergeCell ref="E25:E28"/>
    <mergeCell ref="F25:F28"/>
  </mergeCells>
  <phoneticPr fontId="8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5</vt:lpstr>
      <vt:lpstr>Complete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2025-05-23T07:18:12Z</dcterms:modified>
</cp:coreProperties>
</file>